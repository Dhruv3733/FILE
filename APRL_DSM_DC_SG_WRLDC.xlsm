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ms\Tiroda DC_SG\"/>
    </mc:Choice>
  </mc:AlternateContent>
  <xr:revisionPtr revIDLastSave="0" documentId="13_ncr:1_{236EBC65-C043-4DBB-964B-253DBC3F84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CEntry" sheetId="1" r:id="rId1"/>
    <sheet name="SaveData" sheetId="6" state="hidden" r:id="rId2"/>
    <sheet name="SGEntry" sheetId="2" r:id="rId3"/>
    <sheet name="CustomerData" sheetId="5" r:id="rId4"/>
    <sheet name="ACP" sheetId="9" r:id="rId5"/>
    <sheet name="Rate calc" sheetId="8" state="hidden" r:id="rId6"/>
    <sheet name="CustomerEntries" sheetId="7" state="hidden" r:id="rId7"/>
  </sheets>
  <definedNames>
    <definedName name="Customer_Name">#REF!</definedName>
    <definedName name="ExternalData_1" localSheetId="3" hidden="1">CustomerData!$A$1:$K$27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9" l="1"/>
  <c r="E8" i="9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6" i="9"/>
  <c r="E1" i="9"/>
  <c r="D6" i="9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E3" i="1"/>
  <c r="A4" i="8" s="1"/>
  <c r="E3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O7" i="2"/>
  <c r="N7" i="2"/>
  <c r="M7" i="2"/>
  <c r="L7" i="2"/>
  <c r="K7" i="2"/>
  <c r="J7" i="2"/>
  <c r="I7" i="2"/>
  <c r="H7" i="2"/>
  <c r="G7" i="2"/>
  <c r="F7" i="2"/>
  <c r="E7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O6" i="2"/>
  <c r="N6" i="2"/>
  <c r="M6" i="2"/>
  <c r="L6" i="2"/>
  <c r="K6" i="2"/>
  <c r="J6" i="2"/>
  <c r="I6" i="2"/>
  <c r="H6" i="2"/>
  <c r="G6" i="2"/>
  <c r="F6" i="2"/>
  <c r="E6" i="2"/>
  <c r="M388" i="2"/>
  <c r="L388" i="2"/>
  <c r="J388" i="2"/>
  <c r="I388" i="2"/>
  <c r="H388" i="2"/>
  <c r="G388" i="2"/>
  <c r="F388" i="2"/>
  <c r="E388" i="2"/>
  <c r="D388" i="2"/>
  <c r="C388" i="2"/>
  <c r="M387" i="2"/>
  <c r="L387" i="2"/>
  <c r="J387" i="2"/>
  <c r="I387" i="2"/>
  <c r="H387" i="2"/>
  <c r="G387" i="2"/>
  <c r="F387" i="2"/>
  <c r="E387" i="2"/>
  <c r="D387" i="2"/>
  <c r="C387" i="2"/>
  <c r="M386" i="2"/>
  <c r="L386" i="2"/>
  <c r="J386" i="2"/>
  <c r="I386" i="2"/>
  <c r="H386" i="2"/>
  <c r="G386" i="2"/>
  <c r="F386" i="2"/>
  <c r="E386" i="2"/>
  <c r="D386" i="2"/>
  <c r="C386" i="2"/>
  <c r="M385" i="2"/>
  <c r="L385" i="2"/>
  <c r="J385" i="2"/>
  <c r="I385" i="2"/>
  <c r="H385" i="2"/>
  <c r="G385" i="2"/>
  <c r="F385" i="2"/>
  <c r="E385" i="2"/>
  <c r="D385" i="2"/>
  <c r="C385" i="2"/>
  <c r="M384" i="2"/>
  <c r="L384" i="2"/>
  <c r="J384" i="2"/>
  <c r="I384" i="2"/>
  <c r="H384" i="2"/>
  <c r="G384" i="2"/>
  <c r="F384" i="2"/>
  <c r="E384" i="2"/>
  <c r="D384" i="2"/>
  <c r="C384" i="2"/>
  <c r="M383" i="2"/>
  <c r="L383" i="2"/>
  <c r="J383" i="2"/>
  <c r="I383" i="2"/>
  <c r="H383" i="2"/>
  <c r="G383" i="2"/>
  <c r="F383" i="2"/>
  <c r="E383" i="2"/>
  <c r="D383" i="2"/>
  <c r="C383" i="2"/>
  <c r="M382" i="2"/>
  <c r="L382" i="2"/>
  <c r="J382" i="2"/>
  <c r="I382" i="2"/>
  <c r="H382" i="2"/>
  <c r="G382" i="2"/>
  <c r="F382" i="2"/>
  <c r="E382" i="2"/>
  <c r="D382" i="2"/>
  <c r="C382" i="2"/>
  <c r="M381" i="2"/>
  <c r="L381" i="2"/>
  <c r="J381" i="2"/>
  <c r="I381" i="2"/>
  <c r="H381" i="2"/>
  <c r="G381" i="2"/>
  <c r="F381" i="2"/>
  <c r="E381" i="2"/>
  <c r="D381" i="2"/>
  <c r="C381" i="2"/>
  <c r="M380" i="2"/>
  <c r="L380" i="2"/>
  <c r="J380" i="2"/>
  <c r="I380" i="2"/>
  <c r="H380" i="2"/>
  <c r="G380" i="2"/>
  <c r="F380" i="2"/>
  <c r="E380" i="2"/>
  <c r="D380" i="2"/>
  <c r="C380" i="2"/>
  <c r="M379" i="2"/>
  <c r="L379" i="2"/>
  <c r="J379" i="2"/>
  <c r="I379" i="2"/>
  <c r="H379" i="2"/>
  <c r="G379" i="2"/>
  <c r="F379" i="2"/>
  <c r="E379" i="2"/>
  <c r="D379" i="2"/>
  <c r="C379" i="2"/>
  <c r="M378" i="2"/>
  <c r="L378" i="2"/>
  <c r="J378" i="2"/>
  <c r="I378" i="2"/>
  <c r="H378" i="2"/>
  <c r="G378" i="2"/>
  <c r="F378" i="2"/>
  <c r="E378" i="2"/>
  <c r="D378" i="2"/>
  <c r="C378" i="2"/>
  <c r="M377" i="2"/>
  <c r="L377" i="2"/>
  <c r="J377" i="2"/>
  <c r="I377" i="2"/>
  <c r="H377" i="2"/>
  <c r="G377" i="2"/>
  <c r="F377" i="2"/>
  <c r="E377" i="2"/>
  <c r="D377" i="2"/>
  <c r="C377" i="2"/>
  <c r="M376" i="2"/>
  <c r="L376" i="2"/>
  <c r="J376" i="2"/>
  <c r="I376" i="2"/>
  <c r="H376" i="2"/>
  <c r="G376" i="2"/>
  <c r="F376" i="2"/>
  <c r="E376" i="2"/>
  <c r="D376" i="2"/>
  <c r="C376" i="2"/>
  <c r="M375" i="2"/>
  <c r="L375" i="2"/>
  <c r="J375" i="2"/>
  <c r="I375" i="2"/>
  <c r="H375" i="2"/>
  <c r="G375" i="2"/>
  <c r="F375" i="2"/>
  <c r="E375" i="2"/>
  <c r="D375" i="2"/>
  <c r="C375" i="2"/>
  <c r="M374" i="2"/>
  <c r="L374" i="2"/>
  <c r="J374" i="2"/>
  <c r="I374" i="2"/>
  <c r="H374" i="2"/>
  <c r="G374" i="2"/>
  <c r="F374" i="2"/>
  <c r="E374" i="2"/>
  <c r="D374" i="2"/>
  <c r="C374" i="2"/>
  <c r="M373" i="2"/>
  <c r="L373" i="2"/>
  <c r="J373" i="2"/>
  <c r="I373" i="2"/>
  <c r="H373" i="2"/>
  <c r="G373" i="2"/>
  <c r="F373" i="2"/>
  <c r="E373" i="2"/>
  <c r="D373" i="2"/>
  <c r="C373" i="2"/>
  <c r="M372" i="2"/>
  <c r="L372" i="2"/>
  <c r="J372" i="2"/>
  <c r="I372" i="2"/>
  <c r="H372" i="2"/>
  <c r="G372" i="2"/>
  <c r="F372" i="2"/>
  <c r="E372" i="2"/>
  <c r="D372" i="2"/>
  <c r="C372" i="2"/>
  <c r="M371" i="2"/>
  <c r="L371" i="2"/>
  <c r="J371" i="2"/>
  <c r="I371" i="2"/>
  <c r="H371" i="2"/>
  <c r="G371" i="2"/>
  <c r="F371" i="2"/>
  <c r="E371" i="2"/>
  <c r="D371" i="2"/>
  <c r="C371" i="2"/>
  <c r="M370" i="2"/>
  <c r="L370" i="2"/>
  <c r="J370" i="2"/>
  <c r="I370" i="2"/>
  <c r="H370" i="2"/>
  <c r="G370" i="2"/>
  <c r="F370" i="2"/>
  <c r="E370" i="2"/>
  <c r="D370" i="2"/>
  <c r="C370" i="2"/>
  <c r="M369" i="2"/>
  <c r="L369" i="2"/>
  <c r="J369" i="2"/>
  <c r="I369" i="2"/>
  <c r="H369" i="2"/>
  <c r="G369" i="2"/>
  <c r="F369" i="2"/>
  <c r="E369" i="2"/>
  <c r="D369" i="2"/>
  <c r="C369" i="2"/>
  <c r="M368" i="2"/>
  <c r="L368" i="2"/>
  <c r="J368" i="2"/>
  <c r="I368" i="2"/>
  <c r="H368" i="2"/>
  <c r="G368" i="2"/>
  <c r="F368" i="2"/>
  <c r="E368" i="2"/>
  <c r="D368" i="2"/>
  <c r="C368" i="2"/>
  <c r="M367" i="2"/>
  <c r="L367" i="2"/>
  <c r="J367" i="2"/>
  <c r="I367" i="2"/>
  <c r="H367" i="2"/>
  <c r="G367" i="2"/>
  <c r="F367" i="2"/>
  <c r="E367" i="2"/>
  <c r="D367" i="2"/>
  <c r="C367" i="2"/>
  <c r="M366" i="2"/>
  <c r="L366" i="2"/>
  <c r="J366" i="2"/>
  <c r="I366" i="2"/>
  <c r="H366" i="2"/>
  <c r="G366" i="2"/>
  <c r="F366" i="2"/>
  <c r="E366" i="2"/>
  <c r="D366" i="2"/>
  <c r="C366" i="2"/>
  <c r="M365" i="2"/>
  <c r="L365" i="2"/>
  <c r="J365" i="2"/>
  <c r="I365" i="2"/>
  <c r="H365" i="2"/>
  <c r="G365" i="2"/>
  <c r="F365" i="2"/>
  <c r="E365" i="2"/>
  <c r="D365" i="2"/>
  <c r="C365" i="2"/>
  <c r="M364" i="2"/>
  <c r="L364" i="2"/>
  <c r="J364" i="2"/>
  <c r="I364" i="2"/>
  <c r="H364" i="2"/>
  <c r="G364" i="2"/>
  <c r="F364" i="2"/>
  <c r="E364" i="2"/>
  <c r="D364" i="2"/>
  <c r="C364" i="2"/>
  <c r="M363" i="2"/>
  <c r="L363" i="2"/>
  <c r="J363" i="2"/>
  <c r="I363" i="2"/>
  <c r="H363" i="2"/>
  <c r="G363" i="2"/>
  <c r="F363" i="2"/>
  <c r="E363" i="2"/>
  <c r="D363" i="2"/>
  <c r="C363" i="2"/>
  <c r="M362" i="2"/>
  <c r="L362" i="2"/>
  <c r="J362" i="2"/>
  <c r="I362" i="2"/>
  <c r="H362" i="2"/>
  <c r="G362" i="2"/>
  <c r="F362" i="2"/>
  <c r="E362" i="2"/>
  <c r="D362" i="2"/>
  <c r="C362" i="2"/>
  <c r="M361" i="2"/>
  <c r="L361" i="2"/>
  <c r="J361" i="2"/>
  <c r="I361" i="2"/>
  <c r="H361" i="2"/>
  <c r="G361" i="2"/>
  <c r="F361" i="2"/>
  <c r="E361" i="2"/>
  <c r="D361" i="2"/>
  <c r="C361" i="2"/>
  <c r="M360" i="2"/>
  <c r="L360" i="2"/>
  <c r="J360" i="2"/>
  <c r="I360" i="2"/>
  <c r="H360" i="2"/>
  <c r="G360" i="2"/>
  <c r="F360" i="2"/>
  <c r="E360" i="2"/>
  <c r="D360" i="2"/>
  <c r="C360" i="2"/>
  <c r="M359" i="2"/>
  <c r="L359" i="2"/>
  <c r="J359" i="2"/>
  <c r="I359" i="2"/>
  <c r="H359" i="2"/>
  <c r="G359" i="2"/>
  <c r="F359" i="2"/>
  <c r="E359" i="2"/>
  <c r="D359" i="2"/>
  <c r="C359" i="2"/>
  <c r="M358" i="2"/>
  <c r="L358" i="2"/>
  <c r="J358" i="2"/>
  <c r="I358" i="2"/>
  <c r="H358" i="2"/>
  <c r="G358" i="2"/>
  <c r="F358" i="2"/>
  <c r="E358" i="2"/>
  <c r="D358" i="2"/>
  <c r="C358" i="2"/>
  <c r="M357" i="2"/>
  <c r="L357" i="2"/>
  <c r="J357" i="2"/>
  <c r="I357" i="2"/>
  <c r="H357" i="2"/>
  <c r="G357" i="2"/>
  <c r="F357" i="2"/>
  <c r="E357" i="2"/>
  <c r="D357" i="2"/>
  <c r="C357" i="2"/>
  <c r="M356" i="2"/>
  <c r="L356" i="2"/>
  <c r="J356" i="2"/>
  <c r="I356" i="2"/>
  <c r="H356" i="2"/>
  <c r="G356" i="2"/>
  <c r="F356" i="2"/>
  <c r="E356" i="2"/>
  <c r="D356" i="2"/>
  <c r="C356" i="2"/>
  <c r="M355" i="2"/>
  <c r="L355" i="2"/>
  <c r="J355" i="2"/>
  <c r="I355" i="2"/>
  <c r="H355" i="2"/>
  <c r="G355" i="2"/>
  <c r="F355" i="2"/>
  <c r="E355" i="2"/>
  <c r="D355" i="2"/>
  <c r="C355" i="2"/>
  <c r="M354" i="2"/>
  <c r="L354" i="2"/>
  <c r="J354" i="2"/>
  <c r="I354" i="2"/>
  <c r="H354" i="2"/>
  <c r="G354" i="2"/>
  <c r="F354" i="2"/>
  <c r="E354" i="2"/>
  <c r="D354" i="2"/>
  <c r="C354" i="2"/>
  <c r="M353" i="2"/>
  <c r="L353" i="2"/>
  <c r="J353" i="2"/>
  <c r="I353" i="2"/>
  <c r="H353" i="2"/>
  <c r="G353" i="2"/>
  <c r="F353" i="2"/>
  <c r="E353" i="2"/>
  <c r="D353" i="2"/>
  <c r="C353" i="2"/>
  <c r="M352" i="2"/>
  <c r="L352" i="2"/>
  <c r="J352" i="2"/>
  <c r="I352" i="2"/>
  <c r="H352" i="2"/>
  <c r="G352" i="2"/>
  <c r="F352" i="2"/>
  <c r="E352" i="2"/>
  <c r="D352" i="2"/>
  <c r="C352" i="2"/>
  <c r="M351" i="2"/>
  <c r="L351" i="2"/>
  <c r="J351" i="2"/>
  <c r="I351" i="2"/>
  <c r="H351" i="2"/>
  <c r="G351" i="2"/>
  <c r="F351" i="2"/>
  <c r="E351" i="2"/>
  <c r="D351" i="2"/>
  <c r="C351" i="2"/>
  <c r="M350" i="2"/>
  <c r="L350" i="2"/>
  <c r="J350" i="2"/>
  <c r="I350" i="2"/>
  <c r="H350" i="2"/>
  <c r="G350" i="2"/>
  <c r="F350" i="2"/>
  <c r="E350" i="2"/>
  <c r="D350" i="2"/>
  <c r="C350" i="2"/>
  <c r="M349" i="2"/>
  <c r="L349" i="2"/>
  <c r="J349" i="2"/>
  <c r="I349" i="2"/>
  <c r="H349" i="2"/>
  <c r="G349" i="2"/>
  <c r="F349" i="2"/>
  <c r="E349" i="2"/>
  <c r="D349" i="2"/>
  <c r="C349" i="2"/>
  <c r="M348" i="2"/>
  <c r="L348" i="2"/>
  <c r="J348" i="2"/>
  <c r="I348" i="2"/>
  <c r="H348" i="2"/>
  <c r="G348" i="2"/>
  <c r="F348" i="2"/>
  <c r="E348" i="2"/>
  <c r="D348" i="2"/>
  <c r="C348" i="2"/>
  <c r="M347" i="2"/>
  <c r="L347" i="2"/>
  <c r="J347" i="2"/>
  <c r="I347" i="2"/>
  <c r="H347" i="2"/>
  <c r="G347" i="2"/>
  <c r="F347" i="2"/>
  <c r="E347" i="2"/>
  <c r="D347" i="2"/>
  <c r="C347" i="2"/>
  <c r="M346" i="2"/>
  <c r="L346" i="2"/>
  <c r="J346" i="2"/>
  <c r="I346" i="2"/>
  <c r="H346" i="2"/>
  <c r="G346" i="2"/>
  <c r="F346" i="2"/>
  <c r="E346" i="2"/>
  <c r="D346" i="2"/>
  <c r="C346" i="2"/>
  <c r="M345" i="2"/>
  <c r="L345" i="2"/>
  <c r="J345" i="2"/>
  <c r="I345" i="2"/>
  <c r="H345" i="2"/>
  <c r="G345" i="2"/>
  <c r="F345" i="2"/>
  <c r="E345" i="2"/>
  <c r="D345" i="2"/>
  <c r="C345" i="2"/>
  <c r="M344" i="2"/>
  <c r="L344" i="2"/>
  <c r="J344" i="2"/>
  <c r="I344" i="2"/>
  <c r="H344" i="2"/>
  <c r="G344" i="2"/>
  <c r="F344" i="2"/>
  <c r="E344" i="2"/>
  <c r="D344" i="2"/>
  <c r="C344" i="2"/>
  <c r="M343" i="2"/>
  <c r="L343" i="2"/>
  <c r="J343" i="2"/>
  <c r="I343" i="2"/>
  <c r="H343" i="2"/>
  <c r="G343" i="2"/>
  <c r="F343" i="2"/>
  <c r="E343" i="2"/>
  <c r="D343" i="2"/>
  <c r="C343" i="2"/>
  <c r="M342" i="2"/>
  <c r="L342" i="2"/>
  <c r="J342" i="2"/>
  <c r="I342" i="2"/>
  <c r="H342" i="2"/>
  <c r="G342" i="2"/>
  <c r="F342" i="2"/>
  <c r="E342" i="2"/>
  <c r="D342" i="2"/>
  <c r="C342" i="2"/>
  <c r="M341" i="2"/>
  <c r="L341" i="2"/>
  <c r="J341" i="2"/>
  <c r="I341" i="2"/>
  <c r="H341" i="2"/>
  <c r="G341" i="2"/>
  <c r="F341" i="2"/>
  <c r="E341" i="2"/>
  <c r="D341" i="2"/>
  <c r="C341" i="2"/>
  <c r="M340" i="2"/>
  <c r="L340" i="2"/>
  <c r="J340" i="2"/>
  <c r="I340" i="2"/>
  <c r="H340" i="2"/>
  <c r="G340" i="2"/>
  <c r="F340" i="2"/>
  <c r="E340" i="2"/>
  <c r="D340" i="2"/>
  <c r="C340" i="2"/>
  <c r="M339" i="2"/>
  <c r="L339" i="2"/>
  <c r="J339" i="2"/>
  <c r="I339" i="2"/>
  <c r="H339" i="2"/>
  <c r="G339" i="2"/>
  <c r="F339" i="2"/>
  <c r="E339" i="2"/>
  <c r="D339" i="2"/>
  <c r="C339" i="2"/>
  <c r="M338" i="2"/>
  <c r="L338" i="2"/>
  <c r="J338" i="2"/>
  <c r="I338" i="2"/>
  <c r="H338" i="2"/>
  <c r="G338" i="2"/>
  <c r="F338" i="2"/>
  <c r="E338" i="2"/>
  <c r="D338" i="2"/>
  <c r="C338" i="2"/>
  <c r="M337" i="2"/>
  <c r="L337" i="2"/>
  <c r="J337" i="2"/>
  <c r="I337" i="2"/>
  <c r="H337" i="2"/>
  <c r="G337" i="2"/>
  <c r="F337" i="2"/>
  <c r="E337" i="2"/>
  <c r="D337" i="2"/>
  <c r="C337" i="2"/>
  <c r="M336" i="2"/>
  <c r="L336" i="2"/>
  <c r="J336" i="2"/>
  <c r="I336" i="2"/>
  <c r="H336" i="2"/>
  <c r="G336" i="2"/>
  <c r="F336" i="2"/>
  <c r="E336" i="2"/>
  <c r="D336" i="2"/>
  <c r="C336" i="2"/>
  <c r="M335" i="2"/>
  <c r="L335" i="2"/>
  <c r="J335" i="2"/>
  <c r="I335" i="2"/>
  <c r="H335" i="2"/>
  <c r="G335" i="2"/>
  <c r="F335" i="2"/>
  <c r="E335" i="2"/>
  <c r="D335" i="2"/>
  <c r="C335" i="2"/>
  <c r="M334" i="2"/>
  <c r="L334" i="2"/>
  <c r="J334" i="2"/>
  <c r="I334" i="2"/>
  <c r="H334" i="2"/>
  <c r="G334" i="2"/>
  <c r="F334" i="2"/>
  <c r="E334" i="2"/>
  <c r="D334" i="2"/>
  <c r="C334" i="2"/>
  <c r="M333" i="2"/>
  <c r="L333" i="2"/>
  <c r="J333" i="2"/>
  <c r="I333" i="2"/>
  <c r="H333" i="2"/>
  <c r="G333" i="2"/>
  <c r="F333" i="2"/>
  <c r="E333" i="2"/>
  <c r="D333" i="2"/>
  <c r="C333" i="2"/>
  <c r="M332" i="2"/>
  <c r="L332" i="2"/>
  <c r="J332" i="2"/>
  <c r="I332" i="2"/>
  <c r="H332" i="2"/>
  <c r="G332" i="2"/>
  <c r="F332" i="2"/>
  <c r="E332" i="2"/>
  <c r="D332" i="2"/>
  <c r="C332" i="2"/>
  <c r="M331" i="2"/>
  <c r="L331" i="2"/>
  <c r="J331" i="2"/>
  <c r="I331" i="2"/>
  <c r="H331" i="2"/>
  <c r="G331" i="2"/>
  <c r="F331" i="2"/>
  <c r="E331" i="2"/>
  <c r="D331" i="2"/>
  <c r="C331" i="2"/>
  <c r="M330" i="2"/>
  <c r="L330" i="2"/>
  <c r="J330" i="2"/>
  <c r="I330" i="2"/>
  <c r="H330" i="2"/>
  <c r="G330" i="2"/>
  <c r="F330" i="2"/>
  <c r="E330" i="2"/>
  <c r="D330" i="2"/>
  <c r="C330" i="2"/>
  <c r="M329" i="2"/>
  <c r="L329" i="2"/>
  <c r="J329" i="2"/>
  <c r="I329" i="2"/>
  <c r="H329" i="2"/>
  <c r="G329" i="2"/>
  <c r="F329" i="2"/>
  <c r="E329" i="2"/>
  <c r="D329" i="2"/>
  <c r="C329" i="2"/>
  <c r="M328" i="2"/>
  <c r="L328" i="2"/>
  <c r="J328" i="2"/>
  <c r="I328" i="2"/>
  <c r="H328" i="2"/>
  <c r="G328" i="2"/>
  <c r="F328" i="2"/>
  <c r="E328" i="2"/>
  <c r="D328" i="2"/>
  <c r="C328" i="2"/>
  <c r="M327" i="2"/>
  <c r="L327" i="2"/>
  <c r="J327" i="2"/>
  <c r="I327" i="2"/>
  <c r="H327" i="2"/>
  <c r="G327" i="2"/>
  <c r="F327" i="2"/>
  <c r="E327" i="2"/>
  <c r="D327" i="2"/>
  <c r="C327" i="2"/>
  <c r="M326" i="2"/>
  <c r="L326" i="2"/>
  <c r="J326" i="2"/>
  <c r="I326" i="2"/>
  <c r="H326" i="2"/>
  <c r="G326" i="2"/>
  <c r="F326" i="2"/>
  <c r="E326" i="2"/>
  <c r="D326" i="2"/>
  <c r="C326" i="2"/>
  <c r="M325" i="2"/>
  <c r="L325" i="2"/>
  <c r="J325" i="2"/>
  <c r="I325" i="2"/>
  <c r="H325" i="2"/>
  <c r="G325" i="2"/>
  <c r="F325" i="2"/>
  <c r="E325" i="2"/>
  <c r="D325" i="2"/>
  <c r="C325" i="2"/>
  <c r="M324" i="2"/>
  <c r="L324" i="2"/>
  <c r="J324" i="2"/>
  <c r="I324" i="2"/>
  <c r="H324" i="2"/>
  <c r="G324" i="2"/>
  <c r="F324" i="2"/>
  <c r="E324" i="2"/>
  <c r="D324" i="2"/>
  <c r="C324" i="2"/>
  <c r="M323" i="2"/>
  <c r="L323" i="2"/>
  <c r="J323" i="2"/>
  <c r="I323" i="2"/>
  <c r="H323" i="2"/>
  <c r="G323" i="2"/>
  <c r="F323" i="2"/>
  <c r="E323" i="2"/>
  <c r="D323" i="2"/>
  <c r="C323" i="2"/>
  <c r="M322" i="2"/>
  <c r="L322" i="2"/>
  <c r="J322" i="2"/>
  <c r="I322" i="2"/>
  <c r="H322" i="2"/>
  <c r="G322" i="2"/>
  <c r="F322" i="2"/>
  <c r="E322" i="2"/>
  <c r="D322" i="2"/>
  <c r="C322" i="2"/>
  <c r="M321" i="2"/>
  <c r="L321" i="2"/>
  <c r="J321" i="2"/>
  <c r="I321" i="2"/>
  <c r="H321" i="2"/>
  <c r="G321" i="2"/>
  <c r="F321" i="2"/>
  <c r="E321" i="2"/>
  <c r="D321" i="2"/>
  <c r="C321" i="2"/>
  <c r="M320" i="2"/>
  <c r="L320" i="2"/>
  <c r="J320" i="2"/>
  <c r="I320" i="2"/>
  <c r="H320" i="2"/>
  <c r="G320" i="2"/>
  <c r="F320" i="2"/>
  <c r="E320" i="2"/>
  <c r="D320" i="2"/>
  <c r="C320" i="2"/>
  <c r="M319" i="2"/>
  <c r="L319" i="2"/>
  <c r="J319" i="2"/>
  <c r="I319" i="2"/>
  <c r="H319" i="2"/>
  <c r="G319" i="2"/>
  <c r="F319" i="2"/>
  <c r="E319" i="2"/>
  <c r="D319" i="2"/>
  <c r="C319" i="2"/>
  <c r="M318" i="2"/>
  <c r="L318" i="2"/>
  <c r="J318" i="2"/>
  <c r="I318" i="2"/>
  <c r="H318" i="2"/>
  <c r="G318" i="2"/>
  <c r="F318" i="2"/>
  <c r="E318" i="2"/>
  <c r="D318" i="2"/>
  <c r="C318" i="2"/>
  <c r="M317" i="2"/>
  <c r="L317" i="2"/>
  <c r="J317" i="2"/>
  <c r="I317" i="2"/>
  <c r="H317" i="2"/>
  <c r="G317" i="2"/>
  <c r="F317" i="2"/>
  <c r="E317" i="2"/>
  <c r="D317" i="2"/>
  <c r="C317" i="2"/>
  <c r="M316" i="2"/>
  <c r="L316" i="2"/>
  <c r="J316" i="2"/>
  <c r="I316" i="2"/>
  <c r="H316" i="2"/>
  <c r="G316" i="2"/>
  <c r="F316" i="2"/>
  <c r="E316" i="2"/>
  <c r="D316" i="2"/>
  <c r="C316" i="2"/>
  <c r="M315" i="2"/>
  <c r="L315" i="2"/>
  <c r="J315" i="2"/>
  <c r="I315" i="2"/>
  <c r="H315" i="2"/>
  <c r="G315" i="2"/>
  <c r="F315" i="2"/>
  <c r="E315" i="2"/>
  <c r="D315" i="2"/>
  <c r="C315" i="2"/>
  <c r="M314" i="2"/>
  <c r="L314" i="2"/>
  <c r="J314" i="2"/>
  <c r="I314" i="2"/>
  <c r="H314" i="2"/>
  <c r="G314" i="2"/>
  <c r="F314" i="2"/>
  <c r="E314" i="2"/>
  <c r="D314" i="2"/>
  <c r="C314" i="2"/>
  <c r="M313" i="2"/>
  <c r="L313" i="2"/>
  <c r="J313" i="2"/>
  <c r="I313" i="2"/>
  <c r="H313" i="2"/>
  <c r="G313" i="2"/>
  <c r="F313" i="2"/>
  <c r="E313" i="2"/>
  <c r="D313" i="2"/>
  <c r="C313" i="2"/>
  <c r="M312" i="2"/>
  <c r="L312" i="2"/>
  <c r="J312" i="2"/>
  <c r="I312" i="2"/>
  <c r="H312" i="2"/>
  <c r="G312" i="2"/>
  <c r="F312" i="2"/>
  <c r="E312" i="2"/>
  <c r="D312" i="2"/>
  <c r="C312" i="2"/>
  <c r="M311" i="2"/>
  <c r="L311" i="2"/>
  <c r="J311" i="2"/>
  <c r="I311" i="2"/>
  <c r="H311" i="2"/>
  <c r="G311" i="2"/>
  <c r="F311" i="2"/>
  <c r="E311" i="2"/>
  <c r="D311" i="2"/>
  <c r="C311" i="2"/>
  <c r="M310" i="2"/>
  <c r="L310" i="2"/>
  <c r="J310" i="2"/>
  <c r="I310" i="2"/>
  <c r="H310" i="2"/>
  <c r="G310" i="2"/>
  <c r="F310" i="2"/>
  <c r="E310" i="2"/>
  <c r="D310" i="2"/>
  <c r="C310" i="2"/>
  <c r="M309" i="2"/>
  <c r="L309" i="2"/>
  <c r="J309" i="2"/>
  <c r="I309" i="2"/>
  <c r="H309" i="2"/>
  <c r="G309" i="2"/>
  <c r="F309" i="2"/>
  <c r="E309" i="2"/>
  <c r="D309" i="2"/>
  <c r="C309" i="2"/>
  <c r="M308" i="2"/>
  <c r="L308" i="2"/>
  <c r="J308" i="2"/>
  <c r="I308" i="2"/>
  <c r="H308" i="2"/>
  <c r="G308" i="2"/>
  <c r="F308" i="2"/>
  <c r="E308" i="2"/>
  <c r="D308" i="2"/>
  <c r="C308" i="2"/>
  <c r="M307" i="2"/>
  <c r="L307" i="2"/>
  <c r="J307" i="2"/>
  <c r="I307" i="2"/>
  <c r="H307" i="2"/>
  <c r="G307" i="2"/>
  <c r="F307" i="2"/>
  <c r="E307" i="2"/>
  <c r="D307" i="2"/>
  <c r="C307" i="2"/>
  <c r="M306" i="2"/>
  <c r="L306" i="2"/>
  <c r="J306" i="2"/>
  <c r="I306" i="2"/>
  <c r="H306" i="2"/>
  <c r="G306" i="2"/>
  <c r="F306" i="2"/>
  <c r="E306" i="2"/>
  <c r="D306" i="2"/>
  <c r="C306" i="2"/>
  <c r="M305" i="2"/>
  <c r="L305" i="2"/>
  <c r="J305" i="2"/>
  <c r="I305" i="2"/>
  <c r="H305" i="2"/>
  <c r="G305" i="2"/>
  <c r="F305" i="2"/>
  <c r="E305" i="2"/>
  <c r="D305" i="2"/>
  <c r="C305" i="2"/>
  <c r="M304" i="2"/>
  <c r="L304" i="2"/>
  <c r="J304" i="2"/>
  <c r="I304" i="2"/>
  <c r="H304" i="2"/>
  <c r="G304" i="2"/>
  <c r="F304" i="2"/>
  <c r="E304" i="2"/>
  <c r="D304" i="2"/>
  <c r="C304" i="2"/>
  <c r="M303" i="2"/>
  <c r="L303" i="2"/>
  <c r="J303" i="2"/>
  <c r="I303" i="2"/>
  <c r="H303" i="2"/>
  <c r="G303" i="2"/>
  <c r="F303" i="2"/>
  <c r="E303" i="2"/>
  <c r="D303" i="2"/>
  <c r="C303" i="2"/>
  <c r="M302" i="2"/>
  <c r="L302" i="2"/>
  <c r="J302" i="2"/>
  <c r="I302" i="2"/>
  <c r="H302" i="2"/>
  <c r="G302" i="2"/>
  <c r="F302" i="2"/>
  <c r="E302" i="2"/>
  <c r="D302" i="2"/>
  <c r="C302" i="2"/>
  <c r="M301" i="2"/>
  <c r="L301" i="2"/>
  <c r="J301" i="2"/>
  <c r="I301" i="2"/>
  <c r="H301" i="2"/>
  <c r="G301" i="2"/>
  <c r="F301" i="2"/>
  <c r="E301" i="2"/>
  <c r="D301" i="2"/>
  <c r="C301" i="2"/>
  <c r="M300" i="2"/>
  <c r="L300" i="2"/>
  <c r="J300" i="2"/>
  <c r="I300" i="2"/>
  <c r="H300" i="2"/>
  <c r="G300" i="2"/>
  <c r="F300" i="2"/>
  <c r="E300" i="2"/>
  <c r="D300" i="2"/>
  <c r="C300" i="2"/>
  <c r="M299" i="2"/>
  <c r="L299" i="2"/>
  <c r="J299" i="2"/>
  <c r="I299" i="2"/>
  <c r="H299" i="2"/>
  <c r="G299" i="2"/>
  <c r="F299" i="2"/>
  <c r="E299" i="2"/>
  <c r="D299" i="2"/>
  <c r="C299" i="2"/>
  <c r="M298" i="2"/>
  <c r="L298" i="2"/>
  <c r="J298" i="2"/>
  <c r="I298" i="2"/>
  <c r="H298" i="2"/>
  <c r="G298" i="2"/>
  <c r="F298" i="2"/>
  <c r="E298" i="2"/>
  <c r="D298" i="2"/>
  <c r="C298" i="2"/>
  <c r="M297" i="2"/>
  <c r="L297" i="2"/>
  <c r="J297" i="2"/>
  <c r="I297" i="2"/>
  <c r="H297" i="2"/>
  <c r="G297" i="2"/>
  <c r="F297" i="2"/>
  <c r="E297" i="2"/>
  <c r="D297" i="2"/>
  <c r="C297" i="2"/>
  <c r="M296" i="2"/>
  <c r="L296" i="2"/>
  <c r="J296" i="2"/>
  <c r="I296" i="2"/>
  <c r="H296" i="2"/>
  <c r="G296" i="2"/>
  <c r="F296" i="2"/>
  <c r="E296" i="2"/>
  <c r="D296" i="2"/>
  <c r="C296" i="2"/>
  <c r="M295" i="2"/>
  <c r="L295" i="2"/>
  <c r="J295" i="2"/>
  <c r="I295" i="2"/>
  <c r="H295" i="2"/>
  <c r="G295" i="2"/>
  <c r="F295" i="2"/>
  <c r="E295" i="2"/>
  <c r="D295" i="2"/>
  <c r="C295" i="2"/>
  <c r="M294" i="2"/>
  <c r="L294" i="2"/>
  <c r="J294" i="2"/>
  <c r="I294" i="2"/>
  <c r="H294" i="2"/>
  <c r="G294" i="2"/>
  <c r="F294" i="2"/>
  <c r="E294" i="2"/>
  <c r="D294" i="2"/>
  <c r="C294" i="2"/>
  <c r="M293" i="2"/>
  <c r="L293" i="2"/>
  <c r="J293" i="2"/>
  <c r="I293" i="2"/>
  <c r="H293" i="2"/>
  <c r="G293" i="2"/>
  <c r="F293" i="2"/>
  <c r="E293" i="2"/>
  <c r="D293" i="2"/>
  <c r="C293" i="2"/>
  <c r="A290" i="2"/>
  <c r="D104" i="2"/>
  <c r="B388" i="2" s="1"/>
  <c r="D103" i="2"/>
  <c r="B387" i="2" s="1"/>
  <c r="D102" i="2"/>
  <c r="B386" i="2" s="1"/>
  <c r="D101" i="2"/>
  <c r="B385" i="2" s="1"/>
  <c r="D100" i="2"/>
  <c r="B384" i="2" s="1"/>
  <c r="D99" i="2"/>
  <c r="B383" i="2" s="1"/>
  <c r="D98" i="2"/>
  <c r="B382" i="2" s="1"/>
  <c r="D97" i="2"/>
  <c r="B381" i="2" s="1"/>
  <c r="D96" i="2"/>
  <c r="B380" i="2" s="1"/>
  <c r="D95" i="2"/>
  <c r="B379" i="2" s="1"/>
  <c r="D94" i="2"/>
  <c r="B378" i="2" s="1"/>
  <c r="D93" i="2"/>
  <c r="B377" i="2" s="1"/>
  <c r="D92" i="2"/>
  <c r="B376" i="2" s="1"/>
  <c r="D91" i="2"/>
  <c r="B375" i="2" s="1"/>
  <c r="D90" i="2"/>
  <c r="B374" i="2" s="1"/>
  <c r="D89" i="2"/>
  <c r="B373" i="2" s="1"/>
  <c r="D88" i="2"/>
  <c r="B372" i="2" s="1"/>
  <c r="D87" i="2"/>
  <c r="B371" i="2" s="1"/>
  <c r="D86" i="2"/>
  <c r="B370" i="2" s="1"/>
  <c r="D85" i="2"/>
  <c r="B369" i="2" s="1"/>
  <c r="D84" i="2"/>
  <c r="B368" i="2" s="1"/>
  <c r="D83" i="2"/>
  <c r="B367" i="2" s="1"/>
  <c r="D82" i="2"/>
  <c r="B366" i="2" s="1"/>
  <c r="D81" i="2"/>
  <c r="B365" i="2" s="1"/>
  <c r="D80" i="2"/>
  <c r="B364" i="2" s="1"/>
  <c r="D79" i="2"/>
  <c r="B363" i="2" s="1"/>
  <c r="D78" i="2"/>
  <c r="B362" i="2" s="1"/>
  <c r="D77" i="2"/>
  <c r="B361" i="2" s="1"/>
  <c r="D76" i="2"/>
  <c r="B360" i="2" s="1"/>
  <c r="D75" i="2"/>
  <c r="B359" i="2" s="1"/>
  <c r="D74" i="2"/>
  <c r="B358" i="2" s="1"/>
  <c r="D73" i="2"/>
  <c r="B357" i="2" s="1"/>
  <c r="D72" i="2"/>
  <c r="B356" i="2" s="1"/>
  <c r="D71" i="2"/>
  <c r="B355" i="2" s="1"/>
  <c r="D70" i="2"/>
  <c r="B354" i="2" s="1"/>
  <c r="D69" i="2"/>
  <c r="B353" i="2" s="1"/>
  <c r="D68" i="2"/>
  <c r="B352" i="2" s="1"/>
  <c r="D67" i="2"/>
  <c r="B351" i="2" s="1"/>
  <c r="D66" i="2"/>
  <c r="B350" i="2" s="1"/>
  <c r="D65" i="2"/>
  <c r="B349" i="2" s="1"/>
  <c r="D64" i="2"/>
  <c r="B348" i="2" s="1"/>
  <c r="D63" i="2"/>
  <c r="B347" i="2" s="1"/>
  <c r="D62" i="2"/>
  <c r="B346" i="2" s="1"/>
  <c r="D61" i="2"/>
  <c r="B345" i="2" s="1"/>
  <c r="D60" i="2"/>
  <c r="B344" i="2" s="1"/>
  <c r="D59" i="2"/>
  <c r="B343" i="2" s="1"/>
  <c r="D58" i="2"/>
  <c r="B342" i="2" s="1"/>
  <c r="D57" i="2"/>
  <c r="B341" i="2" s="1"/>
  <c r="D56" i="2"/>
  <c r="B340" i="2" s="1"/>
  <c r="D55" i="2"/>
  <c r="B339" i="2" s="1"/>
  <c r="D54" i="2"/>
  <c r="B338" i="2" s="1"/>
  <c r="D53" i="2"/>
  <c r="B337" i="2" s="1"/>
  <c r="D52" i="2"/>
  <c r="B336" i="2" s="1"/>
  <c r="D51" i="2"/>
  <c r="B335" i="2" s="1"/>
  <c r="D50" i="2"/>
  <c r="B334" i="2" s="1"/>
  <c r="D49" i="2"/>
  <c r="B333" i="2" s="1"/>
  <c r="D48" i="2"/>
  <c r="B332" i="2" s="1"/>
  <c r="D47" i="2"/>
  <c r="B331" i="2" s="1"/>
  <c r="D46" i="2"/>
  <c r="B330" i="2" s="1"/>
  <c r="D45" i="2"/>
  <c r="B329" i="2" s="1"/>
  <c r="D44" i="2"/>
  <c r="B328" i="2" s="1"/>
  <c r="D43" i="2"/>
  <c r="B327" i="2" s="1"/>
  <c r="D42" i="2"/>
  <c r="B326" i="2" s="1"/>
  <c r="D41" i="2"/>
  <c r="B325" i="2" s="1"/>
  <c r="D40" i="2"/>
  <c r="B324" i="2" s="1"/>
  <c r="D39" i="2"/>
  <c r="B323" i="2" s="1"/>
  <c r="D38" i="2"/>
  <c r="B322" i="2" s="1"/>
  <c r="D37" i="2"/>
  <c r="B321" i="2" s="1"/>
  <c r="D36" i="2"/>
  <c r="B320" i="2" s="1"/>
  <c r="D35" i="2"/>
  <c r="B319" i="2" s="1"/>
  <c r="D34" i="2"/>
  <c r="B318" i="2" s="1"/>
  <c r="D33" i="2"/>
  <c r="B317" i="2" s="1"/>
  <c r="D32" i="2"/>
  <c r="B316" i="2" s="1"/>
  <c r="D31" i="2"/>
  <c r="B315" i="2" s="1"/>
  <c r="D30" i="2"/>
  <c r="B314" i="2" s="1"/>
  <c r="D29" i="2"/>
  <c r="B313" i="2" s="1"/>
  <c r="D28" i="2"/>
  <c r="B312" i="2" s="1"/>
  <c r="D27" i="2"/>
  <c r="B311" i="2" s="1"/>
  <c r="D26" i="2"/>
  <c r="B310" i="2" s="1"/>
  <c r="D25" i="2"/>
  <c r="B309" i="2" s="1"/>
  <c r="D24" i="2"/>
  <c r="B308" i="2" s="1"/>
  <c r="D23" i="2"/>
  <c r="B307" i="2" s="1"/>
  <c r="D22" i="2"/>
  <c r="B306" i="2" s="1"/>
  <c r="D21" i="2"/>
  <c r="B305" i="2" s="1"/>
  <c r="D20" i="2"/>
  <c r="B304" i="2" s="1"/>
  <c r="D19" i="2"/>
  <c r="B303" i="2" s="1"/>
  <c r="D18" i="2"/>
  <c r="B302" i="2" s="1"/>
  <c r="D17" i="2"/>
  <c r="B301" i="2" s="1"/>
  <c r="D16" i="2"/>
  <c r="B300" i="2" s="1"/>
  <c r="D15" i="2"/>
  <c r="B299" i="2" s="1"/>
  <c r="D14" i="2"/>
  <c r="B298" i="2" s="1"/>
  <c r="D13" i="2"/>
  <c r="B297" i="2" s="1"/>
  <c r="D12" i="2"/>
  <c r="B296" i="2" s="1"/>
  <c r="D11" i="2"/>
  <c r="B295" i="2" s="1"/>
  <c r="D10" i="2"/>
  <c r="B294" i="2" s="1"/>
  <c r="D9" i="2"/>
  <c r="B293" i="2" s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P7" i="1"/>
  <c r="O7" i="1"/>
  <c r="N7" i="1"/>
  <c r="M7" i="1"/>
  <c r="L7" i="1"/>
  <c r="K7" i="1"/>
  <c r="J7" i="1"/>
  <c r="I7" i="1"/>
  <c r="H7" i="1"/>
  <c r="G7" i="1"/>
  <c r="F7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P6" i="1"/>
  <c r="O6" i="1"/>
  <c r="N6" i="1"/>
  <c r="M6" i="1"/>
  <c r="L6" i="1"/>
  <c r="K6" i="1"/>
  <c r="J6" i="1"/>
  <c r="I6" i="1"/>
  <c r="H6" i="1"/>
  <c r="G6" i="1"/>
  <c r="F6" i="1"/>
  <c r="L381" i="1"/>
  <c r="K381" i="1"/>
  <c r="J381" i="1"/>
  <c r="I381" i="1"/>
  <c r="H381" i="1"/>
  <c r="G381" i="1"/>
  <c r="F381" i="1"/>
  <c r="E381" i="1"/>
  <c r="D381" i="1"/>
  <c r="C381" i="1"/>
  <c r="L380" i="1"/>
  <c r="K380" i="1"/>
  <c r="J380" i="1"/>
  <c r="I380" i="1"/>
  <c r="H380" i="1"/>
  <c r="G380" i="1"/>
  <c r="F380" i="1"/>
  <c r="E380" i="1"/>
  <c r="D380" i="1"/>
  <c r="C380" i="1"/>
  <c r="L379" i="1"/>
  <c r="K379" i="1"/>
  <c r="J379" i="1"/>
  <c r="I379" i="1"/>
  <c r="H379" i="1"/>
  <c r="G379" i="1"/>
  <c r="F379" i="1"/>
  <c r="E379" i="1"/>
  <c r="D379" i="1"/>
  <c r="C379" i="1"/>
  <c r="L378" i="1"/>
  <c r="K378" i="1"/>
  <c r="J378" i="1"/>
  <c r="I378" i="1"/>
  <c r="H378" i="1"/>
  <c r="G378" i="1"/>
  <c r="F378" i="1"/>
  <c r="E378" i="1"/>
  <c r="D378" i="1"/>
  <c r="C378" i="1"/>
  <c r="L377" i="1"/>
  <c r="K377" i="1"/>
  <c r="J377" i="1"/>
  <c r="I377" i="1"/>
  <c r="H377" i="1"/>
  <c r="G377" i="1"/>
  <c r="F377" i="1"/>
  <c r="E377" i="1"/>
  <c r="D377" i="1"/>
  <c r="C377" i="1"/>
  <c r="L376" i="1"/>
  <c r="K376" i="1"/>
  <c r="J376" i="1"/>
  <c r="I376" i="1"/>
  <c r="H376" i="1"/>
  <c r="G376" i="1"/>
  <c r="F376" i="1"/>
  <c r="E376" i="1"/>
  <c r="D376" i="1"/>
  <c r="C376" i="1"/>
  <c r="L375" i="1"/>
  <c r="K375" i="1"/>
  <c r="J375" i="1"/>
  <c r="I375" i="1"/>
  <c r="H375" i="1"/>
  <c r="G375" i="1"/>
  <c r="F375" i="1"/>
  <c r="E375" i="1"/>
  <c r="D375" i="1"/>
  <c r="C375" i="1"/>
  <c r="L374" i="1"/>
  <c r="K374" i="1"/>
  <c r="J374" i="1"/>
  <c r="I374" i="1"/>
  <c r="H374" i="1"/>
  <c r="G374" i="1"/>
  <c r="F374" i="1"/>
  <c r="E374" i="1"/>
  <c r="D374" i="1"/>
  <c r="C374" i="1"/>
  <c r="L373" i="1"/>
  <c r="K373" i="1"/>
  <c r="J373" i="1"/>
  <c r="I373" i="1"/>
  <c r="H373" i="1"/>
  <c r="G373" i="1"/>
  <c r="F373" i="1"/>
  <c r="E373" i="1"/>
  <c r="D373" i="1"/>
  <c r="C373" i="1"/>
  <c r="L372" i="1"/>
  <c r="K372" i="1"/>
  <c r="J372" i="1"/>
  <c r="I372" i="1"/>
  <c r="H372" i="1"/>
  <c r="G372" i="1"/>
  <c r="F372" i="1"/>
  <c r="E372" i="1"/>
  <c r="D372" i="1"/>
  <c r="C372" i="1"/>
  <c r="L371" i="1"/>
  <c r="K371" i="1"/>
  <c r="J371" i="1"/>
  <c r="I371" i="1"/>
  <c r="H371" i="1"/>
  <c r="G371" i="1"/>
  <c r="F371" i="1"/>
  <c r="E371" i="1"/>
  <c r="D371" i="1"/>
  <c r="C371" i="1"/>
  <c r="L370" i="1"/>
  <c r="K370" i="1"/>
  <c r="J370" i="1"/>
  <c r="I370" i="1"/>
  <c r="H370" i="1"/>
  <c r="G370" i="1"/>
  <c r="F370" i="1"/>
  <c r="E370" i="1"/>
  <c r="D370" i="1"/>
  <c r="C370" i="1"/>
  <c r="L369" i="1"/>
  <c r="K369" i="1"/>
  <c r="J369" i="1"/>
  <c r="I369" i="1"/>
  <c r="H369" i="1"/>
  <c r="G369" i="1"/>
  <c r="F369" i="1"/>
  <c r="E369" i="1"/>
  <c r="D369" i="1"/>
  <c r="C369" i="1"/>
  <c r="L368" i="1"/>
  <c r="K368" i="1"/>
  <c r="J368" i="1"/>
  <c r="I368" i="1"/>
  <c r="H368" i="1"/>
  <c r="G368" i="1"/>
  <c r="F368" i="1"/>
  <c r="E368" i="1"/>
  <c r="D368" i="1"/>
  <c r="C368" i="1"/>
  <c r="L367" i="1"/>
  <c r="K367" i="1"/>
  <c r="J367" i="1"/>
  <c r="I367" i="1"/>
  <c r="H367" i="1"/>
  <c r="G367" i="1"/>
  <c r="F367" i="1"/>
  <c r="E367" i="1"/>
  <c r="D367" i="1"/>
  <c r="C367" i="1"/>
  <c r="L366" i="1"/>
  <c r="K366" i="1"/>
  <c r="J366" i="1"/>
  <c r="I366" i="1"/>
  <c r="H366" i="1"/>
  <c r="G366" i="1"/>
  <c r="F366" i="1"/>
  <c r="E366" i="1"/>
  <c r="D366" i="1"/>
  <c r="C366" i="1"/>
  <c r="L365" i="1"/>
  <c r="K365" i="1"/>
  <c r="J365" i="1"/>
  <c r="I365" i="1"/>
  <c r="H365" i="1"/>
  <c r="G365" i="1"/>
  <c r="F365" i="1"/>
  <c r="E365" i="1"/>
  <c r="D365" i="1"/>
  <c r="C365" i="1"/>
  <c r="L364" i="1"/>
  <c r="K364" i="1"/>
  <c r="J364" i="1"/>
  <c r="I364" i="1"/>
  <c r="H364" i="1"/>
  <c r="G364" i="1"/>
  <c r="F364" i="1"/>
  <c r="E364" i="1"/>
  <c r="D364" i="1"/>
  <c r="C364" i="1"/>
  <c r="L363" i="1"/>
  <c r="K363" i="1"/>
  <c r="J363" i="1"/>
  <c r="I363" i="1"/>
  <c r="H363" i="1"/>
  <c r="G363" i="1"/>
  <c r="F363" i="1"/>
  <c r="E363" i="1"/>
  <c r="D363" i="1"/>
  <c r="C363" i="1"/>
  <c r="L362" i="1"/>
  <c r="K362" i="1"/>
  <c r="J362" i="1"/>
  <c r="I362" i="1"/>
  <c r="H362" i="1"/>
  <c r="G362" i="1"/>
  <c r="F362" i="1"/>
  <c r="E362" i="1"/>
  <c r="D362" i="1"/>
  <c r="C362" i="1"/>
  <c r="L361" i="1"/>
  <c r="K361" i="1"/>
  <c r="J361" i="1"/>
  <c r="I361" i="1"/>
  <c r="H361" i="1"/>
  <c r="G361" i="1"/>
  <c r="F361" i="1"/>
  <c r="E361" i="1"/>
  <c r="D361" i="1"/>
  <c r="C361" i="1"/>
  <c r="L360" i="1"/>
  <c r="K360" i="1"/>
  <c r="J360" i="1"/>
  <c r="I360" i="1"/>
  <c r="H360" i="1"/>
  <c r="G360" i="1"/>
  <c r="F360" i="1"/>
  <c r="E360" i="1"/>
  <c r="D360" i="1"/>
  <c r="C360" i="1"/>
  <c r="L359" i="1"/>
  <c r="K359" i="1"/>
  <c r="J359" i="1"/>
  <c r="I359" i="1"/>
  <c r="H359" i="1"/>
  <c r="G359" i="1"/>
  <c r="F359" i="1"/>
  <c r="E359" i="1"/>
  <c r="D359" i="1"/>
  <c r="C359" i="1"/>
  <c r="L358" i="1"/>
  <c r="K358" i="1"/>
  <c r="J358" i="1"/>
  <c r="I358" i="1"/>
  <c r="H358" i="1"/>
  <c r="G358" i="1"/>
  <c r="F358" i="1"/>
  <c r="E358" i="1"/>
  <c r="D358" i="1"/>
  <c r="C358" i="1"/>
  <c r="L357" i="1"/>
  <c r="K357" i="1"/>
  <c r="J357" i="1"/>
  <c r="I357" i="1"/>
  <c r="H357" i="1"/>
  <c r="G357" i="1"/>
  <c r="F357" i="1"/>
  <c r="E357" i="1"/>
  <c r="D357" i="1"/>
  <c r="C357" i="1"/>
  <c r="L356" i="1"/>
  <c r="K356" i="1"/>
  <c r="J356" i="1"/>
  <c r="I356" i="1"/>
  <c r="H356" i="1"/>
  <c r="G356" i="1"/>
  <c r="F356" i="1"/>
  <c r="E356" i="1"/>
  <c r="D356" i="1"/>
  <c r="C356" i="1"/>
  <c r="L355" i="1"/>
  <c r="K355" i="1"/>
  <c r="J355" i="1"/>
  <c r="I355" i="1"/>
  <c r="H355" i="1"/>
  <c r="G355" i="1"/>
  <c r="F355" i="1"/>
  <c r="E355" i="1"/>
  <c r="D355" i="1"/>
  <c r="C355" i="1"/>
  <c r="L354" i="1"/>
  <c r="K354" i="1"/>
  <c r="J354" i="1"/>
  <c r="I354" i="1"/>
  <c r="H354" i="1"/>
  <c r="G354" i="1"/>
  <c r="F354" i="1"/>
  <c r="E354" i="1"/>
  <c r="D354" i="1"/>
  <c r="C354" i="1"/>
  <c r="B354" i="1"/>
  <c r="L353" i="1"/>
  <c r="K353" i="1"/>
  <c r="J353" i="1"/>
  <c r="I353" i="1"/>
  <c r="H353" i="1"/>
  <c r="G353" i="1"/>
  <c r="F353" i="1"/>
  <c r="E353" i="1"/>
  <c r="D353" i="1"/>
  <c r="C353" i="1"/>
  <c r="L352" i="1"/>
  <c r="K352" i="1"/>
  <c r="J352" i="1"/>
  <c r="I352" i="1"/>
  <c r="H352" i="1"/>
  <c r="G352" i="1"/>
  <c r="F352" i="1"/>
  <c r="E352" i="1"/>
  <c r="D352" i="1"/>
  <c r="C352" i="1"/>
  <c r="L351" i="1"/>
  <c r="K351" i="1"/>
  <c r="J351" i="1"/>
  <c r="I351" i="1"/>
  <c r="H351" i="1"/>
  <c r="G351" i="1"/>
  <c r="F351" i="1"/>
  <c r="E351" i="1"/>
  <c r="D351" i="1"/>
  <c r="C351" i="1"/>
  <c r="L350" i="1"/>
  <c r="K350" i="1"/>
  <c r="J350" i="1"/>
  <c r="I350" i="1"/>
  <c r="H350" i="1"/>
  <c r="G350" i="1"/>
  <c r="F350" i="1"/>
  <c r="E350" i="1"/>
  <c r="D350" i="1"/>
  <c r="C350" i="1"/>
  <c r="L349" i="1"/>
  <c r="K349" i="1"/>
  <c r="J349" i="1"/>
  <c r="I349" i="1"/>
  <c r="H349" i="1"/>
  <c r="G349" i="1"/>
  <c r="F349" i="1"/>
  <c r="E349" i="1"/>
  <c r="D349" i="1"/>
  <c r="C349" i="1"/>
  <c r="L348" i="1"/>
  <c r="K348" i="1"/>
  <c r="J348" i="1"/>
  <c r="I348" i="1"/>
  <c r="H348" i="1"/>
  <c r="G348" i="1"/>
  <c r="F348" i="1"/>
  <c r="E348" i="1"/>
  <c r="D348" i="1"/>
  <c r="C348" i="1"/>
  <c r="L347" i="1"/>
  <c r="K347" i="1"/>
  <c r="J347" i="1"/>
  <c r="I347" i="1"/>
  <c r="H347" i="1"/>
  <c r="G347" i="1"/>
  <c r="F347" i="1"/>
  <c r="E347" i="1"/>
  <c r="D347" i="1"/>
  <c r="C347" i="1"/>
  <c r="L346" i="1"/>
  <c r="K346" i="1"/>
  <c r="J346" i="1"/>
  <c r="I346" i="1"/>
  <c r="H346" i="1"/>
  <c r="G346" i="1"/>
  <c r="F346" i="1"/>
  <c r="E346" i="1"/>
  <c r="D346" i="1"/>
  <c r="C346" i="1"/>
  <c r="L345" i="1"/>
  <c r="K345" i="1"/>
  <c r="J345" i="1"/>
  <c r="I345" i="1"/>
  <c r="H345" i="1"/>
  <c r="G345" i="1"/>
  <c r="F345" i="1"/>
  <c r="E345" i="1"/>
  <c r="D345" i="1"/>
  <c r="C345" i="1"/>
  <c r="L344" i="1"/>
  <c r="K344" i="1"/>
  <c r="J344" i="1"/>
  <c r="I344" i="1"/>
  <c r="H344" i="1"/>
  <c r="G344" i="1"/>
  <c r="F344" i="1"/>
  <c r="E344" i="1"/>
  <c r="D344" i="1"/>
  <c r="C344" i="1"/>
  <c r="L343" i="1"/>
  <c r="K343" i="1"/>
  <c r="J343" i="1"/>
  <c r="I343" i="1"/>
  <c r="H343" i="1"/>
  <c r="G343" i="1"/>
  <c r="F343" i="1"/>
  <c r="E343" i="1"/>
  <c r="D343" i="1"/>
  <c r="C343" i="1"/>
  <c r="L342" i="1"/>
  <c r="K342" i="1"/>
  <c r="J342" i="1"/>
  <c r="I342" i="1"/>
  <c r="H342" i="1"/>
  <c r="G342" i="1"/>
  <c r="F342" i="1"/>
  <c r="E342" i="1"/>
  <c r="D342" i="1"/>
  <c r="C342" i="1"/>
  <c r="L341" i="1"/>
  <c r="K341" i="1"/>
  <c r="J341" i="1"/>
  <c r="I341" i="1"/>
  <c r="H341" i="1"/>
  <c r="G341" i="1"/>
  <c r="F341" i="1"/>
  <c r="E341" i="1"/>
  <c r="D341" i="1"/>
  <c r="C341" i="1"/>
  <c r="L340" i="1"/>
  <c r="K340" i="1"/>
  <c r="J340" i="1"/>
  <c r="I340" i="1"/>
  <c r="H340" i="1"/>
  <c r="G340" i="1"/>
  <c r="F340" i="1"/>
  <c r="E340" i="1"/>
  <c r="D340" i="1"/>
  <c r="C340" i="1"/>
  <c r="L339" i="1"/>
  <c r="K339" i="1"/>
  <c r="J339" i="1"/>
  <c r="I339" i="1"/>
  <c r="H339" i="1"/>
  <c r="G339" i="1"/>
  <c r="F339" i="1"/>
  <c r="E339" i="1"/>
  <c r="D339" i="1"/>
  <c r="C339" i="1"/>
  <c r="L338" i="1"/>
  <c r="K338" i="1"/>
  <c r="J338" i="1"/>
  <c r="I338" i="1"/>
  <c r="H338" i="1"/>
  <c r="G338" i="1"/>
  <c r="F338" i="1"/>
  <c r="E338" i="1"/>
  <c r="D338" i="1"/>
  <c r="C338" i="1"/>
  <c r="L337" i="1"/>
  <c r="K337" i="1"/>
  <c r="J337" i="1"/>
  <c r="I337" i="1"/>
  <c r="H337" i="1"/>
  <c r="G337" i="1"/>
  <c r="F337" i="1"/>
  <c r="E337" i="1"/>
  <c r="D337" i="1"/>
  <c r="C337" i="1"/>
  <c r="L336" i="1"/>
  <c r="K336" i="1"/>
  <c r="J336" i="1"/>
  <c r="I336" i="1"/>
  <c r="H336" i="1"/>
  <c r="G336" i="1"/>
  <c r="F336" i="1"/>
  <c r="E336" i="1"/>
  <c r="D336" i="1"/>
  <c r="C336" i="1"/>
  <c r="L335" i="1"/>
  <c r="K335" i="1"/>
  <c r="J335" i="1"/>
  <c r="I335" i="1"/>
  <c r="H335" i="1"/>
  <c r="G335" i="1"/>
  <c r="F335" i="1"/>
  <c r="E335" i="1"/>
  <c r="D335" i="1"/>
  <c r="C335" i="1"/>
  <c r="L334" i="1"/>
  <c r="K334" i="1"/>
  <c r="J334" i="1"/>
  <c r="I334" i="1"/>
  <c r="H334" i="1"/>
  <c r="G334" i="1"/>
  <c r="F334" i="1"/>
  <c r="E334" i="1"/>
  <c r="D334" i="1"/>
  <c r="C334" i="1"/>
  <c r="L333" i="1"/>
  <c r="K333" i="1"/>
  <c r="J333" i="1"/>
  <c r="I333" i="1"/>
  <c r="H333" i="1"/>
  <c r="G333" i="1"/>
  <c r="F333" i="1"/>
  <c r="E333" i="1"/>
  <c r="D333" i="1"/>
  <c r="C333" i="1"/>
  <c r="L332" i="1"/>
  <c r="K332" i="1"/>
  <c r="J332" i="1"/>
  <c r="I332" i="1"/>
  <c r="H332" i="1"/>
  <c r="G332" i="1"/>
  <c r="F332" i="1"/>
  <c r="E332" i="1"/>
  <c r="D332" i="1"/>
  <c r="C332" i="1"/>
  <c r="L331" i="1"/>
  <c r="K331" i="1"/>
  <c r="J331" i="1"/>
  <c r="I331" i="1"/>
  <c r="H331" i="1"/>
  <c r="G331" i="1"/>
  <c r="F331" i="1"/>
  <c r="E331" i="1"/>
  <c r="D331" i="1"/>
  <c r="C331" i="1"/>
  <c r="L330" i="1"/>
  <c r="K330" i="1"/>
  <c r="J330" i="1"/>
  <c r="I330" i="1"/>
  <c r="H330" i="1"/>
  <c r="G330" i="1"/>
  <c r="F330" i="1"/>
  <c r="E330" i="1"/>
  <c r="D330" i="1"/>
  <c r="C330" i="1"/>
  <c r="L329" i="1"/>
  <c r="K329" i="1"/>
  <c r="J329" i="1"/>
  <c r="I329" i="1"/>
  <c r="H329" i="1"/>
  <c r="G329" i="1"/>
  <c r="F329" i="1"/>
  <c r="E329" i="1"/>
  <c r="D329" i="1"/>
  <c r="C329" i="1"/>
  <c r="L328" i="1"/>
  <c r="K328" i="1"/>
  <c r="J328" i="1"/>
  <c r="I328" i="1"/>
  <c r="H328" i="1"/>
  <c r="G328" i="1"/>
  <c r="F328" i="1"/>
  <c r="E328" i="1"/>
  <c r="D328" i="1"/>
  <c r="C328" i="1"/>
  <c r="L327" i="1"/>
  <c r="K327" i="1"/>
  <c r="J327" i="1"/>
  <c r="I327" i="1"/>
  <c r="H327" i="1"/>
  <c r="G327" i="1"/>
  <c r="F327" i="1"/>
  <c r="E327" i="1"/>
  <c r="D327" i="1"/>
  <c r="C327" i="1"/>
  <c r="L326" i="1"/>
  <c r="K326" i="1"/>
  <c r="J326" i="1"/>
  <c r="I326" i="1"/>
  <c r="H326" i="1"/>
  <c r="G326" i="1"/>
  <c r="F326" i="1"/>
  <c r="E326" i="1"/>
  <c r="D326" i="1"/>
  <c r="C326" i="1"/>
  <c r="L325" i="1"/>
  <c r="K325" i="1"/>
  <c r="J325" i="1"/>
  <c r="I325" i="1"/>
  <c r="H325" i="1"/>
  <c r="G325" i="1"/>
  <c r="F325" i="1"/>
  <c r="E325" i="1"/>
  <c r="D325" i="1"/>
  <c r="C325" i="1"/>
  <c r="L324" i="1"/>
  <c r="K324" i="1"/>
  <c r="J324" i="1"/>
  <c r="I324" i="1"/>
  <c r="H324" i="1"/>
  <c r="G324" i="1"/>
  <c r="F324" i="1"/>
  <c r="E324" i="1"/>
  <c r="D324" i="1"/>
  <c r="C324" i="1"/>
  <c r="L323" i="1"/>
  <c r="K323" i="1"/>
  <c r="J323" i="1"/>
  <c r="I323" i="1"/>
  <c r="H323" i="1"/>
  <c r="G323" i="1"/>
  <c r="F323" i="1"/>
  <c r="E323" i="1"/>
  <c r="D323" i="1"/>
  <c r="C323" i="1"/>
  <c r="L322" i="1"/>
  <c r="K322" i="1"/>
  <c r="J322" i="1"/>
  <c r="I322" i="1"/>
  <c r="H322" i="1"/>
  <c r="G322" i="1"/>
  <c r="F322" i="1"/>
  <c r="E322" i="1"/>
  <c r="D322" i="1"/>
  <c r="C322" i="1"/>
  <c r="L321" i="1"/>
  <c r="K321" i="1"/>
  <c r="J321" i="1"/>
  <c r="I321" i="1"/>
  <c r="H321" i="1"/>
  <c r="G321" i="1"/>
  <c r="F321" i="1"/>
  <c r="E321" i="1"/>
  <c r="D321" i="1"/>
  <c r="C321" i="1"/>
  <c r="L320" i="1"/>
  <c r="K320" i="1"/>
  <c r="J320" i="1"/>
  <c r="I320" i="1"/>
  <c r="H320" i="1"/>
  <c r="G320" i="1"/>
  <c r="F320" i="1"/>
  <c r="E320" i="1"/>
  <c r="D320" i="1"/>
  <c r="C320" i="1"/>
  <c r="L319" i="1"/>
  <c r="K319" i="1"/>
  <c r="J319" i="1"/>
  <c r="I319" i="1"/>
  <c r="H319" i="1"/>
  <c r="G319" i="1"/>
  <c r="F319" i="1"/>
  <c r="E319" i="1"/>
  <c r="D319" i="1"/>
  <c r="C319" i="1"/>
  <c r="L318" i="1"/>
  <c r="K318" i="1"/>
  <c r="J318" i="1"/>
  <c r="I318" i="1"/>
  <c r="H318" i="1"/>
  <c r="G318" i="1"/>
  <c r="F318" i="1"/>
  <c r="E318" i="1"/>
  <c r="D318" i="1"/>
  <c r="C318" i="1"/>
  <c r="L317" i="1"/>
  <c r="K317" i="1"/>
  <c r="J317" i="1"/>
  <c r="I317" i="1"/>
  <c r="H317" i="1"/>
  <c r="G317" i="1"/>
  <c r="F317" i="1"/>
  <c r="E317" i="1"/>
  <c r="D317" i="1"/>
  <c r="C317" i="1"/>
  <c r="L316" i="1"/>
  <c r="K316" i="1"/>
  <c r="J316" i="1"/>
  <c r="I316" i="1"/>
  <c r="H316" i="1"/>
  <c r="G316" i="1"/>
  <c r="F316" i="1"/>
  <c r="E316" i="1"/>
  <c r="D316" i="1"/>
  <c r="C316" i="1"/>
  <c r="L315" i="1"/>
  <c r="K315" i="1"/>
  <c r="J315" i="1"/>
  <c r="I315" i="1"/>
  <c r="H315" i="1"/>
  <c r="G315" i="1"/>
  <c r="F315" i="1"/>
  <c r="E315" i="1"/>
  <c r="D315" i="1"/>
  <c r="C315" i="1"/>
  <c r="L314" i="1"/>
  <c r="K314" i="1"/>
  <c r="J314" i="1"/>
  <c r="I314" i="1"/>
  <c r="H314" i="1"/>
  <c r="G314" i="1"/>
  <c r="F314" i="1"/>
  <c r="E314" i="1"/>
  <c r="D314" i="1"/>
  <c r="C314" i="1"/>
  <c r="L313" i="1"/>
  <c r="K313" i="1"/>
  <c r="J313" i="1"/>
  <c r="I313" i="1"/>
  <c r="H313" i="1"/>
  <c r="G313" i="1"/>
  <c r="F313" i="1"/>
  <c r="E313" i="1"/>
  <c r="D313" i="1"/>
  <c r="C313" i="1"/>
  <c r="L312" i="1"/>
  <c r="K312" i="1"/>
  <c r="J312" i="1"/>
  <c r="I312" i="1"/>
  <c r="H312" i="1"/>
  <c r="G312" i="1"/>
  <c r="F312" i="1"/>
  <c r="E312" i="1"/>
  <c r="D312" i="1"/>
  <c r="C312" i="1"/>
  <c r="L311" i="1"/>
  <c r="K311" i="1"/>
  <c r="J311" i="1"/>
  <c r="I311" i="1"/>
  <c r="H311" i="1"/>
  <c r="G311" i="1"/>
  <c r="F311" i="1"/>
  <c r="E311" i="1"/>
  <c r="D311" i="1"/>
  <c r="C311" i="1"/>
  <c r="L310" i="1"/>
  <c r="K310" i="1"/>
  <c r="J310" i="1"/>
  <c r="I310" i="1"/>
  <c r="H310" i="1"/>
  <c r="G310" i="1"/>
  <c r="F310" i="1"/>
  <c r="E310" i="1"/>
  <c r="D310" i="1"/>
  <c r="C310" i="1"/>
  <c r="L309" i="1"/>
  <c r="K309" i="1"/>
  <c r="J309" i="1"/>
  <c r="I309" i="1"/>
  <c r="H309" i="1"/>
  <c r="G309" i="1"/>
  <c r="F309" i="1"/>
  <c r="E309" i="1"/>
  <c r="D309" i="1"/>
  <c r="C309" i="1"/>
  <c r="B309" i="1"/>
  <c r="L308" i="1"/>
  <c r="K308" i="1"/>
  <c r="J308" i="1"/>
  <c r="I308" i="1"/>
  <c r="H308" i="1"/>
  <c r="G308" i="1"/>
  <c r="F308" i="1"/>
  <c r="E308" i="1"/>
  <c r="D308" i="1"/>
  <c r="C308" i="1"/>
  <c r="L307" i="1"/>
  <c r="K307" i="1"/>
  <c r="J307" i="1"/>
  <c r="I307" i="1"/>
  <c r="H307" i="1"/>
  <c r="G307" i="1"/>
  <c r="F307" i="1"/>
  <c r="E307" i="1"/>
  <c r="D307" i="1"/>
  <c r="C307" i="1"/>
  <c r="L306" i="1"/>
  <c r="K306" i="1"/>
  <c r="J306" i="1"/>
  <c r="I306" i="1"/>
  <c r="H306" i="1"/>
  <c r="G306" i="1"/>
  <c r="F306" i="1"/>
  <c r="E306" i="1"/>
  <c r="D306" i="1"/>
  <c r="C306" i="1"/>
  <c r="L305" i="1"/>
  <c r="K305" i="1"/>
  <c r="J305" i="1"/>
  <c r="I305" i="1"/>
  <c r="H305" i="1"/>
  <c r="G305" i="1"/>
  <c r="F305" i="1"/>
  <c r="E305" i="1"/>
  <c r="D305" i="1"/>
  <c r="C305" i="1"/>
  <c r="L304" i="1"/>
  <c r="K304" i="1"/>
  <c r="J304" i="1"/>
  <c r="I304" i="1"/>
  <c r="H304" i="1"/>
  <c r="G304" i="1"/>
  <c r="F304" i="1"/>
  <c r="E304" i="1"/>
  <c r="D304" i="1"/>
  <c r="C304" i="1"/>
  <c r="L303" i="1"/>
  <c r="K303" i="1"/>
  <c r="J303" i="1"/>
  <c r="I303" i="1"/>
  <c r="H303" i="1"/>
  <c r="G303" i="1"/>
  <c r="F303" i="1"/>
  <c r="E303" i="1"/>
  <c r="D303" i="1"/>
  <c r="C303" i="1"/>
  <c r="L302" i="1"/>
  <c r="K302" i="1"/>
  <c r="J302" i="1"/>
  <c r="I302" i="1"/>
  <c r="H302" i="1"/>
  <c r="G302" i="1"/>
  <c r="F302" i="1"/>
  <c r="E302" i="1"/>
  <c r="D302" i="1"/>
  <c r="C302" i="1"/>
  <c r="L301" i="1"/>
  <c r="K301" i="1"/>
  <c r="J301" i="1"/>
  <c r="I301" i="1"/>
  <c r="H301" i="1"/>
  <c r="G301" i="1"/>
  <c r="F301" i="1"/>
  <c r="E301" i="1"/>
  <c r="D301" i="1"/>
  <c r="C301" i="1"/>
  <c r="L300" i="1"/>
  <c r="K300" i="1"/>
  <c r="J300" i="1"/>
  <c r="I300" i="1"/>
  <c r="H300" i="1"/>
  <c r="G300" i="1"/>
  <c r="F300" i="1"/>
  <c r="E300" i="1"/>
  <c r="D300" i="1"/>
  <c r="C300" i="1"/>
  <c r="L299" i="1"/>
  <c r="K299" i="1"/>
  <c r="J299" i="1"/>
  <c r="I299" i="1"/>
  <c r="H299" i="1"/>
  <c r="G299" i="1"/>
  <c r="F299" i="1"/>
  <c r="E299" i="1"/>
  <c r="D299" i="1"/>
  <c r="C299" i="1"/>
  <c r="L298" i="1"/>
  <c r="K298" i="1"/>
  <c r="J298" i="1"/>
  <c r="I298" i="1"/>
  <c r="H298" i="1"/>
  <c r="G298" i="1"/>
  <c r="F298" i="1"/>
  <c r="E298" i="1"/>
  <c r="D298" i="1"/>
  <c r="C298" i="1"/>
  <c r="L297" i="1"/>
  <c r="K297" i="1"/>
  <c r="J297" i="1"/>
  <c r="I297" i="1"/>
  <c r="H297" i="1"/>
  <c r="G297" i="1"/>
  <c r="F297" i="1"/>
  <c r="E297" i="1"/>
  <c r="D297" i="1"/>
  <c r="C297" i="1"/>
  <c r="L296" i="1"/>
  <c r="K296" i="1"/>
  <c r="J296" i="1"/>
  <c r="I296" i="1"/>
  <c r="H296" i="1"/>
  <c r="G296" i="1"/>
  <c r="F296" i="1"/>
  <c r="E296" i="1"/>
  <c r="D296" i="1"/>
  <c r="C296" i="1"/>
  <c r="L295" i="1"/>
  <c r="K295" i="1"/>
  <c r="J295" i="1"/>
  <c r="I295" i="1"/>
  <c r="H295" i="1"/>
  <c r="G295" i="1"/>
  <c r="F295" i="1"/>
  <c r="E295" i="1"/>
  <c r="D295" i="1"/>
  <c r="C295" i="1"/>
  <c r="L294" i="1"/>
  <c r="K294" i="1"/>
  <c r="J294" i="1"/>
  <c r="I294" i="1"/>
  <c r="H294" i="1"/>
  <c r="G294" i="1"/>
  <c r="F294" i="1"/>
  <c r="E294" i="1"/>
  <c r="D294" i="1"/>
  <c r="C294" i="1"/>
  <c r="L293" i="1"/>
  <c r="K293" i="1"/>
  <c r="J293" i="1"/>
  <c r="I293" i="1"/>
  <c r="H293" i="1"/>
  <c r="G293" i="1"/>
  <c r="F293" i="1"/>
  <c r="E293" i="1"/>
  <c r="D293" i="1"/>
  <c r="C293" i="1"/>
  <c r="L292" i="1"/>
  <c r="K292" i="1"/>
  <c r="J292" i="1"/>
  <c r="I292" i="1"/>
  <c r="H292" i="1"/>
  <c r="G292" i="1"/>
  <c r="F292" i="1"/>
  <c r="E292" i="1"/>
  <c r="D292" i="1"/>
  <c r="C292" i="1"/>
  <c r="L291" i="1"/>
  <c r="K291" i="1"/>
  <c r="J291" i="1"/>
  <c r="I291" i="1"/>
  <c r="H291" i="1"/>
  <c r="G291" i="1"/>
  <c r="F291" i="1"/>
  <c r="E291" i="1"/>
  <c r="D291" i="1"/>
  <c r="C291" i="1"/>
  <c r="L290" i="1"/>
  <c r="K290" i="1"/>
  <c r="J290" i="1"/>
  <c r="I290" i="1"/>
  <c r="H290" i="1"/>
  <c r="G290" i="1"/>
  <c r="F290" i="1"/>
  <c r="E290" i="1"/>
  <c r="D290" i="1"/>
  <c r="C290" i="1"/>
  <c r="L289" i="1"/>
  <c r="K289" i="1"/>
  <c r="J289" i="1"/>
  <c r="I289" i="1"/>
  <c r="H289" i="1"/>
  <c r="G289" i="1"/>
  <c r="F289" i="1"/>
  <c r="E289" i="1"/>
  <c r="D289" i="1"/>
  <c r="C289" i="1"/>
  <c r="L288" i="1"/>
  <c r="K288" i="1"/>
  <c r="J288" i="1"/>
  <c r="I288" i="1"/>
  <c r="H288" i="1"/>
  <c r="G288" i="1"/>
  <c r="F288" i="1"/>
  <c r="E288" i="1"/>
  <c r="D288" i="1"/>
  <c r="C288" i="1"/>
  <c r="L287" i="1"/>
  <c r="K287" i="1"/>
  <c r="J287" i="1"/>
  <c r="I287" i="1"/>
  <c r="H287" i="1"/>
  <c r="G287" i="1"/>
  <c r="F287" i="1"/>
  <c r="E287" i="1"/>
  <c r="D287" i="1"/>
  <c r="C287" i="1"/>
  <c r="L286" i="1"/>
  <c r="K286" i="1"/>
  <c r="J286" i="1"/>
  <c r="I286" i="1"/>
  <c r="H286" i="1"/>
  <c r="G286" i="1"/>
  <c r="F286" i="1"/>
  <c r="E286" i="1"/>
  <c r="D286" i="1"/>
  <c r="C286" i="1"/>
  <c r="O285" i="1"/>
  <c r="L285" i="1"/>
  <c r="K285" i="1"/>
  <c r="J285" i="1"/>
  <c r="I285" i="1"/>
  <c r="H285" i="1"/>
  <c r="G285" i="1"/>
  <c r="F285" i="1"/>
  <c r="E285" i="1"/>
  <c r="D285" i="1"/>
  <c r="C285" i="1"/>
  <c r="B285" i="1"/>
  <c r="A283" i="1"/>
  <c r="D104" i="1"/>
  <c r="B381" i="1" s="1"/>
  <c r="D103" i="1"/>
  <c r="B380" i="1" s="1"/>
  <c r="D102" i="1"/>
  <c r="B379" i="1" s="1"/>
  <c r="D101" i="1"/>
  <c r="B378" i="1" s="1"/>
  <c r="D100" i="1"/>
  <c r="B377" i="1" s="1"/>
  <c r="D99" i="1"/>
  <c r="B376" i="1" s="1"/>
  <c r="D98" i="1"/>
  <c r="B375" i="1" s="1"/>
  <c r="D97" i="1"/>
  <c r="B374" i="1" s="1"/>
  <c r="D96" i="1"/>
  <c r="B373" i="1" s="1"/>
  <c r="D95" i="1"/>
  <c r="B372" i="1" s="1"/>
  <c r="D94" i="1"/>
  <c r="B371" i="1" s="1"/>
  <c r="D93" i="1"/>
  <c r="B370" i="1" s="1"/>
  <c r="D92" i="1"/>
  <c r="B369" i="1" s="1"/>
  <c r="D91" i="1"/>
  <c r="B368" i="1" s="1"/>
  <c r="D90" i="1"/>
  <c r="B367" i="1" s="1"/>
  <c r="D89" i="1"/>
  <c r="B366" i="1" s="1"/>
  <c r="D88" i="1"/>
  <c r="B365" i="1" s="1"/>
  <c r="D87" i="1"/>
  <c r="B364" i="1" s="1"/>
  <c r="D86" i="1"/>
  <c r="B363" i="1" s="1"/>
  <c r="D85" i="1"/>
  <c r="B362" i="1" s="1"/>
  <c r="D84" i="1"/>
  <c r="B361" i="1" s="1"/>
  <c r="D83" i="1"/>
  <c r="B360" i="1" s="1"/>
  <c r="D82" i="1"/>
  <c r="B359" i="1" s="1"/>
  <c r="D81" i="1"/>
  <c r="B358" i="1" s="1"/>
  <c r="D80" i="1"/>
  <c r="B357" i="1" s="1"/>
  <c r="D79" i="1"/>
  <c r="B356" i="1" s="1"/>
  <c r="D78" i="1"/>
  <c r="B355" i="1" s="1"/>
  <c r="D77" i="1"/>
  <c r="D76" i="1"/>
  <c r="B353" i="1" s="1"/>
  <c r="D75" i="1"/>
  <c r="B352" i="1" s="1"/>
  <c r="D74" i="1"/>
  <c r="B351" i="1" s="1"/>
  <c r="D73" i="1"/>
  <c r="B350" i="1" s="1"/>
  <c r="D72" i="1"/>
  <c r="B349" i="1" s="1"/>
  <c r="D71" i="1"/>
  <c r="B348" i="1" s="1"/>
  <c r="D70" i="1"/>
  <c r="B347" i="1" s="1"/>
  <c r="D69" i="1"/>
  <c r="B346" i="1" s="1"/>
  <c r="D68" i="1"/>
  <c r="B345" i="1" s="1"/>
  <c r="D67" i="1"/>
  <c r="B344" i="1" s="1"/>
  <c r="D66" i="1"/>
  <c r="B343" i="1" s="1"/>
  <c r="D65" i="1"/>
  <c r="B342" i="1" s="1"/>
  <c r="D64" i="1"/>
  <c r="B341" i="1" s="1"/>
  <c r="D63" i="1"/>
  <c r="B340" i="1" s="1"/>
  <c r="D62" i="1"/>
  <c r="B339" i="1" s="1"/>
  <c r="D61" i="1"/>
  <c r="B338" i="1" s="1"/>
  <c r="D60" i="1"/>
  <c r="B337" i="1" s="1"/>
  <c r="D59" i="1"/>
  <c r="B336" i="1" s="1"/>
  <c r="D58" i="1"/>
  <c r="B335" i="1" s="1"/>
  <c r="D57" i="1"/>
  <c r="B334" i="1" s="1"/>
  <c r="D56" i="1"/>
  <c r="B333" i="1" s="1"/>
  <c r="D55" i="1"/>
  <c r="B332" i="1" s="1"/>
  <c r="D54" i="1"/>
  <c r="B331" i="1" s="1"/>
  <c r="D53" i="1"/>
  <c r="B330" i="1" s="1"/>
  <c r="D52" i="1"/>
  <c r="B329" i="1" s="1"/>
  <c r="D51" i="1"/>
  <c r="B328" i="1" s="1"/>
  <c r="D50" i="1"/>
  <c r="B327" i="1" s="1"/>
  <c r="D49" i="1"/>
  <c r="B326" i="1" s="1"/>
  <c r="D48" i="1"/>
  <c r="B325" i="1" s="1"/>
  <c r="D47" i="1"/>
  <c r="B324" i="1" s="1"/>
  <c r="D46" i="1"/>
  <c r="B323" i="1" s="1"/>
  <c r="D45" i="1"/>
  <c r="B322" i="1" s="1"/>
  <c r="D44" i="1"/>
  <c r="B321" i="1" s="1"/>
  <c r="D43" i="1"/>
  <c r="B320" i="1" s="1"/>
  <c r="D42" i="1"/>
  <c r="B319" i="1" s="1"/>
  <c r="D41" i="1"/>
  <c r="B318" i="1" s="1"/>
  <c r="D40" i="1"/>
  <c r="B317" i="1" s="1"/>
  <c r="D39" i="1"/>
  <c r="B316" i="1" s="1"/>
  <c r="D38" i="1"/>
  <c r="B315" i="1" s="1"/>
  <c r="D37" i="1"/>
  <c r="B314" i="1" s="1"/>
  <c r="D36" i="1"/>
  <c r="B313" i="1" s="1"/>
  <c r="D35" i="1"/>
  <c r="B312" i="1" s="1"/>
  <c r="D34" i="1"/>
  <c r="B311" i="1" s="1"/>
  <c r="D33" i="1"/>
  <c r="B310" i="1" s="1"/>
  <c r="D32" i="1"/>
  <c r="D31" i="1"/>
  <c r="B308" i="1" s="1"/>
  <c r="D30" i="1"/>
  <c r="B307" i="1" s="1"/>
  <c r="D29" i="1"/>
  <c r="B306" i="1" s="1"/>
  <c r="D28" i="1"/>
  <c r="B305" i="1" s="1"/>
  <c r="D27" i="1"/>
  <c r="B304" i="1" s="1"/>
  <c r="D26" i="1"/>
  <c r="B303" i="1" s="1"/>
  <c r="D25" i="1"/>
  <c r="B302" i="1" s="1"/>
  <c r="D24" i="1"/>
  <c r="B301" i="1" s="1"/>
  <c r="D23" i="1"/>
  <c r="B300" i="1" s="1"/>
  <c r="D22" i="1"/>
  <c r="B299" i="1" s="1"/>
  <c r="D21" i="1"/>
  <c r="B298" i="1" s="1"/>
  <c r="D20" i="1"/>
  <c r="B297" i="1" s="1"/>
  <c r="D19" i="1"/>
  <c r="B296" i="1" s="1"/>
  <c r="D18" i="1"/>
  <c r="B295" i="1" s="1"/>
  <c r="D17" i="1"/>
  <c r="B294" i="1" s="1"/>
  <c r="D16" i="1"/>
  <c r="B293" i="1" s="1"/>
  <c r="D15" i="1"/>
  <c r="B292" i="1" s="1"/>
  <c r="D14" i="1"/>
  <c r="B291" i="1" s="1"/>
  <c r="D13" i="1"/>
  <c r="B290" i="1" s="1"/>
  <c r="D12" i="1"/>
  <c r="B289" i="1" s="1"/>
  <c r="D11" i="1"/>
  <c r="B288" i="1" s="1"/>
  <c r="D10" i="1"/>
  <c r="B287" i="1" s="1"/>
  <c r="D9" i="1"/>
  <c r="B286" i="1" s="1"/>
  <c r="W99" i="8" l="1"/>
  <c r="V99" i="8"/>
  <c r="Z99" i="8" s="1"/>
  <c r="W98" i="8"/>
  <c r="V98" i="8"/>
  <c r="W97" i="8"/>
  <c r="V97" i="8"/>
  <c r="Z97" i="8" s="1"/>
  <c r="W96" i="8"/>
  <c r="V96" i="8"/>
  <c r="W95" i="8"/>
  <c r="V95" i="8"/>
  <c r="Z95" i="8" s="1"/>
  <c r="W94" i="8"/>
  <c r="Z94" i="8" s="1"/>
  <c r="V94" i="8"/>
  <c r="W93" i="8"/>
  <c r="V93" i="8"/>
  <c r="W92" i="8"/>
  <c r="V92" i="8"/>
  <c r="Z92" i="8" s="1"/>
  <c r="W91" i="8"/>
  <c r="V91" i="8"/>
  <c r="Z91" i="8" s="1"/>
  <c r="W90" i="8"/>
  <c r="Z90" i="8" s="1"/>
  <c r="V90" i="8"/>
  <c r="W89" i="8"/>
  <c r="V89" i="8"/>
  <c r="W88" i="8"/>
  <c r="V88" i="8"/>
  <c r="Z88" i="8" s="1"/>
  <c r="W87" i="8"/>
  <c r="V87" i="8"/>
  <c r="W86" i="8"/>
  <c r="V86" i="8"/>
  <c r="Z85" i="8"/>
  <c r="W85" i="8"/>
  <c r="V85" i="8"/>
  <c r="W84" i="8"/>
  <c r="V84" i="8"/>
  <c r="Z84" i="8" s="1"/>
  <c r="W83" i="8"/>
  <c r="V83" i="8"/>
  <c r="W82" i="8"/>
  <c r="V82" i="8"/>
  <c r="W81" i="8"/>
  <c r="V81" i="8"/>
  <c r="Z81" i="8" s="1"/>
  <c r="W80" i="8"/>
  <c r="V80" i="8"/>
  <c r="W79" i="8"/>
  <c r="V79" i="8"/>
  <c r="Z79" i="8" s="1"/>
  <c r="W78" i="8"/>
  <c r="Z78" i="8" s="1"/>
  <c r="V78" i="8"/>
  <c r="W77" i="8"/>
  <c r="V77" i="8"/>
  <c r="Z77" i="8" s="1"/>
  <c r="W76" i="8"/>
  <c r="V76" i="8"/>
  <c r="W75" i="8"/>
  <c r="V75" i="8"/>
  <c r="Z75" i="8" s="1"/>
  <c r="W74" i="8"/>
  <c r="V74" i="8"/>
  <c r="W73" i="8"/>
  <c r="Z73" i="8" s="1"/>
  <c r="V73" i="8"/>
  <c r="W72" i="8"/>
  <c r="V72" i="8"/>
  <c r="Z72" i="8" s="1"/>
  <c r="W71" i="8"/>
  <c r="V71" i="8"/>
  <c r="W70" i="8"/>
  <c r="V70" i="8"/>
  <c r="Z69" i="8"/>
  <c r="W69" i="8"/>
  <c r="V69" i="8"/>
  <c r="W68" i="8"/>
  <c r="V68" i="8"/>
  <c r="Z68" i="8" s="1"/>
  <c r="W67" i="8"/>
  <c r="V67" i="8"/>
  <c r="Z67" i="8" s="1"/>
  <c r="W66" i="8"/>
  <c r="V66" i="8"/>
  <c r="W65" i="8"/>
  <c r="V65" i="8"/>
  <c r="Z65" i="8" s="1"/>
  <c r="W64" i="8"/>
  <c r="V64" i="8"/>
  <c r="W63" i="8"/>
  <c r="V63" i="8"/>
  <c r="Z63" i="8" s="1"/>
  <c r="W62" i="8"/>
  <c r="Z62" i="8" s="1"/>
  <c r="V62" i="8"/>
  <c r="W61" i="8"/>
  <c r="V61" i="8"/>
  <c r="W60" i="8"/>
  <c r="V60" i="8"/>
  <c r="Z60" i="8" s="1"/>
  <c r="W59" i="8"/>
  <c r="V59" i="8"/>
  <c r="Z59" i="8" s="1"/>
  <c r="W58" i="8"/>
  <c r="Z58" i="8" s="1"/>
  <c r="V58" i="8"/>
  <c r="W57" i="8"/>
  <c r="V57" i="8"/>
  <c r="W56" i="8"/>
  <c r="V56" i="8"/>
  <c r="Z56" i="8" s="1"/>
  <c r="W55" i="8"/>
  <c r="V55" i="8"/>
  <c r="W54" i="8"/>
  <c r="V54" i="8"/>
  <c r="Z53" i="8"/>
  <c r="W53" i="8"/>
  <c r="V53" i="8"/>
  <c r="W52" i="8"/>
  <c r="V52" i="8"/>
  <c r="Z52" i="8" s="1"/>
  <c r="W51" i="8"/>
  <c r="V51" i="8"/>
  <c r="W50" i="8"/>
  <c r="V50" i="8"/>
  <c r="W49" i="8"/>
  <c r="V49" i="8"/>
  <c r="Z49" i="8" s="1"/>
  <c r="W48" i="8"/>
  <c r="V48" i="8"/>
  <c r="W47" i="8"/>
  <c r="V47" i="8"/>
  <c r="Z47" i="8" s="1"/>
  <c r="W46" i="8"/>
  <c r="Z46" i="8" s="1"/>
  <c r="V46" i="8"/>
  <c r="W45" i="8"/>
  <c r="V45" i="8"/>
  <c r="Z45" i="8" s="1"/>
  <c r="W44" i="8"/>
  <c r="V44" i="8"/>
  <c r="W43" i="8"/>
  <c r="V43" i="8"/>
  <c r="Z43" i="8" s="1"/>
  <c r="W42" i="8"/>
  <c r="V42" i="8"/>
  <c r="W41" i="8"/>
  <c r="Z41" i="8" s="1"/>
  <c r="V41" i="8"/>
  <c r="W40" i="8"/>
  <c r="V40" i="8"/>
  <c r="Z40" i="8" s="1"/>
  <c r="W39" i="8"/>
  <c r="V39" i="8"/>
  <c r="W38" i="8"/>
  <c r="V38" i="8"/>
  <c r="Z37" i="8"/>
  <c r="W37" i="8"/>
  <c r="V37" i="8"/>
  <c r="W36" i="8"/>
  <c r="V36" i="8"/>
  <c r="Z36" i="8" s="1"/>
  <c r="W35" i="8"/>
  <c r="V35" i="8"/>
  <c r="Z35" i="8" s="1"/>
  <c r="W34" i="8"/>
  <c r="V34" i="8"/>
  <c r="W33" i="8"/>
  <c r="V33" i="8"/>
  <c r="Z33" i="8" s="1"/>
  <c r="W32" i="8"/>
  <c r="V32" i="8"/>
  <c r="W31" i="8"/>
  <c r="V31" i="8"/>
  <c r="Z31" i="8" s="1"/>
  <c r="W30" i="8"/>
  <c r="Z30" i="8" s="1"/>
  <c r="V30" i="8"/>
  <c r="W29" i="8"/>
  <c r="V29" i="8"/>
  <c r="W28" i="8"/>
  <c r="V28" i="8"/>
  <c r="Z28" i="8" s="1"/>
  <c r="W27" i="8"/>
  <c r="V27" i="8"/>
  <c r="Z27" i="8" s="1"/>
  <c r="W26" i="8"/>
  <c r="Z26" i="8" s="1"/>
  <c r="V26" i="8"/>
  <c r="W25" i="8"/>
  <c r="V25" i="8"/>
  <c r="W24" i="8"/>
  <c r="V24" i="8"/>
  <c r="Z24" i="8" s="1"/>
  <c r="W23" i="8"/>
  <c r="V23" i="8"/>
  <c r="W22" i="8"/>
  <c r="V22" i="8"/>
  <c r="Z21" i="8"/>
  <c r="W21" i="8"/>
  <c r="V21" i="8"/>
  <c r="W20" i="8"/>
  <c r="V20" i="8"/>
  <c r="Z20" i="8" s="1"/>
  <c r="W19" i="8"/>
  <c r="V19" i="8"/>
  <c r="W18" i="8"/>
  <c r="V18" i="8"/>
  <c r="W17" i="8"/>
  <c r="V17" i="8"/>
  <c r="Z17" i="8" s="1"/>
  <c r="W16" i="8"/>
  <c r="V16" i="8"/>
  <c r="W15" i="8"/>
  <c r="V15" i="8"/>
  <c r="Z15" i="8" s="1"/>
  <c r="W14" i="8"/>
  <c r="Z14" i="8" s="1"/>
  <c r="V14" i="8"/>
  <c r="W13" i="8"/>
  <c r="V13" i="8"/>
  <c r="Z13" i="8" s="1"/>
  <c r="W12" i="8"/>
  <c r="V12" i="8"/>
  <c r="W11" i="8"/>
  <c r="V11" i="8"/>
  <c r="Z11" i="8" s="1"/>
  <c r="W10" i="8"/>
  <c r="V10" i="8"/>
  <c r="W9" i="8"/>
  <c r="Z9" i="8" s="1"/>
  <c r="V9" i="8"/>
  <c r="W8" i="8"/>
  <c r="V8" i="8"/>
  <c r="Z8" i="8" s="1"/>
  <c r="W7" i="8"/>
  <c r="V7" i="8"/>
  <c r="W6" i="8"/>
  <c r="V6" i="8"/>
  <c r="Z5" i="8"/>
  <c r="W5" i="8"/>
  <c r="V5" i="8"/>
  <c r="AA4" i="8"/>
  <c r="AA5" i="8" s="1"/>
  <c r="AA6" i="8" s="1"/>
  <c r="AA7" i="8" s="1"/>
  <c r="AA8" i="8" s="1"/>
  <c r="AA9" i="8" s="1"/>
  <c r="AA10" i="8" s="1"/>
  <c r="AA11" i="8" s="1"/>
  <c r="AA12" i="8" s="1"/>
  <c r="AA13" i="8" s="1"/>
  <c r="AA14" i="8" s="1"/>
  <c r="AA15" i="8" s="1"/>
  <c r="AA16" i="8" s="1"/>
  <c r="AA17" i="8" s="1"/>
  <c r="AA18" i="8" s="1"/>
  <c r="AA19" i="8" s="1"/>
  <c r="AA20" i="8" s="1"/>
  <c r="AA21" i="8" s="1"/>
  <c r="AA22" i="8" s="1"/>
  <c r="AA23" i="8" s="1"/>
  <c r="AA24" i="8" s="1"/>
  <c r="AA25" i="8" s="1"/>
  <c r="AA26" i="8" s="1"/>
  <c r="AA27" i="8" s="1"/>
  <c r="AA28" i="8" s="1"/>
  <c r="AA29" i="8" s="1"/>
  <c r="AA30" i="8" s="1"/>
  <c r="AA31" i="8" s="1"/>
  <c r="AA32" i="8" s="1"/>
  <c r="AA33" i="8" s="1"/>
  <c r="AA34" i="8" s="1"/>
  <c r="AA35" i="8" s="1"/>
  <c r="AA36" i="8" s="1"/>
  <c r="AA37" i="8" s="1"/>
  <c r="AA38" i="8" s="1"/>
  <c r="AA39" i="8" s="1"/>
  <c r="AA40" i="8" s="1"/>
  <c r="AA41" i="8" s="1"/>
  <c r="AA42" i="8" s="1"/>
  <c r="AA43" i="8" s="1"/>
  <c r="AA44" i="8" s="1"/>
  <c r="AA45" i="8" s="1"/>
  <c r="AA46" i="8" s="1"/>
  <c r="AA47" i="8" s="1"/>
  <c r="AA48" i="8" s="1"/>
  <c r="AA49" i="8" s="1"/>
  <c r="AA50" i="8" s="1"/>
  <c r="AA51" i="8" s="1"/>
  <c r="AA52" i="8" s="1"/>
  <c r="AA53" i="8" s="1"/>
  <c r="AA54" i="8" s="1"/>
  <c r="AA55" i="8" s="1"/>
  <c r="AA56" i="8" s="1"/>
  <c r="AA57" i="8" s="1"/>
  <c r="AA58" i="8" s="1"/>
  <c r="AA59" i="8" s="1"/>
  <c r="AA60" i="8" s="1"/>
  <c r="AA61" i="8" s="1"/>
  <c r="AA62" i="8" s="1"/>
  <c r="AA63" i="8" s="1"/>
  <c r="AA64" i="8" s="1"/>
  <c r="AA65" i="8" s="1"/>
  <c r="AA66" i="8" s="1"/>
  <c r="AA67" i="8" s="1"/>
  <c r="AA68" i="8" s="1"/>
  <c r="AA69" i="8" s="1"/>
  <c r="AA70" i="8" s="1"/>
  <c r="AA71" i="8" s="1"/>
  <c r="AA72" i="8" s="1"/>
  <c r="AA73" i="8" s="1"/>
  <c r="AA74" i="8" s="1"/>
  <c r="AA75" i="8" s="1"/>
  <c r="AA76" i="8" s="1"/>
  <c r="AA77" i="8" s="1"/>
  <c r="AA78" i="8" s="1"/>
  <c r="AA79" i="8" s="1"/>
  <c r="AA80" i="8" s="1"/>
  <c r="AA81" i="8" s="1"/>
  <c r="AA82" i="8" s="1"/>
  <c r="AA83" i="8" s="1"/>
  <c r="AA84" i="8" s="1"/>
  <c r="AA85" i="8" s="1"/>
  <c r="AA86" i="8" s="1"/>
  <c r="AA87" i="8" s="1"/>
  <c r="AA88" i="8" s="1"/>
  <c r="AA89" i="8" s="1"/>
  <c r="AA90" i="8" s="1"/>
  <c r="AA91" i="8" s="1"/>
  <c r="AA92" i="8" s="1"/>
  <c r="AA93" i="8" s="1"/>
  <c r="AA94" i="8" s="1"/>
  <c r="AA95" i="8" s="1"/>
  <c r="AA96" i="8" s="1"/>
  <c r="AA97" i="8" s="1"/>
  <c r="AA98" i="8" s="1"/>
  <c r="AA99" i="8" s="1"/>
  <c r="W4" i="8"/>
  <c r="V4" i="8"/>
  <c r="B501" i="7"/>
  <c r="A501" i="7"/>
  <c r="B500" i="7"/>
  <c r="A500" i="7"/>
  <c r="B499" i="7"/>
  <c r="A499" i="7"/>
  <c r="B498" i="7"/>
  <c r="A498" i="7"/>
  <c r="B497" i="7"/>
  <c r="A497" i="7"/>
  <c r="B496" i="7"/>
  <c r="A496" i="7"/>
  <c r="B495" i="7"/>
  <c r="A495" i="7"/>
  <c r="B494" i="7"/>
  <c r="A494" i="7"/>
  <c r="B493" i="7"/>
  <c r="A493" i="7"/>
  <c r="B492" i="7"/>
  <c r="A492" i="7"/>
  <c r="B491" i="7"/>
  <c r="A491" i="7"/>
  <c r="B490" i="7"/>
  <c r="A490" i="7"/>
  <c r="B489" i="7"/>
  <c r="A489" i="7"/>
  <c r="B488" i="7"/>
  <c r="A488" i="7"/>
  <c r="B487" i="7"/>
  <c r="A487" i="7"/>
  <c r="B486" i="7"/>
  <c r="A486" i="7"/>
  <c r="B485" i="7"/>
  <c r="A485" i="7"/>
  <c r="B484" i="7"/>
  <c r="A484" i="7"/>
  <c r="B483" i="7"/>
  <c r="A483" i="7"/>
  <c r="B482" i="7"/>
  <c r="A482" i="7"/>
  <c r="B481" i="7"/>
  <c r="A481" i="7"/>
  <c r="B480" i="7"/>
  <c r="A480" i="7"/>
  <c r="B479" i="7"/>
  <c r="A479" i="7"/>
  <c r="B478" i="7"/>
  <c r="A478" i="7"/>
  <c r="B477" i="7"/>
  <c r="A477" i="7"/>
  <c r="B476" i="7"/>
  <c r="A476" i="7"/>
  <c r="B475" i="7"/>
  <c r="A475" i="7"/>
  <c r="B474" i="7"/>
  <c r="A474" i="7"/>
  <c r="B473" i="7"/>
  <c r="A473" i="7"/>
  <c r="B472" i="7"/>
  <c r="A472" i="7"/>
  <c r="B471" i="7"/>
  <c r="A471" i="7"/>
  <c r="B470" i="7"/>
  <c r="A470" i="7"/>
  <c r="B469" i="7"/>
  <c r="A469" i="7"/>
  <c r="B468" i="7"/>
  <c r="A468" i="7"/>
  <c r="B467" i="7"/>
  <c r="A467" i="7"/>
  <c r="B466" i="7"/>
  <c r="A466" i="7"/>
  <c r="B465" i="7"/>
  <c r="A465" i="7"/>
  <c r="B464" i="7"/>
  <c r="A464" i="7"/>
  <c r="B463" i="7"/>
  <c r="A463" i="7"/>
  <c r="B462" i="7"/>
  <c r="A462" i="7"/>
  <c r="B461" i="7"/>
  <c r="A461" i="7"/>
  <c r="B460" i="7"/>
  <c r="A460" i="7"/>
  <c r="B459" i="7"/>
  <c r="A459" i="7"/>
  <c r="B458" i="7"/>
  <c r="A458" i="7"/>
  <c r="B457" i="7"/>
  <c r="A457" i="7"/>
  <c r="B456" i="7"/>
  <c r="A456" i="7"/>
  <c r="B455" i="7"/>
  <c r="A455" i="7"/>
  <c r="B454" i="7"/>
  <c r="A454" i="7"/>
  <c r="B453" i="7"/>
  <c r="A453" i="7"/>
  <c r="B452" i="7"/>
  <c r="A452" i="7"/>
  <c r="B451" i="7"/>
  <c r="A451" i="7"/>
  <c r="B450" i="7"/>
  <c r="A450" i="7"/>
  <c r="B449" i="7"/>
  <c r="A449" i="7"/>
  <c r="B448" i="7"/>
  <c r="A448" i="7"/>
  <c r="B447" i="7"/>
  <c r="A447" i="7"/>
  <c r="B446" i="7"/>
  <c r="A446" i="7"/>
  <c r="B445" i="7"/>
  <c r="A445" i="7"/>
  <c r="B444" i="7"/>
  <c r="A444" i="7"/>
  <c r="B443" i="7"/>
  <c r="A443" i="7"/>
  <c r="B442" i="7"/>
  <c r="A442" i="7"/>
  <c r="B441" i="7"/>
  <c r="A441" i="7"/>
  <c r="B440" i="7"/>
  <c r="A440" i="7"/>
  <c r="B439" i="7"/>
  <c r="A439" i="7"/>
  <c r="B438" i="7"/>
  <c r="A438" i="7"/>
  <c r="B437" i="7"/>
  <c r="A437" i="7"/>
  <c r="B436" i="7"/>
  <c r="A436" i="7"/>
  <c r="B435" i="7"/>
  <c r="A435" i="7"/>
  <c r="B434" i="7"/>
  <c r="A434" i="7"/>
  <c r="B433" i="7"/>
  <c r="A433" i="7"/>
  <c r="B432" i="7"/>
  <c r="A432" i="7"/>
  <c r="B431" i="7"/>
  <c r="A431" i="7"/>
  <c r="B430" i="7"/>
  <c r="A430" i="7"/>
  <c r="B429" i="7"/>
  <c r="A429" i="7"/>
  <c r="B428" i="7"/>
  <c r="A428" i="7"/>
  <c r="B427" i="7"/>
  <c r="A427" i="7"/>
  <c r="B426" i="7"/>
  <c r="A426" i="7"/>
  <c r="B425" i="7"/>
  <c r="A425" i="7"/>
  <c r="B424" i="7"/>
  <c r="A424" i="7"/>
  <c r="B423" i="7"/>
  <c r="A423" i="7"/>
  <c r="B422" i="7"/>
  <c r="A422" i="7"/>
  <c r="B421" i="7"/>
  <c r="A421" i="7"/>
  <c r="B420" i="7"/>
  <c r="A420" i="7"/>
  <c r="B419" i="7"/>
  <c r="A419" i="7"/>
  <c r="B418" i="7"/>
  <c r="A418" i="7"/>
  <c r="B417" i="7"/>
  <c r="A417" i="7"/>
  <c r="B416" i="7"/>
  <c r="A416" i="7"/>
  <c r="B415" i="7"/>
  <c r="A415" i="7"/>
  <c r="B414" i="7"/>
  <c r="A414" i="7"/>
  <c r="B413" i="7"/>
  <c r="A413" i="7"/>
  <c r="B412" i="7"/>
  <c r="A412" i="7"/>
  <c r="B411" i="7"/>
  <c r="A411" i="7"/>
  <c r="B410" i="7"/>
  <c r="A410" i="7"/>
  <c r="B409" i="7"/>
  <c r="A409" i="7"/>
  <c r="B408" i="7"/>
  <c r="A408" i="7"/>
  <c r="B407" i="7"/>
  <c r="A407" i="7"/>
  <c r="B406" i="7"/>
  <c r="A406" i="7"/>
  <c r="B405" i="7"/>
  <c r="A405" i="7"/>
  <c r="B404" i="7"/>
  <c r="A404" i="7"/>
  <c r="B403" i="7"/>
  <c r="A403" i="7"/>
  <c r="B402" i="7"/>
  <c r="A402" i="7"/>
  <c r="B401" i="7"/>
  <c r="A401" i="7"/>
  <c r="B400" i="7"/>
  <c r="A400" i="7"/>
  <c r="B399" i="7"/>
  <c r="A399" i="7"/>
  <c r="B398" i="7"/>
  <c r="A398" i="7"/>
  <c r="B397" i="7"/>
  <c r="A397" i="7"/>
  <c r="B396" i="7"/>
  <c r="A396" i="7"/>
  <c r="B395" i="7"/>
  <c r="A395" i="7"/>
  <c r="B394" i="7"/>
  <c r="A394" i="7"/>
  <c r="B393" i="7"/>
  <c r="A393" i="7"/>
  <c r="B392" i="7"/>
  <c r="A392" i="7"/>
  <c r="B391" i="7"/>
  <c r="A391" i="7"/>
  <c r="B390" i="7"/>
  <c r="A390" i="7"/>
  <c r="B389" i="7"/>
  <c r="A389" i="7"/>
  <c r="B388" i="7"/>
  <c r="A388" i="7"/>
  <c r="B387" i="7"/>
  <c r="A387" i="7"/>
  <c r="B386" i="7"/>
  <c r="A386" i="7"/>
  <c r="B385" i="7"/>
  <c r="A385" i="7"/>
  <c r="B384" i="7"/>
  <c r="A384" i="7"/>
  <c r="B383" i="7"/>
  <c r="A383" i="7"/>
  <c r="B382" i="7"/>
  <c r="A382" i="7"/>
  <c r="B381" i="7"/>
  <c r="A381" i="7"/>
  <c r="B380" i="7"/>
  <c r="A380" i="7"/>
  <c r="B379" i="7"/>
  <c r="A379" i="7"/>
  <c r="B378" i="7"/>
  <c r="A378" i="7"/>
  <c r="B377" i="7"/>
  <c r="A377" i="7"/>
  <c r="B376" i="7"/>
  <c r="A376" i="7"/>
  <c r="B375" i="7"/>
  <c r="A375" i="7"/>
  <c r="B374" i="7"/>
  <c r="A374" i="7"/>
  <c r="B373" i="7"/>
  <c r="A373" i="7"/>
  <c r="B372" i="7"/>
  <c r="A372" i="7"/>
  <c r="B371" i="7"/>
  <c r="A371" i="7"/>
  <c r="B370" i="7"/>
  <c r="A370" i="7"/>
  <c r="B369" i="7"/>
  <c r="A369" i="7"/>
  <c r="B368" i="7"/>
  <c r="A368" i="7"/>
  <c r="B367" i="7"/>
  <c r="A367" i="7"/>
  <c r="B366" i="7"/>
  <c r="A366" i="7"/>
  <c r="B365" i="7"/>
  <c r="A365" i="7"/>
  <c r="B364" i="7"/>
  <c r="A364" i="7"/>
  <c r="B363" i="7"/>
  <c r="A363" i="7"/>
  <c r="B362" i="7"/>
  <c r="A362" i="7"/>
  <c r="B361" i="7"/>
  <c r="A361" i="7"/>
  <c r="B360" i="7"/>
  <c r="A360" i="7"/>
  <c r="B359" i="7"/>
  <c r="A359" i="7"/>
  <c r="B358" i="7"/>
  <c r="A358" i="7"/>
  <c r="B357" i="7"/>
  <c r="A357" i="7"/>
  <c r="B356" i="7"/>
  <c r="A356" i="7"/>
  <c r="B355" i="7"/>
  <c r="A355" i="7"/>
  <c r="B354" i="7"/>
  <c r="A354" i="7"/>
  <c r="B353" i="7"/>
  <c r="A353" i="7"/>
  <c r="B352" i="7"/>
  <c r="A352" i="7"/>
  <c r="B351" i="7"/>
  <c r="A351" i="7"/>
  <c r="B350" i="7"/>
  <c r="A350" i="7"/>
  <c r="B349" i="7"/>
  <c r="A349" i="7"/>
  <c r="B348" i="7"/>
  <c r="A348" i="7"/>
  <c r="B347" i="7"/>
  <c r="A347" i="7"/>
  <c r="B346" i="7"/>
  <c r="A346" i="7"/>
  <c r="B345" i="7"/>
  <c r="A345" i="7"/>
  <c r="B344" i="7"/>
  <c r="A344" i="7"/>
  <c r="B343" i="7"/>
  <c r="A343" i="7"/>
  <c r="B342" i="7"/>
  <c r="A342" i="7"/>
  <c r="B341" i="7"/>
  <c r="A341" i="7"/>
  <c r="B340" i="7"/>
  <c r="A340" i="7"/>
  <c r="B339" i="7"/>
  <c r="A339" i="7"/>
  <c r="B338" i="7"/>
  <c r="A338" i="7"/>
  <c r="B337" i="7"/>
  <c r="A337" i="7"/>
  <c r="B336" i="7"/>
  <c r="A336" i="7"/>
  <c r="B335" i="7"/>
  <c r="A335" i="7"/>
  <c r="B334" i="7"/>
  <c r="A334" i="7"/>
  <c r="B333" i="7"/>
  <c r="A333" i="7"/>
  <c r="B332" i="7"/>
  <c r="A332" i="7"/>
  <c r="B331" i="7"/>
  <c r="A331" i="7"/>
  <c r="B330" i="7"/>
  <c r="A330" i="7"/>
  <c r="B329" i="7"/>
  <c r="A329" i="7"/>
  <c r="B328" i="7"/>
  <c r="A328" i="7"/>
  <c r="B327" i="7"/>
  <c r="A327" i="7"/>
  <c r="B326" i="7"/>
  <c r="A326" i="7"/>
  <c r="B325" i="7"/>
  <c r="A325" i="7"/>
  <c r="B324" i="7"/>
  <c r="A324" i="7"/>
  <c r="B323" i="7"/>
  <c r="A323" i="7"/>
  <c r="B322" i="7"/>
  <c r="A322" i="7"/>
  <c r="B321" i="7"/>
  <c r="A321" i="7"/>
  <c r="B320" i="7"/>
  <c r="A320" i="7"/>
  <c r="B319" i="7"/>
  <c r="A319" i="7"/>
  <c r="B318" i="7"/>
  <c r="A318" i="7"/>
  <c r="B317" i="7"/>
  <c r="A317" i="7"/>
  <c r="B316" i="7"/>
  <c r="A316" i="7"/>
  <c r="B315" i="7"/>
  <c r="A315" i="7"/>
  <c r="B314" i="7"/>
  <c r="A314" i="7"/>
  <c r="B313" i="7"/>
  <c r="A313" i="7"/>
  <c r="B312" i="7"/>
  <c r="A312" i="7"/>
  <c r="B311" i="7"/>
  <c r="A311" i="7"/>
  <c r="B310" i="7"/>
  <c r="A310" i="7"/>
  <c r="B309" i="7"/>
  <c r="A309" i="7"/>
  <c r="B308" i="7"/>
  <c r="A308" i="7"/>
  <c r="B307" i="7"/>
  <c r="A307" i="7"/>
  <c r="B306" i="7"/>
  <c r="A306" i="7"/>
  <c r="B305" i="7"/>
  <c r="A305" i="7"/>
  <c r="B304" i="7"/>
  <c r="A304" i="7"/>
  <c r="B303" i="7"/>
  <c r="A303" i="7"/>
  <c r="B302" i="7"/>
  <c r="A302" i="7"/>
  <c r="B301" i="7"/>
  <c r="A301" i="7"/>
  <c r="B300" i="7"/>
  <c r="A300" i="7"/>
  <c r="B299" i="7"/>
  <c r="A299" i="7"/>
  <c r="B298" i="7"/>
  <c r="A298" i="7"/>
  <c r="B297" i="7"/>
  <c r="A297" i="7"/>
  <c r="B296" i="7"/>
  <c r="A296" i="7"/>
  <c r="B295" i="7"/>
  <c r="A295" i="7"/>
  <c r="B294" i="7"/>
  <c r="A294" i="7"/>
  <c r="B293" i="7"/>
  <c r="A293" i="7"/>
  <c r="B292" i="7"/>
  <c r="A292" i="7"/>
  <c r="B291" i="7"/>
  <c r="A291" i="7"/>
  <c r="B290" i="7"/>
  <c r="A290" i="7"/>
  <c r="B289" i="7"/>
  <c r="A289" i="7"/>
  <c r="B288" i="7"/>
  <c r="A288" i="7"/>
  <c r="B287" i="7"/>
  <c r="A287" i="7"/>
  <c r="B286" i="7"/>
  <c r="A286" i="7"/>
  <c r="B285" i="7"/>
  <c r="A285" i="7"/>
  <c r="B284" i="7"/>
  <c r="A284" i="7"/>
  <c r="B283" i="7"/>
  <c r="A283" i="7"/>
  <c r="B282" i="7"/>
  <c r="A282" i="7"/>
  <c r="B281" i="7"/>
  <c r="A281" i="7"/>
  <c r="B280" i="7"/>
  <c r="A280" i="7"/>
  <c r="B279" i="7"/>
  <c r="A279" i="7"/>
  <c r="B278" i="7"/>
  <c r="A278" i="7"/>
  <c r="B277" i="7"/>
  <c r="A277" i="7"/>
  <c r="B276" i="7"/>
  <c r="A276" i="7"/>
  <c r="B275" i="7"/>
  <c r="A275" i="7"/>
  <c r="B274" i="7"/>
  <c r="A274" i="7"/>
  <c r="B273" i="7"/>
  <c r="A273" i="7"/>
  <c r="B272" i="7"/>
  <c r="A272" i="7"/>
  <c r="B271" i="7"/>
  <c r="A271" i="7"/>
  <c r="B270" i="7"/>
  <c r="A270" i="7"/>
  <c r="B269" i="7"/>
  <c r="A269" i="7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B2" i="7"/>
  <c r="A2" i="7"/>
  <c r="B1" i="7"/>
  <c r="A1" i="7"/>
  <c r="Z18" i="8" l="1"/>
  <c r="Z25" i="8"/>
  <c r="Z50" i="8"/>
  <c r="Z57" i="8"/>
  <c r="Z82" i="8"/>
  <c r="Z89" i="8"/>
  <c r="Z12" i="8"/>
  <c r="Z19" i="8"/>
  <c r="Z22" i="8"/>
  <c r="Z29" i="8"/>
  <c r="Z44" i="8"/>
  <c r="Z51" i="8"/>
  <c r="Z54" i="8"/>
  <c r="Z61" i="8"/>
  <c r="Z76" i="8"/>
  <c r="Z83" i="8"/>
  <c r="Z86" i="8"/>
  <c r="Z93" i="8"/>
  <c r="Z16" i="8"/>
  <c r="Z23" i="8"/>
  <c r="Z48" i="8"/>
  <c r="Z55" i="8"/>
  <c r="Z80" i="8"/>
  <c r="Z87" i="8"/>
  <c r="Z66" i="8"/>
  <c r="Z98" i="8"/>
  <c r="Z34" i="8"/>
  <c r="Z6" i="8"/>
  <c r="Z38" i="8"/>
  <c r="Z70" i="8"/>
  <c r="Z4" i="8"/>
  <c r="Z7" i="8"/>
  <c r="Z10" i="8"/>
  <c r="Z32" i="8"/>
  <c r="Z39" i="8"/>
  <c r="Z42" i="8"/>
  <c r="Z64" i="8"/>
  <c r="Z71" i="8"/>
  <c r="Z74" i="8"/>
  <c r="Z96" i="8"/>
  <c r="A99" i="8"/>
  <c r="A95" i="8"/>
  <c r="A91" i="8"/>
  <c r="A87" i="8"/>
  <c r="A83" i="8"/>
  <c r="A79" i="8"/>
  <c r="A75" i="8"/>
  <c r="A71" i="8"/>
  <c r="A67" i="8"/>
  <c r="A63" i="8"/>
  <c r="A59" i="8"/>
  <c r="A55" i="8"/>
  <c r="A51" i="8"/>
  <c r="A47" i="8"/>
  <c r="A43" i="8"/>
  <c r="A39" i="8"/>
  <c r="A35" i="8"/>
  <c r="A31" i="8"/>
  <c r="A27" i="8"/>
  <c r="A23" i="8"/>
  <c r="A19" i="8"/>
  <c r="A15" i="8"/>
  <c r="A11" i="8"/>
  <c r="A7" i="8"/>
  <c r="A37" i="8"/>
  <c r="A29" i="8"/>
  <c r="A25" i="8"/>
  <c r="A21" i="8"/>
  <c r="A98" i="8"/>
  <c r="A94" i="8"/>
  <c r="A90" i="8"/>
  <c r="A86" i="8"/>
  <c r="A82" i="8"/>
  <c r="A78" i="8"/>
  <c r="A74" i="8"/>
  <c r="A70" i="8"/>
  <c r="A66" i="8"/>
  <c r="A62" i="8"/>
  <c r="A58" i="8"/>
  <c r="A54" i="8"/>
  <c r="A50" i="8"/>
  <c r="A46" i="8"/>
  <c r="A42" i="8"/>
  <c r="A38" i="8"/>
  <c r="A34" i="8"/>
  <c r="A30" i="8"/>
  <c r="A26" i="8"/>
  <c r="A22" i="8"/>
  <c r="A18" i="8"/>
  <c r="A14" i="8"/>
  <c r="A10" i="8"/>
  <c r="A6" i="8"/>
  <c r="A41" i="8"/>
  <c r="A97" i="8"/>
  <c r="A93" i="8"/>
  <c r="A89" i="8"/>
  <c r="A85" i="8"/>
  <c r="A81" i="8"/>
  <c r="A77" i="8"/>
  <c r="A73" i="8"/>
  <c r="A69" i="8"/>
  <c r="A65" i="8"/>
  <c r="A61" i="8"/>
  <c r="A57" i="8"/>
  <c r="A53" i="8"/>
  <c r="A49" i="8"/>
  <c r="A45" i="8"/>
  <c r="A33" i="8"/>
  <c r="A88" i="8"/>
  <c r="A72" i="8"/>
  <c r="A56" i="8"/>
  <c r="A40" i="8"/>
  <c r="A24" i="8"/>
  <c r="A92" i="8"/>
  <c r="A76" i="8"/>
  <c r="A60" i="8"/>
  <c r="A44" i="8"/>
  <c r="A28" i="8"/>
  <c r="A13" i="8"/>
  <c r="A12" i="8"/>
  <c r="A5" i="8"/>
  <c r="A96" i="8"/>
  <c r="A80" i="8"/>
  <c r="A64" i="8"/>
  <c r="A48" i="8"/>
  <c r="A32" i="8"/>
  <c r="A84" i="8"/>
  <c r="A68" i="8"/>
  <c r="A52" i="8"/>
  <c r="A36" i="8"/>
  <c r="A20" i="8"/>
  <c r="A17" i="8"/>
  <c r="A16" i="8"/>
  <c r="A9" i="8"/>
  <c r="A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DA9B26-CF4E-4EDA-87EB-3CECFBECF289}" keepAlive="1" name="Query - APRL_CustomerData (2)" description="Connection to the 'APRL_CustomerData (2)' query in the workbook." type="5" refreshedVersion="8" background="1" saveData="1">
    <dbPr connection="Provider=Microsoft.Mashup.OleDb.1;Data Source=$Workbook$;Location=&quot;APRL_CustomerData (2)&quot;;Extended Properties=&quot;&quot;" command="SELECT * FROM [APRL_CustomerData (2)]"/>
  </connection>
</connections>
</file>

<file path=xl/sharedStrings.xml><?xml version="1.0" encoding="utf-8"?>
<sst xmlns="http://schemas.openxmlformats.org/spreadsheetml/2006/main" count="303" uniqueCount="178">
  <si>
    <t>DC Entry Sheet</t>
  </si>
  <si>
    <t>Select Date</t>
  </si>
  <si>
    <t>NORMAL</t>
  </si>
  <si>
    <t>Enter</t>
  </si>
  <si>
    <t xml:space="preserve">From </t>
  </si>
  <si>
    <t>Block No.</t>
  </si>
  <si>
    <t>To</t>
  </si>
  <si>
    <t>DC (MW)</t>
  </si>
  <si>
    <t>Rev No</t>
  </si>
  <si>
    <t>Clinet Type</t>
  </si>
  <si>
    <t>Block No</t>
  </si>
  <si>
    <t>DC</t>
  </si>
  <si>
    <t xml:space="preserve">      </t>
  </si>
  <si>
    <t>SG Entry Sheet</t>
  </si>
  <si>
    <t>Revision Reason</t>
  </si>
  <si>
    <t>SG (MW)</t>
  </si>
  <si>
    <t>SG</t>
  </si>
  <si>
    <t>IEX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</si>
  <si>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</si>
  <si>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</si>
  <si>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</si>
  <si>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</si>
  <si>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</si>
  <si>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</si>
  <si>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</si>
  <si>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</si>
  <si>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</si>
  <si>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</si>
  <si>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</si>
  <si>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</si>
  <si>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</si>
  <si>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</si>
  <si>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</si>
  <si>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</si>
  <si>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</si>
  <si>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</si>
  <si>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</si>
  <si>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</si>
  <si>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</si>
  <si>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</si>
  <si>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</si>
  <si>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</si>
  <si>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</si>
  <si>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</si>
  <si>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FC</t>
  </si>
  <si>
    <t>Client ID</t>
  </si>
  <si>
    <t>RDPPC</t>
  </si>
  <si>
    <t>IEX_TANGEDCO</t>
  </si>
  <si>
    <t>IEX_Assam</t>
  </si>
  <si>
    <t>RTM_IEX</t>
  </si>
  <si>
    <t xml:space="preserve"> Select * from (SELECT Timestampid,DataId ,isnull([3],0) as DC,isnull([0],0) as FC,isnull([14],0) as TNEB,isnull([16],0) as RDPPC FROM (Select TimeStampID,ParaValue,ParaID,DataId from [EMS_Data].dbo.[InData]) q1 pivot ( sum(ParaValue) for ParaId in ([3],[0],[14],[16])) pt ) q1 where q1.DC&gt;0 )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</si>
  <si>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</si>
  <si>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DCRevNo from [EMS_Data].[dbo].[TodayMaxDCRevNo])and  timestampid between (SELECT MidnightTimeStampid+900  FROM [EMS_Network].[dbo].[BlockTimeData]) and  (SELECT MidnightTimeStampid+86400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</si>
  <si>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case when DCRevNo=0 then 0 else DcRevNo-1 end from [EMS_Data].[dbo].[TodayMaxDCRevNo])and  timestampid between (SELECT MidnightTimeStampid+900  FROM [EMS_Network].[dbo].[BlockTimeData]) and  (SELECT MidnightTimeStampid+86400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</si>
  <si>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DCRevNo from [EMS_Data].[dbo].[TodayMaxDCRevNo])and  timestampid between (SELECT MidnightTimeStampid+900+86400  FROM [EMS_Network].[dbo].[BlockTimeData]) and  (SELECT MidnightTimeStampid+86400+86400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</si>
  <si>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case when DCRevNo=0 then 0 else DcRevNo-1 end from [EMS_Data].[dbo].[TodayMaxDCRevNo])and  timestampid between (SELECT MidnightTimeStampid+900+86400  FROM [EMS_Network].[dbo].[BlockTimeData]) and  (SELECT MidnightTimeStampid+86400+86400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</si>
  <si>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dataid=0 and  timestampid between (SELECT MidnightTimeStampid+900  FROM [EMS_Network].[dbo].[BlockTimeData]) and  (SELECT MidnightTimeStampid+86400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</si>
  <si>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dataid=0 and  timestampid between (SELECT MidnightTimeStampid+900+86400  FROM [EMS_Network].[dbo].[BlockTimeData]) and  (SELECT MidnightTimeStampid+86400+86400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</si>
  <si>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dataid=0) S1</t>
  </si>
  <si>
    <t xml:space="preserve">Select distinct S2.timestampid as Tid,S1.*,S2.RevisionReason from (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q1.DC&gt;0 ) S1  full join (SELECT Timestampid,RevNo,DCSG,RID, RevisionReason FROM [EMS_DCSG].[dbo].[RevReasons]  where dcsg =1) S2 on S1.timestampid = S2.timestampid And S1.dataid = S2.revno  where S1.Dc &gt; 0 ) N1 </t>
  </si>
  <si>
    <t xml:space="preserve"> Select * from (SELECT Timestampid,DataId ,isnull([4],0) as SG,isnull([1014],0) as TNEB,isnull([1016],0) as RDPPC FROM (Select TimeStampID,ParaValue,ParaID,DataId from [EMS_Data].dbo.[InData]) q1 pivot ( sum(ParaValue) for ParaId in ([4],[1014],[1016])) pt ) q1 where q1.SG&gt;0 )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</si>
  <si>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</si>
  <si>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SGRevNo from [EMS_Data].[dbo].[TodayMaxSGRevNo])and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</si>
  <si>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case when SGRevNo=0 then 0 else SGRevNo-1 end from [EMS_Data].[dbo].[TodayMaxSGRevNo])and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</si>
  <si>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SGRevNo from [EMS_Data].[dbo].[NextDayMaxSGRevNo])and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</si>
  <si>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case when SGRevNo=0 then 0 else SGRevNo-1 end from [EMS_Data].[dbo].[NextDayMaxSGRevNo])and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</si>
  <si>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dataid=0 and  timestampid between (SELECT MidnightTimeStampid+900  FROM [EMS_Network].[dbo].[BlockTimeData]) and  (SELECT MidnightTimeStampid+86400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</si>
  <si>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dataid=0 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</si>
  <si>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dataid=0) S1</t>
  </si>
  <si>
    <t xml:space="preserve">Select distinct S2.timestampid as Tid,S1.*,S2.RevisionReason from ( Select * from (SELECT Timestampid,DataId ,isnull([4],0) as SG,isnull([1014],0) as TNEB,isnull([1016],0) as RDPPC FROM (Select TimeStampID,ParaValue,ParaID,DataId from [EMS_DCSG].dbo.[InData]) q1 pivot ( sum(ParaValue) for ParaId in ([4],[1014],[1016])) pt ) q1 where q1.SG&gt;0 ) S1 full join (SELECT Timestampid,RevNo,DCSG,RID, RevisionReason FROM [EMS_DCSG].[dbo].[RevReasons]  where dcsg =2) S2 on S1.timestampid = S2.timestampid And S1.dataid = S2.revno  where S1.SG &gt; 0 ) N1 </t>
  </si>
  <si>
    <t>Date</t>
  </si>
  <si>
    <t>Blk</t>
  </si>
  <si>
    <t>IEX Vol.</t>
  </si>
  <si>
    <t>IEX Price</t>
  </si>
  <si>
    <t>PXIL Vol.</t>
  </si>
  <si>
    <t>PXIL Price</t>
  </si>
  <si>
    <t>HPX Vol.</t>
  </si>
  <si>
    <t>HPX Price</t>
  </si>
  <si>
    <t>Weighted Avg. DAM</t>
  </si>
  <si>
    <t>Weighted Avg. RTM</t>
  </si>
  <si>
    <t>Normal Rate</t>
  </si>
  <si>
    <t>Reference Rate</t>
  </si>
  <si>
    <t>DAM</t>
  </si>
  <si>
    <t>GDAM</t>
  </si>
  <si>
    <t>RTM</t>
  </si>
  <si>
    <t>AS Rate (Rs/kWh)</t>
  </si>
  <si>
    <t>Id</t>
  </si>
  <si>
    <t>CustomerName</t>
  </si>
  <si>
    <t>Plant</t>
  </si>
  <si>
    <t>DCID</t>
  </si>
  <si>
    <t>SGID</t>
  </si>
  <si>
    <t>DCTagName</t>
  </si>
  <si>
    <t>SGTagName</t>
  </si>
  <si>
    <t>FuelCost</t>
  </si>
  <si>
    <t>CustomerType</t>
  </si>
  <si>
    <t>Status</t>
  </si>
  <si>
    <t>CreatedAt</t>
  </si>
  <si>
    <t>APRL_DC_TOTAL</t>
  </si>
  <si>
    <t>APRL</t>
  </si>
  <si>
    <t>APRL_BLK_TOT_DC</t>
  </si>
  <si>
    <t>Active</t>
  </si>
  <si>
    <t>APRL_FUEL_COST</t>
  </si>
  <si>
    <t>APRL_BLK_FUEL_COST</t>
  </si>
  <si>
    <t>APRL_SG_TOTAL</t>
  </si>
  <si>
    <t>APRL_BLK_TOT_SG</t>
  </si>
  <si>
    <t>DEMO</t>
  </si>
  <si>
    <t>APRL_DEMO_BLK_DC</t>
  </si>
  <si>
    <t>APRL_DEMO_BLK_SG</t>
  </si>
  <si>
    <t xml:space="preserve">ST        </t>
  </si>
  <si>
    <t>ABC</t>
  </si>
  <si>
    <t>APRL_ABC_BLK_DC</t>
  </si>
  <si>
    <t>APRL_ABC_BLK_SG</t>
  </si>
  <si>
    <t>APRL_RDPPC_BLK_DC</t>
  </si>
  <si>
    <t>APRL_RDPPC_BLK_SG</t>
  </si>
  <si>
    <t xml:space="preserve">LT        </t>
  </si>
  <si>
    <t>APRL_IEX_TANGEDCO_BLK_DC</t>
  </si>
  <si>
    <t>APRL_IEX_TANGEDCO_BLK_SG</t>
  </si>
  <si>
    <t>APRL_IEX_ASSAM_BLK_DC</t>
  </si>
  <si>
    <t>APRL_IEX_ASSAM_BLK_SG</t>
  </si>
  <si>
    <t>APRL_RTM_IEX_BLK_DC</t>
  </si>
  <si>
    <t>APRL_RTM_IEX_BLK_SG</t>
  </si>
  <si>
    <t>APRL_IEX_BLK_DC</t>
  </si>
  <si>
    <t>APRL_IEX_BLK_SG</t>
  </si>
  <si>
    <t>AWL_Alwar_33KV</t>
  </si>
  <si>
    <t>APRL_AWL_ALWAR_33KV_BLK_DC</t>
  </si>
  <si>
    <t>APRL_AWL_ALWAR_33KV_BLK_SG</t>
  </si>
  <si>
    <t>AWL_Bundi_33KV</t>
  </si>
  <si>
    <t>APRL_AWL_BUNDI_33KV_BLK_DC</t>
  </si>
  <si>
    <t>APRL_AWL_BUNDI_33KV_BLK_SG</t>
  </si>
  <si>
    <t>Honda_Cars_India_Ltd</t>
  </si>
  <si>
    <t>APRL_HONDA_CARS_INDIA_LTD_BLK_DC</t>
  </si>
  <si>
    <t>APRL_HONDA_CARS_INDIA_LTD_BLK_SG</t>
  </si>
  <si>
    <t>IEX_ APDCL</t>
  </si>
  <si>
    <t>APRL_IEX__APDCL_BLK_DC</t>
  </si>
  <si>
    <t>APRL_IEX__APDCL_BLK_SG</t>
  </si>
  <si>
    <t>IEX_Intra_WBSEDCL</t>
  </si>
  <si>
    <t>APRL_IEX_INTRA_WBSEDCL_BLK_DC</t>
  </si>
  <si>
    <t>APRL_IEX_INTRA_WBSEDCL_BLK_SG</t>
  </si>
  <si>
    <t>IEX_GOA</t>
  </si>
  <si>
    <t>APRL_IEX_GOA_BLK_DC</t>
  </si>
  <si>
    <t>APRL_IEX_GOA_BLK_SG</t>
  </si>
  <si>
    <t>IEX_BSPHCL</t>
  </si>
  <si>
    <t>APRL_IEX_BSPHCL_BLK_DC</t>
  </si>
  <si>
    <t>APRL_IEX_BSPHCL_BLK_SG</t>
  </si>
  <si>
    <t>IEX_JBVN</t>
  </si>
  <si>
    <t>APRL_IEX_JBVN_BLK_DC</t>
  </si>
  <si>
    <t>APRL_IEX_JBVN_BLK_SG</t>
  </si>
  <si>
    <t>IEX_KSEB</t>
  </si>
  <si>
    <t>APRL_IEX_KSEB_BLK_DC</t>
  </si>
  <si>
    <t>APRL_IEX_KSEB_BLK_SG</t>
  </si>
  <si>
    <t>IEX_NPCL</t>
  </si>
  <si>
    <t>APRL_IEX_NPCL_BLK_DC</t>
  </si>
  <si>
    <t>APRL_IEX_NPCL_BLK_SG</t>
  </si>
  <si>
    <t>IEX_Vedanta SEZ</t>
  </si>
  <si>
    <t>APRL_IEX_VEDANTA_SEZ_BLK_DC</t>
  </si>
  <si>
    <t>APRL_IEX_VEDANTA_SEZ_BLK_SG</t>
  </si>
  <si>
    <t>RTM_PXIL</t>
  </si>
  <si>
    <t>APRL_RTM_PXIL_BLK_DC</t>
  </si>
  <si>
    <t>APRL_RTM_PXIL_BLK_SG</t>
  </si>
  <si>
    <t>AEL_AEML</t>
  </si>
  <si>
    <t>APRL_AEL_AEML_BLK_DC</t>
  </si>
  <si>
    <t>APRL_AEL_AEML_BLK_SG</t>
  </si>
  <si>
    <t>HPX_TN</t>
  </si>
  <si>
    <t>APRL_HPX_TN_BLK_DC</t>
  </si>
  <si>
    <t>APRL_HPX_TN_BLK_SG</t>
  </si>
  <si>
    <t>HPX _ST</t>
  </si>
  <si>
    <t>APRL_HPX__ST_BLK_DC</t>
  </si>
  <si>
    <t>APRL_HPX__ST_BLK_SG</t>
  </si>
  <si>
    <t>IEX_ST</t>
  </si>
  <si>
    <t>APRL_IEX_ST_BLK_DC</t>
  </si>
  <si>
    <t>APRL_IEX_ST_BLK_SG</t>
  </si>
  <si>
    <t>TEXT</t>
  </si>
  <si>
    <t>test</t>
  </si>
  <si>
    <t>Test</t>
  </si>
  <si>
    <t>TEST</t>
  </si>
  <si>
    <t>ACP Price (Paisa/kWh)</t>
  </si>
  <si>
    <t>ECR Price (Rs/kWh)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</si>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</sst>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409]d\-mmm\-yy;@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 Black"/>
      <family val="2"/>
    </font>
    <font>
      <sz val="10"/>
      <color theme="1"/>
      <name val="Arial"/>
      <family val="2"/>
    </font>
    <font>
      <b/>
      <sz val="10"/>
      <color theme="2" tint="-9.9978637043366805E-2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dani Regular"/>
    </font>
    <font>
      <sz val="10"/>
      <color theme="1"/>
      <name val="Adani Regular"/>
    </font>
  </fonts>
  <fills count="2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29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gradientFill type="path">
        <stop position="0">
          <color theme="5" tint="0.59999389629810485"/>
        </stop>
        <stop position="1">
          <color rgb="FFFFFF00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29"/>
      </patternFill>
    </fill>
    <fill>
      <patternFill patternType="solid">
        <fgColor theme="0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>
      <alignment vertical="top"/>
    </xf>
  </cellStyleXfs>
  <cellXfs count="170">
    <xf numFmtId="0" fontId="0" fillId="0" borderId="0" xfId="0"/>
    <xf numFmtId="0" fontId="2" fillId="2" borderId="4" xfId="1" applyFont="1" applyFill="1" applyBorder="1" applyAlignment="1">
      <alignment horizontal="center"/>
    </xf>
    <xf numFmtId="0" fontId="1" fillId="2" borderId="4" xfId="1" applyFill="1" applyBorder="1"/>
    <xf numFmtId="0" fontId="1" fillId="2" borderId="5" xfId="1" applyFill="1" applyBorder="1"/>
    <xf numFmtId="0" fontId="1" fillId="0" borderId="0" xfId="1"/>
    <xf numFmtId="0" fontId="1" fillId="4" borderId="0" xfId="1" applyFill="1"/>
    <xf numFmtId="0" fontId="1" fillId="4" borderId="7" xfId="1" applyFill="1" applyBorder="1"/>
    <xf numFmtId="0" fontId="3" fillId="5" borderId="0" xfId="2" applyFont="1" applyFill="1" applyAlignment="1">
      <alignment vertical="center" wrapText="1"/>
    </xf>
    <xf numFmtId="0" fontId="3" fillId="5" borderId="7" xfId="2" applyFont="1" applyFill="1" applyBorder="1" applyAlignment="1">
      <alignment vertical="center" wrapText="1"/>
    </xf>
    <xf numFmtId="0" fontId="6" fillId="0" borderId="0" xfId="1" applyFont="1"/>
    <xf numFmtId="0" fontId="3" fillId="5" borderId="9" xfId="2" applyFont="1" applyFill="1" applyBorder="1" applyAlignment="1">
      <alignment vertical="center" wrapText="1"/>
    </xf>
    <xf numFmtId="0" fontId="3" fillId="5" borderId="10" xfId="2" applyFont="1" applyFill="1" applyBorder="1" applyAlignment="1">
      <alignment vertical="center" wrapText="1"/>
    </xf>
    <xf numFmtId="0" fontId="5" fillId="7" borderId="8" xfId="2" applyFont="1" applyFill="1" applyBorder="1" applyAlignment="1">
      <alignment horizontal="center" vertical="center" wrapText="1"/>
    </xf>
    <xf numFmtId="0" fontId="5" fillId="7" borderId="9" xfId="2" applyFont="1" applyFill="1" applyBorder="1" applyAlignment="1">
      <alignment horizontal="center" vertical="center" wrapText="1"/>
    </xf>
    <xf numFmtId="0" fontId="3" fillId="8" borderId="9" xfId="2" applyFont="1" applyFill="1" applyBorder="1" applyAlignment="1" applyProtection="1">
      <alignment horizontal="center" vertical="center" wrapText="1"/>
      <protection locked="0"/>
    </xf>
    <xf numFmtId="14" fontId="5" fillId="7" borderId="8" xfId="2" applyNumberFormat="1" applyFont="1" applyFill="1" applyBorder="1" applyAlignment="1">
      <alignment horizontal="center" vertical="center" wrapText="1"/>
    </xf>
    <xf numFmtId="0" fontId="7" fillId="9" borderId="8" xfId="1" applyFont="1" applyFill="1" applyBorder="1" applyAlignment="1">
      <alignment vertical="center"/>
    </xf>
    <xf numFmtId="0" fontId="8" fillId="8" borderId="8" xfId="1" applyFont="1" applyFill="1" applyBorder="1" applyAlignment="1" applyProtection="1">
      <alignment horizontal="center" vertical="center"/>
      <protection locked="0"/>
    </xf>
    <xf numFmtId="0" fontId="3" fillId="0" borderId="11" xfId="2" applyFont="1" applyBorder="1" applyAlignment="1">
      <alignment vertical="center"/>
    </xf>
    <xf numFmtId="1" fontId="3" fillId="10" borderId="11" xfId="2" applyNumberFormat="1" applyFont="1" applyFill="1" applyBorder="1" applyAlignment="1">
      <alignment horizontal="center" vertical="center"/>
    </xf>
    <xf numFmtId="1" fontId="3" fillId="11" borderId="11" xfId="2" applyNumberFormat="1" applyFont="1" applyFill="1" applyBorder="1" applyAlignment="1">
      <alignment vertical="center"/>
    </xf>
    <xf numFmtId="0" fontId="6" fillId="12" borderId="11" xfId="1" applyFont="1" applyFill="1" applyBorder="1"/>
    <xf numFmtId="0" fontId="6" fillId="12" borderId="12" xfId="1" applyFont="1" applyFill="1" applyBorder="1"/>
    <xf numFmtId="0" fontId="3" fillId="13" borderId="15" xfId="2" applyFont="1" applyFill="1" applyBorder="1" applyAlignment="1">
      <alignment vertical="center" wrapText="1"/>
    </xf>
    <xf numFmtId="0" fontId="3" fillId="13" borderId="0" xfId="2" applyFont="1" applyFill="1" applyAlignment="1">
      <alignment vertical="center" wrapText="1"/>
    </xf>
    <xf numFmtId="0" fontId="3" fillId="13" borderId="16" xfId="2" applyFont="1" applyFill="1" applyBorder="1" applyAlignment="1">
      <alignment horizontal="right" vertical="center"/>
    </xf>
    <xf numFmtId="0" fontId="9" fillId="14" borderId="14" xfId="1" applyFont="1" applyFill="1" applyBorder="1" applyAlignment="1">
      <alignment horizontal="center" vertical="center"/>
    </xf>
    <xf numFmtId="0" fontId="3" fillId="15" borderId="17" xfId="2" applyFont="1" applyFill="1" applyBorder="1" applyAlignment="1">
      <alignment horizontal="center" vertical="center" wrapText="1"/>
    </xf>
    <xf numFmtId="0" fontId="3" fillId="15" borderId="18" xfId="2" applyFont="1" applyFill="1" applyBorder="1" applyAlignment="1">
      <alignment horizontal="center" vertical="center"/>
    </xf>
    <xf numFmtId="0" fontId="1" fillId="16" borderId="14" xfId="2" applyFont="1" applyFill="1" applyBorder="1" applyAlignment="1">
      <alignment horizontal="center"/>
    </xf>
    <xf numFmtId="2" fontId="1" fillId="16" borderId="14" xfId="2" applyNumberFormat="1" applyFont="1" applyFill="1" applyBorder="1" applyAlignment="1">
      <alignment horizontal="center"/>
    </xf>
    <xf numFmtId="2" fontId="3" fillId="16" borderId="14" xfId="2" applyNumberFormat="1" applyFont="1" applyFill="1" applyBorder="1" applyAlignment="1">
      <alignment horizontal="center"/>
    </xf>
    <xf numFmtId="0" fontId="1" fillId="17" borderId="14" xfId="1" applyFill="1" applyBorder="1" applyAlignment="1">
      <alignment horizontal="center"/>
    </xf>
    <xf numFmtId="2" fontId="10" fillId="16" borderId="14" xfId="2" applyNumberFormat="1" applyFont="1" applyFill="1" applyBorder="1" applyAlignment="1">
      <alignment horizontal="center"/>
    </xf>
    <xf numFmtId="1" fontId="1" fillId="16" borderId="16" xfId="2" applyNumberFormat="1" applyFont="1" applyFill="1" applyBorder="1" applyAlignment="1">
      <alignment horizontal="center"/>
    </xf>
    <xf numFmtId="2" fontId="1" fillId="16" borderId="16" xfId="2" applyNumberFormat="1" applyFont="1" applyFill="1" applyBorder="1" applyAlignment="1">
      <alignment horizontal="center"/>
    </xf>
    <xf numFmtId="49" fontId="1" fillId="0" borderId="0" xfId="1" applyNumberFormat="1"/>
    <xf numFmtId="0" fontId="1" fillId="0" borderId="0" xfId="1" applyAlignment="1">
      <alignment horizontal="right"/>
    </xf>
    <xf numFmtId="1" fontId="1" fillId="0" borderId="0" xfId="1" applyNumberFormat="1"/>
    <xf numFmtId="0" fontId="1" fillId="2" borderId="14" xfId="1" applyFill="1" applyBorder="1" applyAlignment="1">
      <alignment horizontal="center" vertical="center"/>
    </xf>
    <xf numFmtId="0" fontId="1" fillId="0" borderId="14" xfId="1" applyBorder="1" applyAlignment="1">
      <alignment horizontal="center" vertical="center"/>
    </xf>
    <xf numFmtId="0" fontId="1" fillId="4" borderId="14" xfId="1" applyFill="1" applyBorder="1" applyAlignment="1">
      <alignment horizontal="center" vertical="center"/>
    </xf>
    <xf numFmtId="0" fontId="11" fillId="6" borderId="22" xfId="2" applyFont="1" applyFill="1" applyBorder="1" applyAlignment="1">
      <alignment vertical="center"/>
    </xf>
    <xf numFmtId="0" fontId="11" fillId="6" borderId="23" xfId="2" applyFont="1" applyFill="1" applyBorder="1" applyAlignment="1">
      <alignment vertical="center"/>
    </xf>
    <xf numFmtId="0" fontId="6" fillId="0" borderId="14" xfId="1" applyFont="1" applyBorder="1" applyAlignment="1">
      <alignment horizontal="center" vertical="center"/>
    </xf>
    <xf numFmtId="0" fontId="11" fillId="6" borderId="25" xfId="2" applyFont="1" applyFill="1" applyBorder="1" applyAlignment="1">
      <alignment vertical="center"/>
    </xf>
    <xf numFmtId="0" fontId="11" fillId="6" borderId="26" xfId="2" applyFont="1" applyFill="1" applyBorder="1" applyAlignment="1">
      <alignment vertical="center"/>
    </xf>
    <xf numFmtId="0" fontId="5" fillId="7" borderId="14" xfId="2" applyFont="1" applyFill="1" applyBorder="1" applyAlignment="1">
      <alignment horizontal="center" vertical="center" wrapText="1"/>
    </xf>
    <xf numFmtId="0" fontId="3" fillId="8" borderId="14" xfId="2" applyFont="1" applyFill="1" applyBorder="1" applyAlignment="1" applyProtection="1">
      <alignment horizontal="center" vertical="center" wrapText="1"/>
      <protection locked="0"/>
    </xf>
    <xf numFmtId="14" fontId="5" fillId="7" borderId="14" xfId="2" applyNumberFormat="1" applyFont="1" applyFill="1" applyBorder="1" applyAlignment="1">
      <alignment horizontal="center" vertical="center" wrapText="1"/>
    </xf>
    <xf numFmtId="0" fontId="7" fillId="9" borderId="14" xfId="1" applyFont="1" applyFill="1" applyBorder="1" applyAlignment="1">
      <alignment horizontal="center" vertical="center"/>
    </xf>
    <xf numFmtId="0" fontId="8" fillId="8" borderId="14" xfId="1" applyFont="1" applyFill="1" applyBorder="1" applyAlignment="1">
      <alignment horizontal="center" vertical="center"/>
    </xf>
    <xf numFmtId="0" fontId="3" fillId="0" borderId="14" xfId="2" applyFont="1" applyBorder="1" applyAlignment="1">
      <alignment horizontal="center" vertical="center"/>
    </xf>
    <xf numFmtId="1" fontId="3" fillId="10" borderId="14" xfId="2" applyNumberFormat="1" applyFont="1" applyFill="1" applyBorder="1" applyAlignment="1" applyProtection="1">
      <alignment horizontal="center" vertical="center"/>
      <protection locked="0"/>
    </xf>
    <xf numFmtId="1" fontId="3" fillId="8" borderId="14" xfId="2" applyNumberFormat="1" applyFont="1" applyFill="1" applyBorder="1" applyAlignment="1" applyProtection="1">
      <alignment horizontal="center" vertical="center"/>
      <protection locked="0"/>
    </xf>
    <xf numFmtId="0" fontId="3" fillId="13" borderId="14" xfId="2" applyFont="1" applyFill="1" applyBorder="1" applyAlignment="1">
      <alignment horizontal="center" vertical="center"/>
    </xf>
    <xf numFmtId="0" fontId="6" fillId="18" borderId="14" xfId="1" applyFont="1" applyFill="1" applyBorder="1" applyAlignment="1">
      <alignment horizontal="center" vertical="center"/>
    </xf>
    <xf numFmtId="0" fontId="3" fillId="15" borderId="14" xfId="2" applyFont="1" applyFill="1" applyBorder="1" applyAlignment="1">
      <alignment horizontal="center" vertical="center" wrapText="1"/>
    </xf>
    <xf numFmtId="0" fontId="3" fillId="15" borderId="14" xfId="2" applyFont="1" applyFill="1" applyBorder="1" applyAlignment="1">
      <alignment horizontal="center" vertical="center"/>
    </xf>
    <xf numFmtId="0" fontId="1" fillId="16" borderId="14" xfId="2" applyFont="1" applyFill="1" applyBorder="1" applyAlignment="1">
      <alignment horizontal="center" vertical="center"/>
    </xf>
    <xf numFmtId="2" fontId="1" fillId="16" borderId="14" xfId="2" applyNumberFormat="1" applyFont="1" applyFill="1" applyBorder="1" applyAlignment="1">
      <alignment horizontal="center" vertical="center"/>
    </xf>
    <xf numFmtId="0" fontId="0" fillId="17" borderId="14" xfId="0" applyFill="1" applyBorder="1" applyAlignment="1">
      <alignment horizontal="center"/>
    </xf>
    <xf numFmtId="2" fontId="3" fillId="16" borderId="14" xfId="2" applyNumberFormat="1" applyFont="1" applyFill="1" applyBorder="1" applyAlignment="1">
      <alignment horizontal="center" vertical="center"/>
    </xf>
    <xf numFmtId="2" fontId="10" fillId="16" borderId="14" xfId="2" applyNumberFormat="1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center" vertical="center"/>
    </xf>
    <xf numFmtId="1" fontId="1" fillId="0" borderId="14" xfId="1" applyNumberFormat="1" applyBorder="1" applyAlignment="1">
      <alignment horizontal="center" vertical="center"/>
    </xf>
    <xf numFmtId="0" fontId="3" fillId="3" borderId="0" xfId="1" applyFont="1" applyFill="1" applyAlignment="1" applyProtection="1">
      <alignment horizontal="center" vertical="center"/>
      <protection locked="0"/>
    </xf>
    <xf numFmtId="0" fontId="2" fillId="2" borderId="14" xfId="1" applyFont="1" applyFill="1" applyBorder="1" applyAlignment="1">
      <alignment horizontal="center" vertical="center"/>
    </xf>
    <xf numFmtId="0" fontId="3" fillId="3" borderId="14" xfId="1" applyFont="1" applyFill="1" applyBorder="1" applyAlignment="1" applyProtection="1">
      <alignment horizontal="center" vertical="center"/>
      <protection locked="0"/>
    </xf>
    <xf numFmtId="0" fontId="3" fillId="13" borderId="13" xfId="2" applyFont="1" applyFill="1" applyBorder="1" applyAlignment="1">
      <alignment vertical="center" wrapText="1"/>
    </xf>
    <xf numFmtId="0" fontId="3" fillId="13" borderId="4" xfId="2" applyFont="1" applyFill="1" applyBorder="1" applyAlignment="1">
      <alignment vertical="center" wrapText="1"/>
    </xf>
    <xf numFmtId="0" fontId="3" fillId="13" borderId="32" xfId="2" applyFont="1" applyFill="1" applyBorder="1" applyAlignment="1">
      <alignment vertical="center" wrapText="1"/>
    </xf>
    <xf numFmtId="0" fontId="3" fillId="13" borderId="14" xfId="2" applyFont="1" applyFill="1" applyBorder="1" applyAlignment="1">
      <alignment horizontal="right" vertical="center"/>
    </xf>
    <xf numFmtId="0" fontId="3" fillId="13" borderId="33" xfId="2" applyFont="1" applyFill="1" applyBorder="1" applyAlignment="1">
      <alignment vertical="center" wrapText="1"/>
    </xf>
    <xf numFmtId="2" fontId="0" fillId="16" borderId="14" xfId="0" applyNumberFormat="1" applyFill="1" applyBorder="1" applyAlignment="1">
      <alignment vertical="center" wrapText="1"/>
    </xf>
    <xf numFmtId="0" fontId="0" fillId="16" borderId="14" xfId="0" applyFill="1" applyBorder="1" applyAlignment="1">
      <alignment vertic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23" borderId="40" xfId="0" applyFill="1" applyBorder="1" applyAlignment="1">
      <alignment horizontal="center"/>
    </xf>
    <xf numFmtId="0" fontId="0" fillId="24" borderId="42" xfId="0" applyFill="1" applyBorder="1" applyAlignment="1">
      <alignment horizontal="center"/>
    </xf>
    <xf numFmtId="0" fontId="0" fillId="25" borderId="42" xfId="0" applyFill="1" applyBorder="1" applyAlignment="1">
      <alignment horizontal="center"/>
    </xf>
    <xf numFmtId="0" fontId="0" fillId="23" borderId="42" xfId="0" applyFill="1" applyBorder="1" applyAlignment="1">
      <alignment horizontal="center"/>
    </xf>
    <xf numFmtId="0" fontId="0" fillId="25" borderId="41" xfId="0" applyFill="1" applyBorder="1" applyAlignment="1">
      <alignment horizontal="center"/>
    </xf>
    <xf numFmtId="165" fontId="15" fillId="12" borderId="45" xfId="0" applyNumberFormat="1" applyFont="1" applyFill="1" applyBorder="1"/>
    <xf numFmtId="0" fontId="15" fillId="12" borderId="46" xfId="0" applyFont="1" applyFill="1" applyBorder="1" applyAlignment="1">
      <alignment horizontal="center" vertical="center"/>
    </xf>
    <xf numFmtId="2" fontId="15" fillId="12" borderId="35" xfId="0" applyNumberFormat="1" applyFont="1" applyFill="1" applyBorder="1" applyAlignment="1">
      <alignment horizontal="center" vertical="center"/>
    </xf>
    <xf numFmtId="2" fontId="15" fillId="12" borderId="37" xfId="0" applyNumberFormat="1" applyFont="1" applyFill="1" applyBorder="1" applyAlignment="1">
      <alignment horizontal="center" vertical="center"/>
    </xf>
    <xf numFmtId="2" fontId="15" fillId="12" borderId="36" xfId="0" applyNumberFormat="1" applyFont="1" applyFill="1" applyBorder="1" applyAlignment="1">
      <alignment horizontal="center" vertical="center"/>
    </xf>
    <xf numFmtId="2" fontId="15" fillId="12" borderId="47" xfId="0" applyNumberFormat="1" applyFont="1" applyFill="1" applyBorder="1" applyAlignment="1">
      <alignment horizontal="center" vertical="center"/>
    </xf>
    <xf numFmtId="2" fontId="15" fillId="12" borderId="14" xfId="0" applyNumberFormat="1" applyFont="1" applyFill="1" applyBorder="1" applyAlignment="1">
      <alignment horizontal="center" vertical="center"/>
    </xf>
    <xf numFmtId="2" fontId="15" fillId="12" borderId="48" xfId="0" applyNumberFormat="1" applyFont="1" applyFill="1" applyBorder="1" applyAlignment="1">
      <alignment horizontal="center" vertical="center"/>
    </xf>
    <xf numFmtId="2" fontId="12" fillId="0" borderId="37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165" fontId="15" fillId="12" borderId="47" xfId="0" applyNumberFormat="1" applyFont="1" applyFill="1" applyBorder="1"/>
    <xf numFmtId="0" fontId="15" fillId="12" borderId="48" xfId="0" applyFont="1" applyFill="1" applyBorder="1" applyAlignment="1">
      <alignment horizontal="center" vertical="center"/>
    </xf>
    <xf numFmtId="2" fontId="12" fillId="0" borderId="14" xfId="0" applyNumberFormat="1" applyFon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12" fillId="0" borderId="37" xfId="0" applyNumberFormat="1" applyFont="1" applyBorder="1" applyAlignment="1">
      <alignment horizontal="center" vertical="center"/>
    </xf>
    <xf numFmtId="0" fontId="15" fillId="0" borderId="48" xfId="0" applyFont="1" applyBorder="1" applyAlignment="1">
      <alignment horizontal="center" vertical="center"/>
    </xf>
    <xf numFmtId="2" fontId="15" fillId="0" borderId="47" xfId="0" applyNumberFormat="1" applyFont="1" applyBorder="1" applyAlignment="1">
      <alignment horizontal="center"/>
    </xf>
    <xf numFmtId="2" fontId="15" fillId="0" borderId="14" xfId="0" applyNumberFormat="1" applyFont="1" applyBorder="1" applyAlignment="1">
      <alignment horizontal="center"/>
    </xf>
    <xf numFmtId="2" fontId="15" fillId="0" borderId="48" xfId="0" applyNumberFormat="1" applyFont="1" applyBorder="1" applyAlignment="1">
      <alignment horizontal="center"/>
    </xf>
    <xf numFmtId="0" fontId="15" fillId="0" borderId="41" xfId="0" applyFont="1" applyBorder="1" applyAlignment="1">
      <alignment horizontal="center" vertical="center"/>
    </xf>
    <xf numFmtId="2" fontId="15" fillId="0" borderId="40" xfId="0" applyNumberFormat="1" applyFont="1" applyBorder="1" applyAlignment="1">
      <alignment horizontal="center"/>
    </xf>
    <xf numFmtId="2" fontId="15" fillId="0" borderId="42" xfId="0" applyNumberFormat="1" applyFont="1" applyBorder="1" applyAlignment="1">
      <alignment horizontal="center"/>
    </xf>
    <xf numFmtId="2" fontId="15" fillId="0" borderId="41" xfId="0" applyNumberFormat="1" applyFont="1" applyBorder="1" applyAlignment="1">
      <alignment horizontal="center"/>
    </xf>
    <xf numFmtId="2" fontId="15" fillId="12" borderId="40" xfId="0" applyNumberFormat="1" applyFont="1" applyFill="1" applyBorder="1" applyAlignment="1">
      <alignment horizontal="center" vertical="center"/>
    </xf>
    <xf numFmtId="2" fontId="15" fillId="12" borderId="42" xfId="0" applyNumberFormat="1" applyFont="1" applyFill="1" applyBorder="1" applyAlignment="1">
      <alignment horizontal="center" vertical="center"/>
    </xf>
    <xf numFmtId="2" fontId="15" fillId="12" borderId="4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1" fillId="16" borderId="14" xfId="2" applyNumberFormat="1" applyFont="1" applyFill="1" applyBorder="1" applyAlignment="1">
      <alignment horizontal="center"/>
    </xf>
    <xf numFmtId="22" fontId="0" fillId="0" borderId="0" xfId="0" applyNumberFormat="1"/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3" borderId="6" xfId="1" applyFont="1" applyFill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horizontal="center" vertical="center"/>
      <protection locked="0"/>
    </xf>
    <xf numFmtId="0" fontId="3" fillId="3" borderId="7" xfId="1" applyFont="1" applyFill="1" applyBorder="1" applyAlignment="1" applyProtection="1">
      <alignment horizontal="center" vertical="center"/>
      <protection locked="0"/>
    </xf>
    <xf numFmtId="0" fontId="3" fillId="5" borderId="6" xfId="2" applyFont="1" applyFill="1" applyBorder="1" applyAlignment="1">
      <alignment horizontal="center" vertical="center" wrapText="1"/>
    </xf>
    <xf numFmtId="0" fontId="3" fillId="5" borderId="8" xfId="2" applyFont="1" applyFill="1" applyBorder="1" applyAlignment="1">
      <alignment horizontal="center" vertical="center" wrapText="1"/>
    </xf>
    <xf numFmtId="0" fontId="3" fillId="5" borderId="0" xfId="2" applyFont="1" applyFill="1" applyAlignment="1">
      <alignment horizontal="center" vertical="center" wrapText="1"/>
    </xf>
    <xf numFmtId="0" fontId="3" fillId="5" borderId="9" xfId="2" applyFont="1" applyFill="1" applyBorder="1" applyAlignment="1">
      <alignment horizontal="center" vertical="center" wrapText="1"/>
    </xf>
    <xf numFmtId="164" fontId="5" fillId="6" borderId="0" xfId="2" applyNumberFormat="1" applyFont="1" applyFill="1" applyAlignment="1" applyProtection="1">
      <alignment horizontal="center" vertical="center" wrapText="1"/>
      <protection locked="0"/>
    </xf>
    <xf numFmtId="164" fontId="5" fillId="6" borderId="9" xfId="2" applyNumberFormat="1" applyFont="1" applyFill="1" applyBorder="1" applyAlignment="1" applyProtection="1">
      <alignment horizontal="center" vertical="center" wrapText="1"/>
      <protection locked="0"/>
    </xf>
    <xf numFmtId="0" fontId="6" fillId="6" borderId="14" xfId="1" applyFont="1" applyFill="1" applyBorder="1" applyAlignment="1">
      <alignment horizontal="center" vertical="center"/>
    </xf>
    <xf numFmtId="0" fontId="3" fillId="13" borderId="21" xfId="2" applyFont="1" applyFill="1" applyBorder="1" applyAlignment="1">
      <alignment horizontal="center" vertical="center" wrapText="1"/>
    </xf>
    <xf numFmtId="0" fontId="3" fillId="13" borderId="22" xfId="2" applyFont="1" applyFill="1" applyBorder="1" applyAlignment="1">
      <alignment horizontal="center" vertical="center" wrapText="1"/>
    </xf>
    <xf numFmtId="0" fontId="3" fillId="13" borderId="23" xfId="2" applyFont="1" applyFill="1" applyBorder="1" applyAlignment="1">
      <alignment horizontal="center" vertical="center" wrapText="1"/>
    </xf>
    <xf numFmtId="0" fontId="3" fillId="13" borderId="24" xfId="2" applyFont="1" applyFill="1" applyBorder="1" applyAlignment="1">
      <alignment horizontal="center" vertical="center" wrapText="1"/>
    </xf>
    <xf numFmtId="0" fontId="3" fillId="13" borderId="25" xfId="2" applyFont="1" applyFill="1" applyBorder="1" applyAlignment="1">
      <alignment horizontal="center" vertical="center" wrapText="1"/>
    </xf>
    <xf numFmtId="0" fontId="3" fillId="13" borderId="26" xfId="2" applyFont="1" applyFill="1" applyBorder="1" applyAlignment="1">
      <alignment horizontal="center" vertical="center" wrapText="1"/>
    </xf>
    <xf numFmtId="0" fontId="6" fillId="6" borderId="22" xfId="1" applyFont="1" applyFill="1" applyBorder="1" applyAlignment="1">
      <alignment horizontal="center" vertical="center"/>
    </xf>
    <xf numFmtId="0" fontId="6" fillId="6" borderId="23" xfId="1" applyFont="1" applyFill="1" applyBorder="1" applyAlignment="1">
      <alignment horizontal="center" vertical="center"/>
    </xf>
    <xf numFmtId="0" fontId="6" fillId="6" borderId="25" xfId="1" applyFont="1" applyFill="1" applyBorder="1" applyAlignment="1">
      <alignment horizontal="center" vertical="center"/>
    </xf>
    <xf numFmtId="0" fontId="6" fillId="6" borderId="26" xfId="1" applyFont="1" applyFill="1" applyBorder="1" applyAlignment="1">
      <alignment horizontal="center" vertical="center"/>
    </xf>
    <xf numFmtId="0" fontId="2" fillId="2" borderId="14" xfId="1" applyFont="1" applyFill="1" applyBorder="1" applyAlignment="1">
      <alignment horizontal="center" vertical="center"/>
    </xf>
    <xf numFmtId="0" fontId="3" fillId="3" borderId="14" xfId="1" applyFont="1" applyFill="1" applyBorder="1" applyAlignment="1" applyProtection="1">
      <alignment horizontal="center" vertical="center"/>
      <protection locked="0"/>
    </xf>
    <xf numFmtId="0" fontId="3" fillId="5" borderId="19" xfId="2" applyFont="1" applyFill="1" applyBorder="1" applyAlignment="1">
      <alignment horizontal="center" vertical="center" wrapText="1"/>
    </xf>
    <xf numFmtId="0" fontId="3" fillId="5" borderId="20" xfId="2" applyFont="1" applyFill="1" applyBorder="1" applyAlignment="1">
      <alignment horizontal="center" vertical="center" wrapText="1"/>
    </xf>
    <xf numFmtId="0" fontId="3" fillId="5" borderId="14" xfId="2" applyFont="1" applyFill="1" applyBorder="1" applyAlignment="1">
      <alignment horizontal="center" vertical="center" wrapText="1"/>
    </xf>
    <xf numFmtId="164" fontId="5" fillId="6" borderId="14" xfId="2" applyNumberFormat="1" applyFont="1" applyFill="1" applyBorder="1" applyAlignment="1" applyProtection="1">
      <alignment horizontal="center" vertical="center" wrapText="1"/>
      <protection locked="0"/>
    </xf>
    <xf numFmtId="0" fontId="11" fillId="6" borderId="21" xfId="2" applyFont="1" applyFill="1" applyBorder="1" applyAlignment="1">
      <alignment horizontal="center" vertical="center"/>
    </xf>
    <xf numFmtId="0" fontId="11" fillId="6" borderId="22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11" fillId="6" borderId="25" xfId="2" applyFont="1" applyFill="1" applyBorder="1" applyAlignment="1">
      <alignment horizontal="center" vertical="center"/>
    </xf>
    <xf numFmtId="0" fontId="0" fillId="0" borderId="38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4" xfId="0" applyBorder="1" applyAlignment="1">
      <alignment horizont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13" fillId="0" borderId="29" xfId="0" applyFon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4" fillId="19" borderId="35" xfId="0" applyFont="1" applyFill="1" applyBorder="1" applyAlignment="1">
      <alignment horizontal="center" vertical="center"/>
    </xf>
    <xf numFmtId="0" fontId="14" fillId="19" borderId="40" xfId="0" applyFont="1" applyFill="1" applyBorder="1" applyAlignment="1">
      <alignment horizontal="center" vertical="center"/>
    </xf>
    <xf numFmtId="0" fontId="14" fillId="19" borderId="36" xfId="0" applyFont="1" applyFill="1" applyBorder="1" applyAlignment="1">
      <alignment horizontal="center" vertical="center"/>
    </xf>
    <xf numFmtId="0" fontId="14" fillId="19" borderId="41" xfId="0" applyFont="1" applyFill="1" applyBorder="1" applyAlignment="1">
      <alignment horizontal="center" vertical="center"/>
    </xf>
    <xf numFmtId="0" fontId="0" fillId="20" borderId="35" xfId="0" applyFill="1" applyBorder="1" applyAlignment="1">
      <alignment horizontal="center"/>
    </xf>
    <xf numFmtId="0" fontId="0" fillId="20" borderId="37" xfId="0" applyFill="1" applyBorder="1" applyAlignment="1">
      <alignment horizontal="center"/>
    </xf>
    <xf numFmtId="0" fontId="0" fillId="20" borderId="36" xfId="0" applyFill="1" applyBorder="1" applyAlignment="1">
      <alignment horizontal="center"/>
    </xf>
    <xf numFmtId="0" fontId="0" fillId="21" borderId="35" xfId="0" applyFill="1" applyBorder="1" applyAlignment="1">
      <alignment horizontal="center"/>
    </xf>
    <xf numFmtId="0" fontId="0" fillId="21" borderId="37" xfId="0" applyFill="1" applyBorder="1" applyAlignment="1">
      <alignment horizontal="center"/>
    </xf>
    <xf numFmtId="0" fontId="0" fillId="21" borderId="36" xfId="0" applyFill="1" applyBorder="1" applyAlignment="1">
      <alignment horizontal="center"/>
    </xf>
    <xf numFmtId="0" fontId="0" fillId="22" borderId="3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6" xfId="0" applyFill="1" applyBorder="1" applyAlignment="1">
      <alignment horizontal="center"/>
    </xf>
    <xf numFmtId="2" fontId="1" fillId="26" borderId="14" xfId="2" applyNumberFormat="1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_Sheet1" xfId="2" xr:uid="{00000000-0005-0000-0000-000002000000}"/>
  </cellStyles>
  <dxfs count="7">
    <dxf>
      <numFmt numFmtId="27" formatCode="dd/mm/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518160</xdr:colOff>
      <xdr:row>2</xdr:row>
      <xdr:rowOff>49530</xdr:rowOff>
    </xdr:from>
    <xdr:to>
      <xdr:col>12</xdr:col>
      <xdr:colOff>876300</xdr:colOff>
      <xdr:row>3</xdr:row>
      <xdr:rowOff>125730</xdr:rowOff>
    </xdr:to>
    <xdr:sp macro="[0]!Add_DC_Details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9FA2AB0-B846-4EEE-BCEA-8CC129E76A3E}"/>
            </a:ext>
          </a:extLst>
        </xdr:cNvPr>
        <xdr:cNvSpPr/>
      </xdr:nvSpPr>
      <xdr:spPr>
        <a:xfrm>
          <a:off x="8686800" y="514350"/>
          <a:ext cx="132588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  <xdr:twoCellAnchor>
    <xdr:from>
      <xdr:col>1</xdr:col>
      <xdr:colOff>53340</xdr:colOff>
      <xdr:row>2</xdr:row>
      <xdr:rowOff>45720</xdr:rowOff>
    </xdr:from>
    <xdr:to>
      <xdr:col>2</xdr:col>
      <xdr:colOff>377190</xdr:colOff>
      <xdr:row>3</xdr:row>
      <xdr:rowOff>116205</xdr:rowOff>
    </xdr:to>
    <xdr:sp macro="[0]!Get_Today_DC_Revis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AACBD7A3-A832-47A2-9D72-FC0D1BBA6D5F}"/>
            </a:ext>
          </a:extLst>
        </xdr:cNvPr>
        <xdr:cNvSpPr/>
      </xdr:nvSpPr>
      <xdr:spPr>
        <a:xfrm>
          <a:off x="678180" y="510540"/>
          <a:ext cx="948690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438150</xdr:colOff>
      <xdr:row>2</xdr:row>
      <xdr:rowOff>43815</xdr:rowOff>
    </xdr:from>
    <xdr:to>
      <xdr:col>3</xdr:col>
      <xdr:colOff>796290</xdr:colOff>
      <xdr:row>3</xdr:row>
      <xdr:rowOff>120015</xdr:rowOff>
    </xdr:to>
    <xdr:sp macro="[0]!Get_Tomorrow_DC_Revision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361BE40E-63B6-4B11-97D2-7348409B2866}"/>
            </a:ext>
          </a:extLst>
        </xdr:cNvPr>
        <xdr:cNvSpPr/>
      </xdr:nvSpPr>
      <xdr:spPr>
        <a:xfrm>
          <a:off x="1687830" y="508635"/>
          <a:ext cx="112014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621030</xdr:colOff>
      <xdr:row>2</xdr:row>
      <xdr:rowOff>38100</xdr:rowOff>
    </xdr:from>
    <xdr:to>
      <xdr:col>2</xdr:col>
      <xdr:colOff>306705</xdr:colOff>
      <xdr:row>3</xdr:row>
      <xdr:rowOff>133350</xdr:rowOff>
    </xdr:to>
    <xdr:sp macro="[0]!Get_Today_SG_Revis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106B395-B822-4772-AA50-21A3874B8556}"/>
            </a:ext>
          </a:extLst>
        </xdr:cNvPr>
        <xdr:cNvSpPr/>
      </xdr:nvSpPr>
      <xdr:spPr>
        <a:xfrm>
          <a:off x="621030" y="563880"/>
          <a:ext cx="935355" cy="26289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358140</xdr:colOff>
      <xdr:row>2</xdr:row>
      <xdr:rowOff>38099</xdr:rowOff>
    </xdr:from>
    <xdr:to>
      <xdr:col>3</xdr:col>
      <xdr:colOff>723900</xdr:colOff>
      <xdr:row>3</xdr:row>
      <xdr:rowOff>135254</xdr:rowOff>
    </xdr:to>
    <xdr:sp macro="[0]!Get_Tomorrow_SG_Revision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BCF570-16C2-418D-AA3D-5A8DEE5FEB74}"/>
            </a:ext>
          </a:extLst>
        </xdr:cNvPr>
        <xdr:cNvSpPr/>
      </xdr:nvSpPr>
      <xdr:spPr>
        <a:xfrm>
          <a:off x="1607820" y="563879"/>
          <a:ext cx="1127760" cy="26479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11</xdr:col>
      <xdr:colOff>716280</xdr:colOff>
      <xdr:row>2</xdr:row>
      <xdr:rowOff>0</xdr:rowOff>
    </xdr:from>
    <xdr:to>
      <xdr:col>14</xdr:col>
      <xdr:colOff>68580</xdr:colOff>
      <xdr:row>3</xdr:row>
      <xdr:rowOff>161290</xdr:rowOff>
    </xdr:to>
    <xdr:sp macro="[0]!Add_SG_Detail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EC3BE01-438D-4791-8207-511B78C15E02}"/>
            </a:ext>
          </a:extLst>
        </xdr:cNvPr>
        <xdr:cNvSpPr/>
      </xdr:nvSpPr>
      <xdr:spPr>
        <a:xfrm>
          <a:off x="8900160" y="525780"/>
          <a:ext cx="1348740" cy="32893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104775</xdr:colOff>
      <xdr:row>1</xdr:row>
      <xdr:rowOff>137160</xdr:rowOff>
    </xdr:to>
    <xdr:sp macro="[0]!ACP.Get_Today" textlink="">
      <xdr:nvSpPr>
        <xdr:cNvPr id="2" name="Rectangle: Rounded Corners 2">
          <a:extLst>
            <a:ext uri="{FF2B5EF4-FFF2-40B4-BE49-F238E27FC236}">
              <a16:creationId xmlns:a16="http://schemas.microsoft.com/office/drawing/2014/main" id="{084A4C51-0A74-4EEF-B128-D32769173DE2}"/>
            </a:ext>
          </a:extLst>
        </xdr:cNvPr>
        <xdr:cNvSpPr/>
      </xdr:nvSpPr>
      <xdr:spPr>
        <a:xfrm>
          <a:off x="702945" y="66675"/>
          <a:ext cx="956310" cy="25336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171449</xdr:colOff>
      <xdr:row>0</xdr:row>
      <xdr:rowOff>66675</xdr:rowOff>
    </xdr:from>
    <xdr:to>
      <xdr:col>3</xdr:col>
      <xdr:colOff>447674</xdr:colOff>
      <xdr:row>1</xdr:row>
      <xdr:rowOff>137160</xdr:rowOff>
    </xdr:to>
    <xdr:sp macro="[0]!ACP.Get_Tomor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CD3C49-9922-406B-A02E-95FF4E46CF9A}"/>
            </a:ext>
          </a:extLst>
        </xdr:cNvPr>
        <xdr:cNvSpPr/>
      </xdr:nvSpPr>
      <xdr:spPr>
        <a:xfrm>
          <a:off x="1725929" y="66675"/>
          <a:ext cx="1259205" cy="25336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5</xdr:col>
      <xdr:colOff>0</xdr:colOff>
      <xdr:row>0</xdr:row>
      <xdr:rowOff>76200</xdr:rowOff>
    </xdr:from>
    <xdr:to>
      <xdr:col>6</xdr:col>
      <xdr:colOff>1371600</xdr:colOff>
      <xdr:row>1</xdr:row>
      <xdr:rowOff>152400</xdr:rowOff>
    </xdr:to>
    <xdr:sp macro="[0]!Add_ACP" textlink="">
      <xdr:nvSpPr>
        <xdr:cNvPr id="4" name="Rectangle: Rounded Corners 1">
          <a:extLst>
            <a:ext uri="{FF2B5EF4-FFF2-40B4-BE49-F238E27FC236}">
              <a16:creationId xmlns:a16="http://schemas.microsoft.com/office/drawing/2014/main" id="{6CC0D7F9-4307-422E-9739-49B704522BF0}"/>
            </a:ext>
          </a:extLst>
        </xdr:cNvPr>
        <xdr:cNvSpPr/>
      </xdr:nvSpPr>
      <xdr:spPr>
        <a:xfrm>
          <a:off x="6372225" y="76200"/>
          <a:ext cx="137160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0A5296-E93A-4546-A5A5-E318C73EF10F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CustomerName" tableColumnId="2"/>
      <queryTableField id="3" name="Plant" tableColumnId="3"/>
      <queryTableField id="4" name="DCID" tableColumnId="4"/>
      <queryTableField id="5" name="SGID" tableColumnId="5"/>
      <queryTableField id="6" name="DCTagName" tableColumnId="6"/>
      <queryTableField id="7" name="SGTagName" tableColumnId="7"/>
      <queryTableField id="8" name="FuelCost" tableColumnId="8"/>
      <queryTableField id="9" name="CustomerType" tableColumnId="9"/>
      <queryTableField id="10" name="Status" tableColumnId="10"/>
      <queryTableField id="11" name="CreatedA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7671AC-1FB8-4736-BBD0-1B67396468C3}" name="APRL_CustomerData__2" displayName="APRL_CustomerData__2" ref="A1:K27" tableType="queryTable" totalsRowShown="0">
  <autoFilter ref="A1:K27" xr:uid="{E37671AC-1FB8-4736-BBD0-1B67396468C3}"/>
  <tableColumns count="11">
    <tableColumn id="1" xr3:uid="{1118B6FF-01EA-47D8-A4D1-FB266418CADB}" uniqueName="1" name="Id" queryTableFieldId="1"/>
    <tableColumn id="2" xr3:uid="{488416C9-2092-441C-84B8-203AD2D69831}" uniqueName="2" name="CustomerName" queryTableFieldId="2" dataDxfId="6"/>
    <tableColumn id="3" xr3:uid="{399BD1DF-20CE-49FA-8324-325976D18254}" uniqueName="3" name="Plant" queryTableFieldId="3" dataDxfId="5"/>
    <tableColumn id="4" xr3:uid="{C99B43D2-940F-4747-8656-1C19A67C329A}" uniqueName="4" name="DCID" queryTableFieldId="4"/>
    <tableColumn id="5" xr3:uid="{861096A0-7422-4DAE-82CF-DD29E41BC244}" uniqueName="5" name="SGID" queryTableFieldId="5"/>
    <tableColumn id="6" xr3:uid="{33534647-40F2-41D5-8650-E59809CE2EC3}" uniqueName="6" name="DCTagName" queryTableFieldId="6" dataDxfId="4"/>
    <tableColumn id="7" xr3:uid="{3410970D-04D8-44F2-96E3-4F007D86BDFD}" uniqueName="7" name="SGTagName" queryTableFieldId="7" dataDxfId="3"/>
    <tableColumn id="8" xr3:uid="{47B30952-2A87-4497-AE8A-BC13576DC6B2}" uniqueName="8" name="FuelCost" queryTableFieldId="8"/>
    <tableColumn id="9" xr3:uid="{F1D74C46-7BC2-4D75-A94F-44E4DE4841D3}" uniqueName="9" name="CustomerType" queryTableFieldId="9" dataDxfId="2"/>
    <tableColumn id="10" xr3:uid="{909E4890-41E3-441A-8C9A-503C96D7C57D}" uniqueName="10" name="Status" queryTableFieldId="10" dataDxfId="1"/>
    <tableColumn id="11" xr3:uid="{D85BB587-9D79-457F-9A59-06871661A547}" uniqueName="11" name="CreatedAt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94"/>
  <sheetViews>
    <sheetView tabSelected="1" workbookViewId="0">
      <selection activeCell="L15" sqref="L15"/>
    </sheetView>
  </sheetViews>
  <sheetFormatPr defaultColWidth="9.140625" defaultRowHeight="12.75" x14ac:dyDescent="0.2"/>
  <cols>
    <col min="1" max="2" width="9.140625" style="4"/>
    <col min="3" max="3" width="11.140625" style="4" customWidth="1"/>
    <col min="4" max="4" width="12.5703125" style="4" bestFit="1" customWidth="1"/>
    <col min="5" max="5" width="12.42578125" style="4" bestFit="1" customWidth="1"/>
    <col min="6" max="6" width="11.28515625" style="4" customWidth="1"/>
    <col min="7" max="7" width="12.140625" style="4" customWidth="1"/>
    <col min="8" max="8" width="11.140625" style="4" bestFit="1" customWidth="1"/>
    <col min="9" max="9" width="9.140625" style="4"/>
    <col min="10" max="10" width="12.140625" style="4" customWidth="1"/>
    <col min="11" max="11" width="9" style="4" customWidth="1"/>
    <col min="12" max="14" width="14.140625" style="4" customWidth="1"/>
    <col min="15" max="16384" width="9.140625" style="4"/>
  </cols>
  <sheetData>
    <row r="1" spans="1:38" ht="24" thickBot="1" x14ac:dyDescent="0.4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  <c r="Q1" s="1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3"/>
    </row>
    <row r="2" spans="1:38" x14ac:dyDescent="0.2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9"/>
      <c r="Q2" s="66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6"/>
    </row>
    <row r="3" spans="1:38" s="9" customFormat="1" ht="15" customHeight="1" x14ac:dyDescent="0.25">
      <c r="A3" s="120" t="s">
        <v>1</v>
      </c>
      <c r="B3" s="122"/>
      <c r="C3" s="122"/>
      <c r="D3" s="122"/>
      <c r="E3" s="124">
        <f ca="1">TODAY()</f>
        <v>45271</v>
      </c>
      <c r="F3" s="122" t="s">
        <v>14</v>
      </c>
      <c r="G3" s="122"/>
      <c r="H3" s="122" t="s">
        <v>2</v>
      </c>
      <c r="I3" s="122"/>
      <c r="J3" s="122"/>
      <c r="K3" s="122"/>
      <c r="L3" s="7"/>
      <c r="M3" s="7"/>
      <c r="N3" s="7"/>
      <c r="O3" s="7"/>
      <c r="P3" s="8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8"/>
    </row>
    <row r="4" spans="1:38" s="9" customFormat="1" ht="15.75" thickBot="1" x14ac:dyDescent="0.3">
      <c r="A4" s="121"/>
      <c r="B4" s="123"/>
      <c r="C4" s="123"/>
      <c r="D4" s="123"/>
      <c r="E4" s="125"/>
      <c r="F4" s="123"/>
      <c r="G4" s="123"/>
      <c r="H4" s="123"/>
      <c r="I4" s="123"/>
      <c r="J4" s="123"/>
      <c r="K4" s="123"/>
      <c r="L4" s="10"/>
      <c r="M4" s="10"/>
      <c r="N4" s="10"/>
      <c r="O4" s="10"/>
      <c r="P4" s="11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1"/>
    </row>
    <row r="5" spans="1:38" s="9" customFormat="1" ht="16.5" thickBot="1" x14ac:dyDescent="0.3">
      <c r="A5" s="12" t="s">
        <v>3</v>
      </c>
      <c r="B5" s="13" t="s">
        <v>4</v>
      </c>
      <c r="C5" s="13" t="s">
        <v>5</v>
      </c>
      <c r="D5" s="14">
        <v>1</v>
      </c>
      <c r="E5" s="15" t="s">
        <v>6</v>
      </c>
      <c r="F5" s="14">
        <v>96</v>
      </c>
      <c r="G5" s="16" t="s">
        <v>7</v>
      </c>
      <c r="H5" s="17">
        <v>1200</v>
      </c>
      <c r="I5" s="18" t="s">
        <v>8</v>
      </c>
      <c r="J5" s="19">
        <v>2</v>
      </c>
      <c r="K5" s="20"/>
      <c r="L5" s="20"/>
      <c r="M5" s="20"/>
      <c r="N5" s="20"/>
      <c r="O5" s="21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9" customFormat="1" ht="15" x14ac:dyDescent="0.25">
      <c r="A6" s="69"/>
      <c r="B6" s="70"/>
      <c r="C6" s="70"/>
      <c r="D6" s="71"/>
      <c r="E6" s="72" t="s">
        <v>45</v>
      </c>
      <c r="F6" s="56">
        <f>VLOOKUP(F8,CustomerData!$B:$I,4,FALSE)</f>
        <v>1010</v>
      </c>
      <c r="G6" s="56">
        <f>VLOOKUP(G8,CustomerData!$B:$I,4,FALSE)</f>
        <v>1014</v>
      </c>
      <c r="H6" s="56">
        <f>VLOOKUP(H8,CustomerData!$B:$I,4,FALSE)</f>
        <v>1030</v>
      </c>
      <c r="I6" s="56">
        <f>VLOOKUP(I8,CustomerData!$B:$I,4,FALSE)</f>
        <v>1026</v>
      </c>
      <c r="J6" s="56">
        <f>VLOOKUP(J8,CustomerData!$B:$I,4,FALSE)</f>
        <v>1013</v>
      </c>
      <c r="K6" s="56" t="e">
        <f>VLOOKUP(K8,CustomerData!$B:$I,4,FALSE)</f>
        <v>#N/A</v>
      </c>
      <c r="L6" s="56" t="e">
        <f>VLOOKUP(L8,CustomerData!$B:$I,4,FALSE)</f>
        <v>#N/A</v>
      </c>
      <c r="M6" s="56" t="e">
        <f>VLOOKUP(M8,CustomerData!$B:$I,4,FALSE)</f>
        <v>#N/A</v>
      </c>
      <c r="N6" s="56" t="e">
        <f>VLOOKUP(N8,CustomerData!$B:$I,4,FALSE)</f>
        <v>#N/A</v>
      </c>
      <c r="O6" s="56" t="e">
        <f>VLOOKUP(O8,CustomerData!$B:$I,4,FALSE)</f>
        <v>#N/A</v>
      </c>
      <c r="P6" s="56" t="e">
        <f>VLOOKUP(P8,CustomerData!$B:$I,4,FALSE)</f>
        <v>#N/A</v>
      </c>
      <c r="Q6" s="56"/>
      <c r="R6" s="56" t="e">
        <f>VLOOKUP(R8,CustomerData!$B:$I,3,FALSE)</f>
        <v>#N/A</v>
      </c>
      <c r="S6" s="56" t="e">
        <f>VLOOKUP(S8,CustomerData!$B:$I,3,FALSE)</f>
        <v>#N/A</v>
      </c>
      <c r="T6" s="56" t="e">
        <f>VLOOKUP(T8,CustomerData!$B:$I,3,FALSE)</f>
        <v>#N/A</v>
      </c>
      <c r="U6" s="56" t="e">
        <f>VLOOKUP(U8,CustomerData!$B:$I,3,FALSE)</f>
        <v>#N/A</v>
      </c>
      <c r="V6" s="56" t="e">
        <f>VLOOKUP(V8,CustomerData!$B:$I,3,FALSE)</f>
        <v>#N/A</v>
      </c>
      <c r="W6" s="56" t="e">
        <f>VLOOKUP(W8,CustomerData!$B:$I,3,FALSE)</f>
        <v>#N/A</v>
      </c>
      <c r="X6" s="56" t="e">
        <f>VLOOKUP(X8,CustomerData!$B:$I,3,FALSE)</f>
        <v>#N/A</v>
      </c>
      <c r="Y6" s="56" t="e">
        <f>VLOOKUP(Y8,CustomerData!$B:$I,3,FALSE)</f>
        <v>#N/A</v>
      </c>
      <c r="Z6" s="56" t="e">
        <f>VLOOKUP(Z8,CustomerData!$B:$I,3,FALSE)</f>
        <v>#N/A</v>
      </c>
      <c r="AA6" s="56" t="e">
        <f>VLOOKUP(AA8,CustomerData!$B:$I,3,FALSE)</f>
        <v>#N/A</v>
      </c>
      <c r="AB6" s="56" t="e">
        <f>VLOOKUP(AB8,CustomerData!$B:$I,3,FALSE)</f>
        <v>#N/A</v>
      </c>
      <c r="AC6" s="56" t="e">
        <f>VLOOKUP(AC8,CustomerData!$B:$I,3,FALSE)</f>
        <v>#N/A</v>
      </c>
      <c r="AD6" s="56" t="e">
        <f>VLOOKUP(AD8,CustomerData!$B:$I,3,FALSE)</f>
        <v>#N/A</v>
      </c>
      <c r="AE6" s="56" t="e">
        <f>VLOOKUP(AE8,CustomerData!$B:$I,3,FALSE)</f>
        <v>#N/A</v>
      </c>
      <c r="AF6" s="56" t="e">
        <f>VLOOKUP(AF8,CustomerData!$B:$I,3,FALSE)</f>
        <v>#N/A</v>
      </c>
      <c r="AG6" s="56" t="e">
        <f>VLOOKUP(AG8,CustomerData!$B:$I,3,FALSE)</f>
        <v>#N/A</v>
      </c>
      <c r="AH6" s="56" t="e">
        <f>VLOOKUP(AH8,CustomerData!$B:$I,3,FALSE)</f>
        <v>#N/A</v>
      </c>
      <c r="AI6" s="56" t="e">
        <f>VLOOKUP(AI8,CustomerData!$B:$I,3,FALSE)</f>
        <v>#N/A</v>
      </c>
      <c r="AJ6" s="56" t="e">
        <f>VLOOKUP(AJ8,CustomerData!$B:$I,3,FALSE)</f>
        <v>#N/A</v>
      </c>
      <c r="AK6" s="56" t="e">
        <f>VLOOKUP(AK8,CustomerData!$B:$I,3,FALSE)</f>
        <v>#N/A</v>
      </c>
      <c r="AL6" s="56" t="e">
        <f>VLOOKUP(AL8,CustomerData!$B:$I,3,FALSE)</f>
        <v>#N/A</v>
      </c>
    </row>
    <row r="7" spans="1:38" s="9" customFormat="1" ht="18.75" x14ac:dyDescent="0.25">
      <c r="A7" s="23"/>
      <c r="B7" s="24"/>
      <c r="C7" s="24"/>
      <c r="D7" s="73"/>
      <c r="E7" s="25" t="s">
        <v>9</v>
      </c>
      <c r="F7" s="26" t="str">
        <f>VLOOKUP(F8,CustomerData!$B:$I,8,FALSE)</f>
        <v xml:space="preserve">LT        </v>
      </c>
      <c r="G7" s="26" t="str">
        <f>VLOOKUP(G8,CustomerData!$B:$I,8,FALSE)</f>
        <v xml:space="preserve">ST        </v>
      </c>
      <c r="H7" s="26" t="str">
        <f>VLOOKUP(H8,CustomerData!$B:$I,8,FALSE)</f>
        <v xml:space="preserve">ST        </v>
      </c>
      <c r="I7" s="26" t="str">
        <f>VLOOKUP(I8,CustomerData!$B:$I,8,FALSE)</f>
        <v xml:space="preserve">LT        </v>
      </c>
      <c r="J7" s="26" t="str">
        <f>VLOOKUP(J8,CustomerData!$B:$I,8,FALSE)</f>
        <v xml:space="preserve">ST        </v>
      </c>
      <c r="K7" s="26" t="e">
        <f>VLOOKUP(K8,CustomerData!$B:$I,8,FALSE)</f>
        <v>#N/A</v>
      </c>
      <c r="L7" s="26" t="e">
        <f>VLOOKUP(L8,CustomerData!$B:$I,8,FALSE)</f>
        <v>#N/A</v>
      </c>
      <c r="M7" s="26" t="e">
        <f>VLOOKUP(M8,CustomerData!$B:$I,8,FALSE)</f>
        <v>#N/A</v>
      </c>
      <c r="N7" s="26" t="e">
        <f>VLOOKUP(N8,CustomerData!$B:$I,8,FALSE)</f>
        <v>#N/A</v>
      </c>
      <c r="O7" s="26" t="e">
        <f>VLOOKUP(O8,CustomerData!$B:$I,8,FALSE)</f>
        <v>#N/A</v>
      </c>
      <c r="P7" s="26" t="e">
        <f>VLOOKUP(P8,CustomerData!$B:$I,8,FALSE)</f>
        <v>#N/A</v>
      </c>
      <c r="Q7" s="26"/>
      <c r="R7" s="26" t="e">
        <f>VLOOKUP(R8,CustomerData!$B:$I,8,FALSE)</f>
        <v>#N/A</v>
      </c>
      <c r="S7" s="26" t="e">
        <f>VLOOKUP(S8,CustomerData!$B:$I,8,FALSE)</f>
        <v>#N/A</v>
      </c>
      <c r="T7" s="26" t="e">
        <f>VLOOKUP(T8,CustomerData!$B:$I,8,FALSE)</f>
        <v>#N/A</v>
      </c>
      <c r="U7" s="26" t="e">
        <f>VLOOKUP(U8,CustomerData!$B:$I,8,FALSE)</f>
        <v>#N/A</v>
      </c>
      <c r="V7" s="26" t="e">
        <f>VLOOKUP(V8,CustomerData!$B:$I,8,FALSE)</f>
        <v>#N/A</v>
      </c>
      <c r="W7" s="26" t="e">
        <f>VLOOKUP(W8,CustomerData!$B:$I,8,FALSE)</f>
        <v>#N/A</v>
      </c>
      <c r="X7" s="26" t="e">
        <f>VLOOKUP(X8,CustomerData!$B:$I,8,FALSE)</f>
        <v>#N/A</v>
      </c>
      <c r="Y7" s="26" t="e">
        <f>VLOOKUP(Y8,CustomerData!$B:$I,8,FALSE)</f>
        <v>#N/A</v>
      </c>
      <c r="Z7" s="26" t="e">
        <f>VLOOKUP(Z8,CustomerData!$B:$I,8,FALSE)</f>
        <v>#N/A</v>
      </c>
      <c r="AA7" s="26" t="e">
        <f>VLOOKUP(AA8,CustomerData!$B:$I,8,FALSE)</f>
        <v>#N/A</v>
      </c>
      <c r="AB7" s="26" t="e">
        <f>VLOOKUP(AB8,CustomerData!$B:$I,8,FALSE)</f>
        <v>#N/A</v>
      </c>
      <c r="AC7" s="26" t="e">
        <f>VLOOKUP(AC8,CustomerData!$B:$I,8,FALSE)</f>
        <v>#N/A</v>
      </c>
      <c r="AD7" s="26" t="e">
        <f>VLOOKUP(AD8,CustomerData!$B:$I,8,FALSE)</f>
        <v>#N/A</v>
      </c>
      <c r="AE7" s="26" t="e">
        <f>VLOOKUP(AE8,CustomerData!$B:$I,8,FALSE)</f>
        <v>#N/A</v>
      </c>
      <c r="AF7" s="26" t="e">
        <f>VLOOKUP(AF8,CustomerData!$B:$I,8,FALSE)</f>
        <v>#N/A</v>
      </c>
      <c r="AG7" s="26" t="e">
        <f>VLOOKUP(AG8,CustomerData!$B:$I,8,FALSE)</f>
        <v>#N/A</v>
      </c>
      <c r="AH7" s="26" t="e">
        <f>VLOOKUP(AH8,CustomerData!$B:$I,8,FALSE)</f>
        <v>#N/A</v>
      </c>
      <c r="AI7" s="26" t="e">
        <f>VLOOKUP(AI8,CustomerData!$B:$I,8,FALSE)</f>
        <v>#N/A</v>
      </c>
      <c r="AJ7" s="26" t="e">
        <f>VLOOKUP(AJ8,CustomerData!$B:$I,8,FALSE)</f>
        <v>#N/A</v>
      </c>
      <c r="AK7" s="26" t="e">
        <f>VLOOKUP(AK8,CustomerData!$B:$I,8,FALSE)</f>
        <v>#N/A</v>
      </c>
      <c r="AL7" s="26" t="e">
        <f>VLOOKUP(AL8,CustomerData!$B:$I,8,FALSE)</f>
        <v>#N/A</v>
      </c>
    </row>
    <row r="8" spans="1:38" s="9" customFormat="1" ht="28.5" customHeight="1" x14ac:dyDescent="0.25">
      <c r="A8" s="27" t="s">
        <v>10</v>
      </c>
      <c r="B8" s="28" t="s">
        <v>4</v>
      </c>
      <c r="C8" s="28" t="s">
        <v>6</v>
      </c>
      <c r="D8" s="28" t="s">
        <v>11</v>
      </c>
      <c r="E8" s="27" t="s">
        <v>44</v>
      </c>
      <c r="F8" s="27" t="s">
        <v>46</v>
      </c>
      <c r="G8" s="27" t="s">
        <v>123</v>
      </c>
      <c r="H8" s="27" t="s">
        <v>48</v>
      </c>
      <c r="I8" s="27" t="s">
        <v>49</v>
      </c>
      <c r="J8" s="27" t="s">
        <v>17</v>
      </c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</row>
    <row r="9" spans="1:38" s="9" customFormat="1" ht="15" x14ac:dyDescent="0.25">
      <c r="A9" s="29">
        <v>1</v>
      </c>
      <c r="B9" s="30">
        <v>0</v>
      </c>
      <c r="C9" s="30">
        <v>0.15</v>
      </c>
      <c r="D9" s="74">
        <f>SUM(F9:AL9)</f>
        <v>1200</v>
      </c>
      <c r="E9" s="31">
        <v>2.27</v>
      </c>
      <c r="F9" s="30">
        <v>1200</v>
      </c>
      <c r="G9" s="30">
        <v>0</v>
      </c>
      <c r="H9" s="32">
        <v>0</v>
      </c>
      <c r="I9" s="32">
        <v>0</v>
      </c>
      <c r="J9" s="32">
        <v>0</v>
      </c>
      <c r="K9" s="32"/>
      <c r="L9" s="32"/>
      <c r="M9" s="32"/>
      <c r="N9" s="32"/>
      <c r="O9" s="32"/>
      <c r="P9" s="32"/>
      <c r="Q9" s="32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</row>
    <row r="10" spans="1:38" s="9" customFormat="1" ht="15" x14ac:dyDescent="0.25">
      <c r="A10" s="29">
        <v>2</v>
      </c>
      <c r="B10" s="30">
        <v>0.15</v>
      </c>
      <c r="C10" s="30">
        <v>0.3</v>
      </c>
      <c r="D10" s="74">
        <f t="shared" ref="D10:D73" si="0">SUM(F10:AL10)</f>
        <v>1200</v>
      </c>
      <c r="E10" s="31">
        <v>2.27</v>
      </c>
      <c r="F10" s="30">
        <v>1200</v>
      </c>
      <c r="G10" s="30">
        <v>0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</row>
    <row r="11" spans="1:38" s="9" customFormat="1" ht="15" x14ac:dyDescent="0.25">
      <c r="A11" s="29">
        <v>3</v>
      </c>
      <c r="B11" s="30">
        <v>0.3</v>
      </c>
      <c r="C11" s="30">
        <v>0.45</v>
      </c>
      <c r="D11" s="74">
        <f t="shared" si="0"/>
        <v>1200</v>
      </c>
      <c r="E11" s="31">
        <v>2.27</v>
      </c>
      <c r="F11" s="30">
        <v>1200</v>
      </c>
      <c r="G11" s="30">
        <v>0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</row>
    <row r="12" spans="1:38" s="9" customFormat="1" ht="15" x14ac:dyDescent="0.25">
      <c r="A12" s="29">
        <v>4</v>
      </c>
      <c r="B12" s="30">
        <v>0.45</v>
      </c>
      <c r="C12" s="30">
        <v>1</v>
      </c>
      <c r="D12" s="74">
        <f t="shared" si="0"/>
        <v>1200</v>
      </c>
      <c r="E12" s="31">
        <v>2.27</v>
      </c>
      <c r="F12" s="30">
        <v>1200</v>
      </c>
      <c r="G12" s="30">
        <v>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</row>
    <row r="13" spans="1:38" s="9" customFormat="1" ht="15" x14ac:dyDescent="0.25">
      <c r="A13" s="29">
        <v>5</v>
      </c>
      <c r="B13" s="30">
        <v>1</v>
      </c>
      <c r="C13" s="30">
        <v>1.1499999999999999</v>
      </c>
      <c r="D13" s="74">
        <f t="shared" si="0"/>
        <v>1200</v>
      </c>
      <c r="E13" s="31">
        <v>2.27</v>
      </c>
      <c r="F13" s="30">
        <v>1200</v>
      </c>
      <c r="G13" s="30">
        <v>0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</row>
    <row r="14" spans="1:38" s="9" customFormat="1" ht="15" x14ac:dyDescent="0.25">
      <c r="A14" s="29">
        <v>6</v>
      </c>
      <c r="B14" s="30">
        <v>1.1499999999999999</v>
      </c>
      <c r="C14" s="30">
        <v>1.3</v>
      </c>
      <c r="D14" s="74">
        <f t="shared" si="0"/>
        <v>1200</v>
      </c>
      <c r="E14" s="31">
        <v>2.27</v>
      </c>
      <c r="F14" s="30">
        <v>1200</v>
      </c>
      <c r="G14" s="30">
        <v>0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</row>
    <row r="15" spans="1:38" s="9" customFormat="1" ht="15" x14ac:dyDescent="0.25">
      <c r="A15" s="29">
        <v>7</v>
      </c>
      <c r="B15" s="30">
        <v>1.3</v>
      </c>
      <c r="C15" s="30">
        <v>1.45</v>
      </c>
      <c r="D15" s="74">
        <f t="shared" si="0"/>
        <v>1200</v>
      </c>
      <c r="E15" s="31">
        <v>2.27</v>
      </c>
      <c r="F15" s="30">
        <v>1200</v>
      </c>
      <c r="G15" s="30">
        <v>0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</row>
    <row r="16" spans="1:38" s="9" customFormat="1" ht="15" x14ac:dyDescent="0.25">
      <c r="A16" s="29">
        <v>8</v>
      </c>
      <c r="B16" s="30">
        <v>1.45</v>
      </c>
      <c r="C16" s="30">
        <v>2</v>
      </c>
      <c r="D16" s="74">
        <f t="shared" si="0"/>
        <v>1200</v>
      </c>
      <c r="E16" s="31">
        <v>2.27</v>
      </c>
      <c r="F16" s="30">
        <v>1200</v>
      </c>
      <c r="G16" s="30">
        <v>0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</row>
    <row r="17" spans="1:38" s="9" customFormat="1" ht="15" x14ac:dyDescent="0.25">
      <c r="A17" s="29">
        <v>9</v>
      </c>
      <c r="B17" s="30">
        <v>2</v>
      </c>
      <c r="C17" s="30">
        <v>2.15</v>
      </c>
      <c r="D17" s="74">
        <f t="shared" si="0"/>
        <v>1200</v>
      </c>
      <c r="E17" s="31">
        <v>2.27</v>
      </c>
      <c r="F17" s="30">
        <v>1200</v>
      </c>
      <c r="G17" s="30">
        <v>0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</row>
    <row r="18" spans="1:38" s="9" customFormat="1" ht="15" x14ac:dyDescent="0.25">
      <c r="A18" s="29">
        <v>10</v>
      </c>
      <c r="B18" s="30">
        <v>2.15</v>
      </c>
      <c r="C18" s="30">
        <v>2.2999999999999998</v>
      </c>
      <c r="D18" s="74">
        <f t="shared" si="0"/>
        <v>1200</v>
      </c>
      <c r="E18" s="31">
        <v>2.27</v>
      </c>
      <c r="F18" s="30">
        <v>1200</v>
      </c>
      <c r="G18" s="30">
        <v>0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</row>
    <row r="19" spans="1:38" s="9" customFormat="1" ht="15" x14ac:dyDescent="0.25">
      <c r="A19" s="29">
        <v>11</v>
      </c>
      <c r="B19" s="30">
        <v>2.2999999999999998</v>
      </c>
      <c r="C19" s="30">
        <v>2.4500000000000002</v>
      </c>
      <c r="D19" s="74">
        <f t="shared" si="0"/>
        <v>1200</v>
      </c>
      <c r="E19" s="31">
        <v>2.27</v>
      </c>
      <c r="F19" s="30">
        <v>1200</v>
      </c>
      <c r="G19" s="30">
        <v>0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</row>
    <row r="20" spans="1:38" s="9" customFormat="1" ht="15" x14ac:dyDescent="0.25">
      <c r="A20" s="29">
        <v>12</v>
      </c>
      <c r="B20" s="30">
        <v>2.4500000000000002</v>
      </c>
      <c r="C20" s="30">
        <v>3</v>
      </c>
      <c r="D20" s="74">
        <f t="shared" si="0"/>
        <v>1200</v>
      </c>
      <c r="E20" s="31">
        <v>2.27</v>
      </c>
      <c r="F20" s="30">
        <v>1200</v>
      </c>
      <c r="G20" s="30">
        <v>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</row>
    <row r="21" spans="1:38" s="9" customFormat="1" ht="15" x14ac:dyDescent="0.25">
      <c r="A21" s="29">
        <v>13</v>
      </c>
      <c r="B21" s="30">
        <v>3</v>
      </c>
      <c r="C21" s="30">
        <v>3.15</v>
      </c>
      <c r="D21" s="74">
        <f t="shared" si="0"/>
        <v>1200</v>
      </c>
      <c r="E21" s="31">
        <v>2.27</v>
      </c>
      <c r="F21" s="30">
        <v>1200</v>
      </c>
      <c r="G21" s="30">
        <v>0</v>
      </c>
      <c r="H21" s="32">
        <v>0</v>
      </c>
      <c r="I21" s="32">
        <v>0</v>
      </c>
      <c r="J21" s="32">
        <v>0</v>
      </c>
      <c r="K21" s="32"/>
      <c r="L21" s="32"/>
      <c r="M21" s="32"/>
      <c r="N21" s="32"/>
      <c r="O21" s="32"/>
      <c r="P21" s="32"/>
      <c r="Q21" s="32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</row>
    <row r="22" spans="1:38" s="9" customFormat="1" ht="15" x14ac:dyDescent="0.25">
      <c r="A22" s="29">
        <v>14</v>
      </c>
      <c r="B22" s="30">
        <v>3.15</v>
      </c>
      <c r="C22" s="30">
        <v>3.3</v>
      </c>
      <c r="D22" s="74">
        <f t="shared" si="0"/>
        <v>1200</v>
      </c>
      <c r="E22" s="31">
        <v>2.27</v>
      </c>
      <c r="F22" s="30">
        <v>1200</v>
      </c>
      <c r="G22" s="30">
        <v>0</v>
      </c>
      <c r="H22" s="32">
        <v>0</v>
      </c>
      <c r="I22" s="32">
        <v>0</v>
      </c>
      <c r="J22" s="32">
        <v>0</v>
      </c>
      <c r="K22" s="32"/>
      <c r="L22" s="32"/>
      <c r="M22" s="32"/>
      <c r="N22" s="32"/>
      <c r="O22" s="32"/>
      <c r="P22" s="32"/>
      <c r="Q22" s="32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</row>
    <row r="23" spans="1:38" s="9" customFormat="1" ht="15" x14ac:dyDescent="0.25">
      <c r="A23" s="29">
        <v>15</v>
      </c>
      <c r="B23" s="30">
        <v>3.3</v>
      </c>
      <c r="C23" s="30">
        <v>3.45</v>
      </c>
      <c r="D23" s="74">
        <f t="shared" si="0"/>
        <v>1200</v>
      </c>
      <c r="E23" s="31">
        <v>2.27</v>
      </c>
      <c r="F23" s="30">
        <v>1200</v>
      </c>
      <c r="G23" s="30">
        <v>0</v>
      </c>
      <c r="H23" s="32">
        <v>0</v>
      </c>
      <c r="I23" s="32">
        <v>0</v>
      </c>
      <c r="J23" s="32">
        <v>0</v>
      </c>
      <c r="K23" s="32"/>
      <c r="L23" s="32"/>
      <c r="M23" s="32"/>
      <c r="N23" s="32"/>
      <c r="O23" s="32"/>
      <c r="P23" s="32"/>
      <c r="Q23" s="32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</row>
    <row r="24" spans="1:38" s="9" customFormat="1" ht="15" x14ac:dyDescent="0.25">
      <c r="A24" s="29">
        <v>16</v>
      </c>
      <c r="B24" s="30">
        <v>3.45</v>
      </c>
      <c r="C24" s="30">
        <v>4</v>
      </c>
      <c r="D24" s="74">
        <f t="shared" si="0"/>
        <v>1200</v>
      </c>
      <c r="E24" s="31">
        <v>2.27</v>
      </c>
      <c r="F24" s="30">
        <v>1200</v>
      </c>
      <c r="G24" s="30">
        <v>0</v>
      </c>
      <c r="H24" s="32">
        <v>0</v>
      </c>
      <c r="I24" s="32">
        <v>0</v>
      </c>
      <c r="J24" s="32">
        <v>0</v>
      </c>
      <c r="K24" s="32"/>
      <c r="L24" s="32"/>
      <c r="M24" s="32"/>
      <c r="N24" s="32"/>
      <c r="O24" s="32"/>
      <c r="P24" s="32"/>
      <c r="Q24" s="32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</row>
    <row r="25" spans="1:38" s="9" customFormat="1" ht="15" x14ac:dyDescent="0.25">
      <c r="A25" s="29">
        <v>17</v>
      </c>
      <c r="B25" s="30">
        <v>4</v>
      </c>
      <c r="C25" s="30">
        <v>4.1500000000000004</v>
      </c>
      <c r="D25" s="74">
        <f t="shared" si="0"/>
        <v>1200</v>
      </c>
      <c r="E25" s="31">
        <v>2.27</v>
      </c>
      <c r="F25" s="30">
        <v>1200</v>
      </c>
      <c r="G25" s="30">
        <v>0</v>
      </c>
      <c r="H25" s="32">
        <v>0</v>
      </c>
      <c r="I25" s="32">
        <v>0</v>
      </c>
      <c r="J25" s="32">
        <v>0</v>
      </c>
      <c r="K25" s="32"/>
      <c r="L25" s="32"/>
      <c r="M25" s="32"/>
      <c r="N25" s="32"/>
      <c r="O25" s="32"/>
      <c r="P25" s="32"/>
      <c r="Q25" s="32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</row>
    <row r="26" spans="1:38" s="9" customFormat="1" ht="15" x14ac:dyDescent="0.25">
      <c r="A26" s="29">
        <v>18</v>
      </c>
      <c r="B26" s="30">
        <v>4.1500000000000004</v>
      </c>
      <c r="C26" s="30">
        <v>4.3</v>
      </c>
      <c r="D26" s="74">
        <f t="shared" si="0"/>
        <v>1200</v>
      </c>
      <c r="E26" s="31">
        <v>2.27</v>
      </c>
      <c r="F26" s="30">
        <v>1200</v>
      </c>
      <c r="G26" s="30">
        <v>0</v>
      </c>
      <c r="H26" s="32">
        <v>0</v>
      </c>
      <c r="I26" s="32">
        <v>0</v>
      </c>
      <c r="J26" s="32">
        <v>0</v>
      </c>
      <c r="K26" s="32"/>
      <c r="L26" s="32"/>
      <c r="M26" s="32"/>
      <c r="N26" s="32"/>
      <c r="O26" s="32"/>
      <c r="P26" s="32"/>
      <c r="Q26" s="32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</row>
    <row r="27" spans="1:38" s="9" customFormat="1" ht="15" x14ac:dyDescent="0.25">
      <c r="A27" s="29">
        <v>19</v>
      </c>
      <c r="B27" s="30">
        <v>4.3</v>
      </c>
      <c r="C27" s="30">
        <v>4.45</v>
      </c>
      <c r="D27" s="74">
        <f t="shared" si="0"/>
        <v>1200</v>
      </c>
      <c r="E27" s="31">
        <v>2.27</v>
      </c>
      <c r="F27" s="30">
        <v>1200</v>
      </c>
      <c r="G27" s="30">
        <v>0</v>
      </c>
      <c r="H27" s="32">
        <v>0</v>
      </c>
      <c r="I27" s="32">
        <v>0</v>
      </c>
      <c r="J27" s="32">
        <v>0</v>
      </c>
      <c r="K27" s="32"/>
      <c r="L27" s="32"/>
      <c r="M27" s="32"/>
      <c r="N27" s="32"/>
      <c r="O27" s="32"/>
      <c r="P27" s="32"/>
      <c r="Q27" s="32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</row>
    <row r="28" spans="1:38" s="9" customFormat="1" ht="15" x14ac:dyDescent="0.25">
      <c r="A28" s="29">
        <v>20</v>
      </c>
      <c r="B28" s="30">
        <v>4.45</v>
      </c>
      <c r="C28" s="30">
        <v>5</v>
      </c>
      <c r="D28" s="74">
        <f t="shared" si="0"/>
        <v>1200</v>
      </c>
      <c r="E28" s="31">
        <v>2.27</v>
      </c>
      <c r="F28" s="30">
        <v>1200</v>
      </c>
      <c r="G28" s="30">
        <v>0</v>
      </c>
      <c r="H28" s="32">
        <v>0</v>
      </c>
      <c r="I28" s="32">
        <v>0</v>
      </c>
      <c r="J28" s="32">
        <v>0</v>
      </c>
      <c r="K28" s="32"/>
      <c r="L28" s="32"/>
      <c r="M28" s="32"/>
      <c r="N28" s="32"/>
      <c r="O28" s="32"/>
      <c r="P28" s="32"/>
      <c r="Q28" s="32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</row>
    <row r="29" spans="1:38" s="9" customFormat="1" ht="15" x14ac:dyDescent="0.25">
      <c r="A29" s="29">
        <v>21</v>
      </c>
      <c r="B29" s="30">
        <v>5</v>
      </c>
      <c r="C29" s="30">
        <v>5.15</v>
      </c>
      <c r="D29" s="74">
        <f t="shared" si="0"/>
        <v>1200</v>
      </c>
      <c r="E29" s="31">
        <v>2.27</v>
      </c>
      <c r="F29" s="30">
        <v>1200</v>
      </c>
      <c r="G29" s="30">
        <v>0</v>
      </c>
      <c r="H29" s="32">
        <v>0</v>
      </c>
      <c r="I29" s="32">
        <v>0</v>
      </c>
      <c r="J29" s="32">
        <v>0</v>
      </c>
      <c r="K29" s="32"/>
      <c r="L29" s="32"/>
      <c r="M29" s="32"/>
      <c r="N29" s="32"/>
      <c r="O29" s="32"/>
      <c r="P29" s="32"/>
      <c r="Q29" s="32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</row>
    <row r="30" spans="1:38" s="9" customFormat="1" ht="15" x14ac:dyDescent="0.25">
      <c r="A30" s="29">
        <v>22</v>
      </c>
      <c r="B30" s="30">
        <v>5.15</v>
      </c>
      <c r="C30" s="30">
        <v>5.3</v>
      </c>
      <c r="D30" s="74">
        <f t="shared" si="0"/>
        <v>1200</v>
      </c>
      <c r="E30" s="31">
        <v>2.27</v>
      </c>
      <c r="F30" s="30">
        <v>1200</v>
      </c>
      <c r="G30" s="30">
        <v>0</v>
      </c>
      <c r="H30" s="32">
        <v>0</v>
      </c>
      <c r="I30" s="32">
        <v>0</v>
      </c>
      <c r="J30" s="32">
        <v>0</v>
      </c>
      <c r="K30" s="32"/>
      <c r="L30" s="32"/>
      <c r="M30" s="32"/>
      <c r="N30" s="32"/>
      <c r="O30" s="32"/>
      <c r="P30" s="32"/>
      <c r="Q30" s="32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</row>
    <row r="31" spans="1:38" s="9" customFormat="1" ht="15" x14ac:dyDescent="0.25">
      <c r="A31" s="29">
        <v>23</v>
      </c>
      <c r="B31" s="30">
        <v>5.3</v>
      </c>
      <c r="C31" s="30">
        <v>5.45</v>
      </c>
      <c r="D31" s="74">
        <f t="shared" si="0"/>
        <v>1200</v>
      </c>
      <c r="E31" s="31">
        <v>2.27</v>
      </c>
      <c r="F31" s="30">
        <v>1200</v>
      </c>
      <c r="G31" s="30">
        <v>0</v>
      </c>
      <c r="H31" s="32">
        <v>0</v>
      </c>
      <c r="I31" s="32">
        <v>0</v>
      </c>
      <c r="J31" s="32">
        <v>0</v>
      </c>
      <c r="K31" s="32"/>
      <c r="L31" s="32"/>
      <c r="M31" s="32"/>
      <c r="N31" s="32"/>
      <c r="O31" s="32"/>
      <c r="P31" s="32"/>
      <c r="Q31" s="32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</row>
    <row r="32" spans="1:38" s="9" customFormat="1" ht="15" x14ac:dyDescent="0.25">
      <c r="A32" s="29">
        <v>24</v>
      </c>
      <c r="B32" s="30">
        <v>5.45</v>
      </c>
      <c r="C32" s="30">
        <v>6</v>
      </c>
      <c r="D32" s="74">
        <f t="shared" si="0"/>
        <v>1200</v>
      </c>
      <c r="E32" s="31">
        <v>2.27</v>
      </c>
      <c r="F32" s="30">
        <v>1200</v>
      </c>
      <c r="G32" s="30">
        <v>0</v>
      </c>
      <c r="H32" s="32">
        <v>0</v>
      </c>
      <c r="I32" s="32">
        <v>0</v>
      </c>
      <c r="J32" s="32">
        <v>0</v>
      </c>
      <c r="K32" s="32"/>
      <c r="L32" s="32"/>
      <c r="M32" s="32"/>
      <c r="N32" s="32"/>
      <c r="O32" s="32"/>
      <c r="P32" s="32"/>
      <c r="Q32" s="32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</row>
    <row r="33" spans="1:38" s="9" customFormat="1" ht="15" x14ac:dyDescent="0.25">
      <c r="A33" s="29">
        <v>25</v>
      </c>
      <c r="B33" s="30">
        <v>6</v>
      </c>
      <c r="C33" s="30">
        <v>6.15</v>
      </c>
      <c r="D33" s="74">
        <f t="shared" si="0"/>
        <v>1200</v>
      </c>
      <c r="E33" s="31">
        <v>2.27</v>
      </c>
      <c r="F33" s="30">
        <v>1200</v>
      </c>
      <c r="G33" s="30">
        <v>0</v>
      </c>
      <c r="H33" s="32">
        <v>0</v>
      </c>
      <c r="I33" s="32">
        <v>0</v>
      </c>
      <c r="J33" s="32">
        <v>0</v>
      </c>
      <c r="K33" s="32"/>
      <c r="L33" s="32"/>
      <c r="M33" s="32"/>
      <c r="N33" s="32"/>
      <c r="O33" s="32"/>
      <c r="P33" s="32"/>
      <c r="Q33" s="32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</row>
    <row r="34" spans="1:38" s="9" customFormat="1" ht="15" x14ac:dyDescent="0.25">
      <c r="A34" s="29">
        <v>26</v>
      </c>
      <c r="B34" s="30">
        <v>6.15</v>
      </c>
      <c r="C34" s="30">
        <v>6.3</v>
      </c>
      <c r="D34" s="74">
        <f t="shared" si="0"/>
        <v>1200</v>
      </c>
      <c r="E34" s="31">
        <v>2.27</v>
      </c>
      <c r="F34" s="30">
        <v>1200</v>
      </c>
      <c r="G34" s="30">
        <v>0</v>
      </c>
      <c r="H34" s="32">
        <v>0</v>
      </c>
      <c r="I34" s="32">
        <v>0</v>
      </c>
      <c r="J34" s="32">
        <v>0</v>
      </c>
      <c r="K34" s="32"/>
      <c r="L34" s="32"/>
      <c r="M34" s="32"/>
      <c r="N34" s="32"/>
      <c r="O34" s="32"/>
      <c r="P34" s="32"/>
      <c r="Q34" s="32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</row>
    <row r="35" spans="1:38" s="9" customFormat="1" ht="15" x14ac:dyDescent="0.25">
      <c r="A35" s="29">
        <v>27</v>
      </c>
      <c r="B35" s="30">
        <v>6.3</v>
      </c>
      <c r="C35" s="30">
        <v>6.45</v>
      </c>
      <c r="D35" s="74">
        <f t="shared" si="0"/>
        <v>1200</v>
      </c>
      <c r="E35" s="31">
        <v>2.27</v>
      </c>
      <c r="F35" s="30">
        <v>1200</v>
      </c>
      <c r="G35" s="30">
        <v>0</v>
      </c>
      <c r="H35" s="32">
        <v>0</v>
      </c>
      <c r="I35" s="32">
        <v>0</v>
      </c>
      <c r="J35" s="32">
        <v>0</v>
      </c>
      <c r="K35" s="32"/>
      <c r="L35" s="32"/>
      <c r="M35" s="32"/>
      <c r="N35" s="32"/>
      <c r="O35" s="32"/>
      <c r="P35" s="32"/>
      <c r="Q35" s="32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</row>
    <row r="36" spans="1:38" s="9" customFormat="1" ht="15" x14ac:dyDescent="0.25">
      <c r="A36" s="29">
        <v>28</v>
      </c>
      <c r="B36" s="30">
        <v>6.45</v>
      </c>
      <c r="C36" s="30">
        <v>7</v>
      </c>
      <c r="D36" s="74">
        <f t="shared" si="0"/>
        <v>1200</v>
      </c>
      <c r="E36" s="31">
        <v>2.27</v>
      </c>
      <c r="F36" s="30">
        <v>1200</v>
      </c>
      <c r="G36" s="30">
        <v>0</v>
      </c>
      <c r="H36" s="32">
        <v>0</v>
      </c>
      <c r="I36" s="32">
        <v>0</v>
      </c>
      <c r="J36" s="32">
        <v>0</v>
      </c>
      <c r="K36" s="32"/>
      <c r="L36" s="32"/>
      <c r="M36" s="32"/>
      <c r="N36" s="32"/>
      <c r="O36" s="32"/>
      <c r="P36" s="32"/>
      <c r="Q36" s="32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</row>
    <row r="37" spans="1:38" s="9" customFormat="1" ht="15" x14ac:dyDescent="0.25">
      <c r="A37" s="29">
        <v>29</v>
      </c>
      <c r="B37" s="30">
        <v>7</v>
      </c>
      <c r="C37" s="30">
        <v>7.15</v>
      </c>
      <c r="D37" s="74">
        <f t="shared" si="0"/>
        <v>1200</v>
      </c>
      <c r="E37" s="31">
        <v>2.27</v>
      </c>
      <c r="F37" s="30">
        <v>1200</v>
      </c>
      <c r="G37" s="30">
        <v>0</v>
      </c>
      <c r="H37" s="32">
        <v>0</v>
      </c>
      <c r="I37" s="32">
        <v>0</v>
      </c>
      <c r="J37" s="32">
        <v>0</v>
      </c>
      <c r="K37" s="32"/>
      <c r="L37" s="32"/>
      <c r="M37" s="32"/>
      <c r="N37" s="32"/>
      <c r="O37" s="32"/>
      <c r="P37" s="32"/>
      <c r="Q37" s="32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</row>
    <row r="38" spans="1:38" s="9" customFormat="1" ht="15" x14ac:dyDescent="0.25">
      <c r="A38" s="29">
        <v>30</v>
      </c>
      <c r="B38" s="30">
        <v>7.15</v>
      </c>
      <c r="C38" s="30">
        <v>7.3</v>
      </c>
      <c r="D38" s="74">
        <f t="shared" si="0"/>
        <v>1200</v>
      </c>
      <c r="E38" s="31">
        <v>2.27</v>
      </c>
      <c r="F38" s="30">
        <v>1200</v>
      </c>
      <c r="G38" s="30">
        <v>0</v>
      </c>
      <c r="H38" s="32">
        <v>0</v>
      </c>
      <c r="I38" s="32">
        <v>0</v>
      </c>
      <c r="J38" s="32">
        <v>0</v>
      </c>
      <c r="K38" s="32"/>
      <c r="L38" s="32"/>
      <c r="M38" s="32"/>
      <c r="N38" s="32"/>
      <c r="O38" s="32"/>
      <c r="P38" s="32"/>
      <c r="Q38" s="32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</row>
    <row r="39" spans="1:38" s="9" customFormat="1" ht="15" x14ac:dyDescent="0.25">
      <c r="A39" s="29">
        <v>31</v>
      </c>
      <c r="B39" s="30">
        <v>7.3</v>
      </c>
      <c r="C39" s="30">
        <v>7.45</v>
      </c>
      <c r="D39" s="74">
        <f t="shared" si="0"/>
        <v>1200</v>
      </c>
      <c r="E39" s="31">
        <v>2.27</v>
      </c>
      <c r="F39" s="30">
        <v>1200</v>
      </c>
      <c r="G39" s="30">
        <v>0</v>
      </c>
      <c r="H39" s="32">
        <v>0</v>
      </c>
      <c r="I39" s="32">
        <v>0</v>
      </c>
      <c r="J39" s="32">
        <v>0</v>
      </c>
      <c r="K39" s="32"/>
      <c r="L39" s="32"/>
      <c r="M39" s="32"/>
      <c r="N39" s="32"/>
      <c r="O39" s="32"/>
      <c r="P39" s="32"/>
      <c r="Q39" s="32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</row>
    <row r="40" spans="1:38" s="9" customFormat="1" ht="15" x14ac:dyDescent="0.25">
      <c r="A40" s="29">
        <v>32</v>
      </c>
      <c r="B40" s="30">
        <v>7.45</v>
      </c>
      <c r="C40" s="30">
        <v>8</v>
      </c>
      <c r="D40" s="74">
        <f t="shared" si="0"/>
        <v>1233.93</v>
      </c>
      <c r="E40" s="31">
        <v>2.27</v>
      </c>
      <c r="F40" s="30">
        <v>1200</v>
      </c>
      <c r="G40" s="30">
        <v>0</v>
      </c>
      <c r="H40" s="32">
        <v>0</v>
      </c>
      <c r="I40" s="32">
        <v>0</v>
      </c>
      <c r="J40" s="32">
        <v>33.93</v>
      </c>
      <c r="K40" s="32"/>
      <c r="L40" s="32"/>
      <c r="M40" s="32"/>
      <c r="N40" s="32"/>
      <c r="O40" s="32"/>
      <c r="P40" s="32"/>
      <c r="Q40" s="32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</row>
    <row r="41" spans="1:38" ht="15" x14ac:dyDescent="0.2">
      <c r="A41" s="29">
        <v>33</v>
      </c>
      <c r="B41" s="30">
        <v>8</v>
      </c>
      <c r="C41" s="30">
        <v>8.15</v>
      </c>
      <c r="D41" s="74">
        <f t="shared" si="0"/>
        <v>1233.93</v>
      </c>
      <c r="E41" s="31">
        <v>2.27</v>
      </c>
      <c r="F41" s="30">
        <v>1200</v>
      </c>
      <c r="G41" s="30">
        <v>0</v>
      </c>
      <c r="H41" s="32">
        <v>0</v>
      </c>
      <c r="I41" s="32">
        <v>33.93</v>
      </c>
      <c r="J41" s="32">
        <v>0</v>
      </c>
      <c r="K41" s="32"/>
      <c r="L41" s="32"/>
      <c r="M41" s="32"/>
      <c r="N41" s="32"/>
      <c r="O41" s="32"/>
      <c r="P41" s="32"/>
      <c r="Q41" s="32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</row>
    <row r="42" spans="1:38" ht="15" x14ac:dyDescent="0.2">
      <c r="A42" s="29">
        <v>34</v>
      </c>
      <c r="B42" s="30">
        <v>8.15</v>
      </c>
      <c r="C42" s="33">
        <v>8.3000000000000007</v>
      </c>
      <c r="D42" s="74">
        <f t="shared" si="0"/>
        <v>1233.93</v>
      </c>
      <c r="E42" s="31">
        <v>2.27</v>
      </c>
      <c r="F42" s="30">
        <v>1200</v>
      </c>
      <c r="G42" s="30">
        <v>0</v>
      </c>
      <c r="H42" s="32">
        <v>0</v>
      </c>
      <c r="I42" s="32">
        <v>33.93</v>
      </c>
      <c r="J42" s="32">
        <v>0</v>
      </c>
      <c r="K42" s="32"/>
      <c r="L42" s="32"/>
      <c r="M42" s="32"/>
      <c r="N42" s="32"/>
      <c r="O42" s="32"/>
      <c r="P42" s="32"/>
      <c r="Q42" s="32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</row>
    <row r="43" spans="1:38" ht="15" x14ac:dyDescent="0.2">
      <c r="A43" s="29">
        <v>35</v>
      </c>
      <c r="B43" s="30">
        <v>8.3000000000000007</v>
      </c>
      <c r="C43" s="30">
        <v>8.4499999999999993</v>
      </c>
      <c r="D43" s="74">
        <f t="shared" si="0"/>
        <v>1200</v>
      </c>
      <c r="E43" s="31">
        <v>2.27</v>
      </c>
      <c r="F43" s="30">
        <v>1200</v>
      </c>
      <c r="G43" s="30">
        <v>0</v>
      </c>
      <c r="H43" s="32">
        <v>0</v>
      </c>
      <c r="I43" s="32">
        <v>0</v>
      </c>
      <c r="J43" s="32">
        <v>0</v>
      </c>
      <c r="K43" s="32"/>
      <c r="L43" s="32"/>
      <c r="M43" s="32"/>
      <c r="N43" s="32"/>
      <c r="O43" s="32"/>
      <c r="P43" s="32"/>
      <c r="Q43" s="32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</row>
    <row r="44" spans="1:38" ht="12" customHeight="1" x14ac:dyDescent="0.2">
      <c r="A44" s="29">
        <v>36</v>
      </c>
      <c r="B44" s="30">
        <v>8.4499999999999993</v>
      </c>
      <c r="C44" s="30">
        <v>9</v>
      </c>
      <c r="D44" s="74">
        <f t="shared" si="0"/>
        <v>1200</v>
      </c>
      <c r="E44" s="31">
        <v>2.27</v>
      </c>
      <c r="F44" s="30">
        <v>1200</v>
      </c>
      <c r="G44" s="30">
        <v>0</v>
      </c>
      <c r="H44" s="32">
        <v>0</v>
      </c>
      <c r="I44" s="32">
        <v>0</v>
      </c>
      <c r="J44" s="32">
        <v>0</v>
      </c>
      <c r="K44" s="32"/>
      <c r="L44" s="32"/>
      <c r="M44" s="32"/>
      <c r="N44" s="32"/>
      <c r="O44" s="32"/>
      <c r="P44" s="32"/>
      <c r="Q44" s="32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</row>
    <row r="45" spans="1:38" ht="15" x14ac:dyDescent="0.2">
      <c r="A45" s="29">
        <v>37</v>
      </c>
      <c r="B45" s="30">
        <v>9</v>
      </c>
      <c r="C45" s="30">
        <v>9.15</v>
      </c>
      <c r="D45" s="74">
        <f t="shared" si="0"/>
        <v>1200</v>
      </c>
      <c r="E45" s="31">
        <v>2.27</v>
      </c>
      <c r="F45" s="30">
        <v>1200</v>
      </c>
      <c r="G45" s="30">
        <v>0</v>
      </c>
      <c r="H45" s="32">
        <v>0</v>
      </c>
      <c r="I45" s="32">
        <v>0</v>
      </c>
      <c r="J45" s="32">
        <v>0</v>
      </c>
      <c r="K45" s="32"/>
      <c r="L45" s="32"/>
      <c r="M45" s="32"/>
      <c r="N45" s="32"/>
      <c r="O45" s="32"/>
      <c r="P45" s="32"/>
      <c r="Q45" s="32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</row>
    <row r="46" spans="1:38" ht="15" x14ac:dyDescent="0.2">
      <c r="A46" s="29">
        <v>38</v>
      </c>
      <c r="B46" s="33">
        <v>9.15</v>
      </c>
      <c r="C46" s="33">
        <v>9.3000000000000007</v>
      </c>
      <c r="D46" s="74">
        <f t="shared" si="0"/>
        <v>1200</v>
      </c>
      <c r="E46" s="31">
        <v>2.27</v>
      </c>
      <c r="F46" s="30">
        <v>1200</v>
      </c>
      <c r="G46" s="30">
        <v>0</v>
      </c>
      <c r="H46" s="32">
        <v>0</v>
      </c>
      <c r="I46" s="32">
        <v>0</v>
      </c>
      <c r="J46" s="32">
        <v>0</v>
      </c>
      <c r="K46" s="32"/>
      <c r="L46" s="32"/>
      <c r="M46" s="32"/>
      <c r="N46" s="32"/>
      <c r="O46" s="32"/>
      <c r="P46" s="32"/>
      <c r="Q46" s="32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</row>
    <row r="47" spans="1:38" ht="15" x14ac:dyDescent="0.2">
      <c r="A47" s="29">
        <v>39</v>
      </c>
      <c r="B47" s="30">
        <v>9.3000000000000007</v>
      </c>
      <c r="C47" s="30">
        <v>9.4499999999999993</v>
      </c>
      <c r="D47" s="74">
        <f t="shared" si="0"/>
        <v>1200</v>
      </c>
      <c r="E47" s="31">
        <v>2.27</v>
      </c>
      <c r="F47" s="30">
        <v>1200</v>
      </c>
      <c r="G47" s="30">
        <v>0</v>
      </c>
      <c r="H47" s="32">
        <v>0</v>
      </c>
      <c r="I47" s="32">
        <v>0</v>
      </c>
      <c r="J47" s="32">
        <v>0</v>
      </c>
      <c r="K47" s="32"/>
      <c r="L47" s="32"/>
      <c r="M47" s="32"/>
      <c r="N47" s="32"/>
      <c r="O47" s="32"/>
      <c r="P47" s="32"/>
      <c r="Q47" s="32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</row>
    <row r="48" spans="1:38" ht="15" x14ac:dyDescent="0.2">
      <c r="A48" s="29">
        <v>40</v>
      </c>
      <c r="B48" s="30">
        <v>9.4499999999999993</v>
      </c>
      <c r="C48" s="30">
        <v>10</v>
      </c>
      <c r="D48" s="74">
        <f t="shared" si="0"/>
        <v>1200</v>
      </c>
      <c r="E48" s="31">
        <v>2.27</v>
      </c>
      <c r="F48" s="30">
        <v>1200</v>
      </c>
      <c r="G48" s="30">
        <v>0</v>
      </c>
      <c r="H48" s="32">
        <v>0</v>
      </c>
      <c r="I48" s="32">
        <v>0</v>
      </c>
      <c r="J48" s="32">
        <v>0</v>
      </c>
      <c r="K48" s="32"/>
      <c r="L48" s="32"/>
      <c r="M48" s="32"/>
      <c r="N48" s="32"/>
      <c r="O48" s="32"/>
      <c r="P48" s="32"/>
      <c r="Q48" s="32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</row>
    <row r="49" spans="1:38" ht="15" x14ac:dyDescent="0.2">
      <c r="A49" s="29">
        <v>41</v>
      </c>
      <c r="B49" s="30">
        <v>10</v>
      </c>
      <c r="C49" s="30">
        <v>10.15</v>
      </c>
      <c r="D49" s="74">
        <f t="shared" si="0"/>
        <v>1200</v>
      </c>
      <c r="E49" s="31">
        <v>2.27</v>
      </c>
      <c r="F49" s="30">
        <v>1200</v>
      </c>
      <c r="G49" s="30">
        <v>0</v>
      </c>
      <c r="H49" s="32">
        <v>0</v>
      </c>
      <c r="I49" s="32">
        <v>0</v>
      </c>
      <c r="J49" s="32">
        <v>0</v>
      </c>
      <c r="K49" s="32"/>
      <c r="L49" s="32"/>
      <c r="M49" s="32"/>
      <c r="N49" s="32"/>
      <c r="O49" s="32"/>
      <c r="P49" s="32"/>
      <c r="Q49" s="32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</row>
    <row r="50" spans="1:38" ht="15" x14ac:dyDescent="0.2">
      <c r="A50" s="29">
        <v>42</v>
      </c>
      <c r="B50" s="30">
        <v>10.15</v>
      </c>
      <c r="C50" s="30">
        <v>10.3</v>
      </c>
      <c r="D50" s="74">
        <f t="shared" si="0"/>
        <v>1200</v>
      </c>
      <c r="E50" s="31">
        <v>2.27</v>
      </c>
      <c r="F50" s="30">
        <v>1200</v>
      </c>
      <c r="G50" s="30">
        <v>0</v>
      </c>
      <c r="H50" s="32">
        <v>0</v>
      </c>
      <c r="I50" s="32">
        <v>0</v>
      </c>
      <c r="J50" s="32">
        <v>0</v>
      </c>
      <c r="K50" s="32"/>
      <c r="L50" s="32"/>
      <c r="M50" s="32"/>
      <c r="N50" s="32"/>
      <c r="O50" s="32"/>
      <c r="P50" s="32"/>
      <c r="Q50" s="32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</row>
    <row r="51" spans="1:38" ht="15" x14ac:dyDescent="0.2">
      <c r="A51" s="29">
        <v>43</v>
      </c>
      <c r="B51" s="30">
        <v>10.3</v>
      </c>
      <c r="C51" s="30">
        <v>10.45</v>
      </c>
      <c r="D51" s="74">
        <f t="shared" si="0"/>
        <v>1200</v>
      </c>
      <c r="E51" s="31">
        <v>2.27</v>
      </c>
      <c r="F51" s="30">
        <v>1200</v>
      </c>
      <c r="G51" s="30">
        <v>0</v>
      </c>
      <c r="H51" s="32">
        <v>0</v>
      </c>
      <c r="I51" s="32">
        <v>0</v>
      </c>
      <c r="J51" s="32">
        <v>0</v>
      </c>
      <c r="K51" s="32"/>
      <c r="L51" s="32"/>
      <c r="M51" s="32"/>
      <c r="N51" s="32"/>
      <c r="O51" s="32"/>
      <c r="P51" s="32"/>
      <c r="Q51" s="32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</row>
    <row r="52" spans="1:38" ht="15" x14ac:dyDescent="0.2">
      <c r="A52" s="29">
        <v>44</v>
      </c>
      <c r="B52" s="30">
        <v>10.45</v>
      </c>
      <c r="C52" s="30">
        <v>11</v>
      </c>
      <c r="D52" s="74">
        <f t="shared" si="0"/>
        <v>1200</v>
      </c>
      <c r="E52" s="31">
        <v>2.27</v>
      </c>
      <c r="F52" s="30">
        <v>1200</v>
      </c>
      <c r="G52" s="30">
        <v>0</v>
      </c>
      <c r="H52" s="32">
        <v>0</v>
      </c>
      <c r="I52" s="32">
        <v>0</v>
      </c>
      <c r="J52" s="32">
        <v>0</v>
      </c>
      <c r="K52" s="32"/>
      <c r="L52" s="32"/>
      <c r="M52" s="32"/>
      <c r="N52" s="32"/>
      <c r="O52" s="32"/>
      <c r="P52" s="32"/>
      <c r="Q52" s="32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</row>
    <row r="53" spans="1:38" ht="15" x14ac:dyDescent="0.2">
      <c r="A53" s="29">
        <v>45</v>
      </c>
      <c r="B53" s="30">
        <v>11</v>
      </c>
      <c r="C53" s="30">
        <v>11.15</v>
      </c>
      <c r="D53" s="74">
        <f t="shared" si="0"/>
        <v>1200</v>
      </c>
      <c r="E53" s="31">
        <v>2.27</v>
      </c>
      <c r="F53" s="30">
        <v>1200</v>
      </c>
      <c r="G53" s="30">
        <v>0</v>
      </c>
      <c r="H53" s="32">
        <v>0</v>
      </c>
      <c r="I53" s="32">
        <v>0</v>
      </c>
      <c r="J53" s="32">
        <v>0</v>
      </c>
      <c r="K53" s="32"/>
      <c r="L53" s="32"/>
      <c r="M53" s="32"/>
      <c r="N53" s="32"/>
      <c r="O53" s="32"/>
      <c r="P53" s="32"/>
      <c r="Q53" s="32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</row>
    <row r="54" spans="1:38" ht="15" x14ac:dyDescent="0.2">
      <c r="A54" s="29">
        <v>46</v>
      </c>
      <c r="B54" s="30">
        <v>11.15</v>
      </c>
      <c r="C54" s="30">
        <v>11.3</v>
      </c>
      <c r="D54" s="74">
        <f t="shared" si="0"/>
        <v>1200</v>
      </c>
      <c r="E54" s="31">
        <v>2.27</v>
      </c>
      <c r="F54" s="30">
        <v>1200</v>
      </c>
      <c r="G54" s="30">
        <v>0</v>
      </c>
      <c r="H54" s="32">
        <v>0</v>
      </c>
      <c r="I54" s="32">
        <v>0</v>
      </c>
      <c r="J54" s="32">
        <v>0</v>
      </c>
      <c r="K54" s="32"/>
      <c r="L54" s="32"/>
      <c r="M54" s="32"/>
      <c r="N54" s="32"/>
      <c r="O54" s="32"/>
      <c r="P54" s="32"/>
      <c r="Q54" s="32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</row>
    <row r="55" spans="1:38" ht="15" x14ac:dyDescent="0.2">
      <c r="A55" s="29">
        <v>47</v>
      </c>
      <c r="B55" s="30">
        <v>11.3</v>
      </c>
      <c r="C55" s="30">
        <v>11.45</v>
      </c>
      <c r="D55" s="74">
        <f t="shared" si="0"/>
        <v>1200</v>
      </c>
      <c r="E55" s="31">
        <v>2.27</v>
      </c>
      <c r="F55" s="30">
        <v>1200</v>
      </c>
      <c r="G55" s="30">
        <v>0</v>
      </c>
      <c r="H55" s="32">
        <v>0</v>
      </c>
      <c r="I55" s="32">
        <v>0</v>
      </c>
      <c r="J55" s="32">
        <v>0</v>
      </c>
      <c r="K55" s="32"/>
      <c r="L55" s="32"/>
      <c r="M55" s="32"/>
      <c r="N55" s="32"/>
      <c r="O55" s="32"/>
      <c r="P55" s="32"/>
      <c r="Q55" s="32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</row>
    <row r="56" spans="1:38" ht="15" x14ac:dyDescent="0.2">
      <c r="A56" s="29">
        <v>48</v>
      </c>
      <c r="B56" s="30">
        <v>11.45</v>
      </c>
      <c r="C56" s="30">
        <v>12</v>
      </c>
      <c r="D56" s="74">
        <f t="shared" si="0"/>
        <v>1200</v>
      </c>
      <c r="E56" s="31">
        <v>2.27</v>
      </c>
      <c r="F56" s="30">
        <v>1200</v>
      </c>
      <c r="G56" s="30">
        <v>0</v>
      </c>
      <c r="H56" s="32">
        <v>0</v>
      </c>
      <c r="I56" s="32">
        <v>0</v>
      </c>
      <c r="J56" s="32">
        <v>0</v>
      </c>
      <c r="K56" s="32"/>
      <c r="L56" s="32"/>
      <c r="M56" s="32"/>
      <c r="N56" s="32"/>
      <c r="O56" s="32"/>
      <c r="P56" s="32"/>
      <c r="Q56" s="32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</row>
    <row r="57" spans="1:38" ht="15" x14ac:dyDescent="0.2">
      <c r="A57" s="29">
        <v>48</v>
      </c>
      <c r="B57" s="30">
        <v>11.45</v>
      </c>
      <c r="C57" s="30">
        <v>12</v>
      </c>
      <c r="D57" s="74">
        <f t="shared" si="0"/>
        <v>1200</v>
      </c>
      <c r="E57" s="31">
        <v>2.27</v>
      </c>
      <c r="F57" s="30">
        <v>1200</v>
      </c>
      <c r="G57" s="30">
        <v>0</v>
      </c>
      <c r="H57" s="32">
        <v>0</v>
      </c>
      <c r="I57" s="32">
        <v>0</v>
      </c>
      <c r="J57" s="32">
        <v>0</v>
      </c>
      <c r="K57" s="32"/>
      <c r="L57" s="32"/>
      <c r="M57" s="32"/>
      <c r="N57" s="32"/>
      <c r="O57" s="32"/>
      <c r="P57" s="32"/>
      <c r="Q57" s="32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</row>
    <row r="58" spans="1:38" ht="15" x14ac:dyDescent="0.2">
      <c r="A58" s="29">
        <v>50</v>
      </c>
      <c r="B58" s="30">
        <v>12.15</v>
      </c>
      <c r="C58" s="30">
        <v>12.3</v>
      </c>
      <c r="D58" s="74">
        <f t="shared" si="0"/>
        <v>1200</v>
      </c>
      <c r="E58" s="31">
        <v>2.27</v>
      </c>
      <c r="F58" s="30">
        <v>1200</v>
      </c>
      <c r="G58" s="30">
        <v>0</v>
      </c>
      <c r="H58" s="32">
        <v>0</v>
      </c>
      <c r="I58" s="32">
        <v>0</v>
      </c>
      <c r="J58" s="32">
        <v>0</v>
      </c>
      <c r="K58" s="32"/>
      <c r="L58" s="32"/>
      <c r="M58" s="32"/>
      <c r="N58" s="32"/>
      <c r="O58" s="32"/>
      <c r="P58" s="32"/>
      <c r="Q58" s="32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</row>
    <row r="59" spans="1:38" ht="15" x14ac:dyDescent="0.2">
      <c r="A59" s="29">
        <v>51</v>
      </c>
      <c r="B59" s="30">
        <v>12.3</v>
      </c>
      <c r="C59" s="30">
        <v>12.45</v>
      </c>
      <c r="D59" s="74">
        <f t="shared" si="0"/>
        <v>1200</v>
      </c>
      <c r="E59" s="31">
        <v>2.27</v>
      </c>
      <c r="F59" s="30">
        <v>1200</v>
      </c>
      <c r="G59" s="30">
        <v>0</v>
      </c>
      <c r="H59" s="32">
        <v>0</v>
      </c>
      <c r="I59" s="32">
        <v>0</v>
      </c>
      <c r="J59" s="32">
        <v>0</v>
      </c>
      <c r="K59" s="32"/>
      <c r="L59" s="32"/>
      <c r="M59" s="32"/>
      <c r="N59" s="32"/>
      <c r="O59" s="32"/>
      <c r="P59" s="32"/>
      <c r="Q59" s="32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</row>
    <row r="60" spans="1:38" ht="15" x14ac:dyDescent="0.2">
      <c r="A60" s="29">
        <v>52</v>
      </c>
      <c r="B60" s="30">
        <v>12.45</v>
      </c>
      <c r="C60" s="30">
        <v>13</v>
      </c>
      <c r="D60" s="74">
        <f t="shared" si="0"/>
        <v>1200</v>
      </c>
      <c r="E60" s="31">
        <v>2.27</v>
      </c>
      <c r="F60" s="30">
        <v>1200</v>
      </c>
      <c r="G60" s="30">
        <v>0</v>
      </c>
      <c r="H60" s="32">
        <v>0</v>
      </c>
      <c r="I60" s="32">
        <v>0</v>
      </c>
      <c r="J60" s="32">
        <v>0</v>
      </c>
      <c r="K60" s="32"/>
      <c r="L60" s="32"/>
      <c r="M60" s="32"/>
      <c r="N60" s="32"/>
      <c r="O60" s="32"/>
      <c r="P60" s="32"/>
      <c r="Q60" s="32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</row>
    <row r="61" spans="1:38" ht="15" x14ac:dyDescent="0.2">
      <c r="A61" s="29">
        <v>53</v>
      </c>
      <c r="B61" s="30">
        <v>13</v>
      </c>
      <c r="C61" s="30">
        <v>13.15</v>
      </c>
      <c r="D61" s="74">
        <f t="shared" si="0"/>
        <v>1200</v>
      </c>
      <c r="E61" s="31">
        <v>2.27</v>
      </c>
      <c r="F61" s="30">
        <v>1200</v>
      </c>
      <c r="G61" s="30">
        <v>0</v>
      </c>
      <c r="H61" s="32">
        <v>0</v>
      </c>
      <c r="I61" s="32">
        <v>0</v>
      </c>
      <c r="J61" s="32">
        <v>0</v>
      </c>
      <c r="K61" s="32"/>
      <c r="L61" s="32"/>
      <c r="M61" s="32"/>
      <c r="N61" s="32"/>
      <c r="O61" s="32"/>
      <c r="P61" s="32"/>
      <c r="Q61" s="32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</row>
    <row r="62" spans="1:38" ht="15" x14ac:dyDescent="0.2">
      <c r="A62" s="29">
        <v>54</v>
      </c>
      <c r="B62" s="30">
        <v>13.15</v>
      </c>
      <c r="C62" s="30">
        <v>13.3</v>
      </c>
      <c r="D62" s="74">
        <f t="shared" si="0"/>
        <v>1200</v>
      </c>
      <c r="E62" s="31">
        <v>2.27</v>
      </c>
      <c r="F62" s="30">
        <v>1200</v>
      </c>
      <c r="G62" s="30">
        <v>0</v>
      </c>
      <c r="H62" s="32">
        <v>0</v>
      </c>
      <c r="I62" s="32">
        <v>0</v>
      </c>
      <c r="J62" s="32">
        <v>0</v>
      </c>
      <c r="K62" s="32"/>
      <c r="L62" s="32"/>
      <c r="M62" s="32"/>
      <c r="N62" s="32"/>
      <c r="O62" s="32"/>
      <c r="P62" s="32"/>
      <c r="Q62" s="32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</row>
    <row r="63" spans="1:38" ht="15" x14ac:dyDescent="0.2">
      <c r="A63" s="29">
        <v>55</v>
      </c>
      <c r="B63" s="30">
        <v>13.3</v>
      </c>
      <c r="C63" s="30">
        <v>13.45</v>
      </c>
      <c r="D63" s="74">
        <f t="shared" si="0"/>
        <v>1200</v>
      </c>
      <c r="E63" s="31">
        <v>2.27</v>
      </c>
      <c r="F63" s="30">
        <v>1200</v>
      </c>
      <c r="G63" s="30">
        <v>0</v>
      </c>
      <c r="H63" s="32">
        <v>0</v>
      </c>
      <c r="I63" s="32">
        <v>0</v>
      </c>
      <c r="J63" s="32">
        <v>0</v>
      </c>
      <c r="K63" s="32"/>
      <c r="L63" s="32"/>
      <c r="M63" s="32"/>
      <c r="N63" s="32"/>
      <c r="O63" s="32"/>
      <c r="P63" s="32"/>
      <c r="Q63" s="32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</row>
    <row r="64" spans="1:38" ht="15" x14ac:dyDescent="0.2">
      <c r="A64" s="29">
        <v>56</v>
      </c>
      <c r="B64" s="30">
        <v>13.45</v>
      </c>
      <c r="C64" s="30">
        <v>14</v>
      </c>
      <c r="D64" s="74">
        <f t="shared" si="0"/>
        <v>1200</v>
      </c>
      <c r="E64" s="31">
        <v>2.27</v>
      </c>
      <c r="F64" s="30">
        <v>1200</v>
      </c>
      <c r="G64" s="30">
        <v>0</v>
      </c>
      <c r="H64" s="32">
        <v>0</v>
      </c>
      <c r="I64" s="32">
        <v>0</v>
      </c>
      <c r="J64" s="32">
        <v>0</v>
      </c>
      <c r="K64" s="32"/>
      <c r="L64" s="32"/>
      <c r="M64" s="32"/>
      <c r="N64" s="32"/>
      <c r="O64" s="32"/>
      <c r="P64" s="32"/>
      <c r="Q64" s="32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</row>
    <row r="65" spans="1:38" ht="15" x14ac:dyDescent="0.2">
      <c r="A65" s="29">
        <v>57</v>
      </c>
      <c r="B65" s="30">
        <v>14</v>
      </c>
      <c r="C65" s="30">
        <v>14.15</v>
      </c>
      <c r="D65" s="74">
        <f t="shared" si="0"/>
        <v>1200</v>
      </c>
      <c r="E65" s="31">
        <v>2.27</v>
      </c>
      <c r="F65" s="30">
        <v>1200</v>
      </c>
      <c r="G65" s="30">
        <v>0</v>
      </c>
      <c r="H65" s="32">
        <v>0</v>
      </c>
      <c r="I65" s="32">
        <v>0</v>
      </c>
      <c r="J65" s="32">
        <v>0</v>
      </c>
      <c r="K65" s="32"/>
      <c r="L65" s="32"/>
      <c r="M65" s="32"/>
      <c r="N65" s="32"/>
      <c r="O65" s="32"/>
      <c r="P65" s="32"/>
      <c r="Q65" s="32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</row>
    <row r="66" spans="1:38" ht="15" x14ac:dyDescent="0.2">
      <c r="A66" s="29">
        <v>58</v>
      </c>
      <c r="B66" s="30">
        <v>14.15</v>
      </c>
      <c r="C66" s="30">
        <v>14.3</v>
      </c>
      <c r="D66" s="74">
        <f t="shared" si="0"/>
        <v>1200</v>
      </c>
      <c r="E66" s="31">
        <v>2.27</v>
      </c>
      <c r="F66" s="30">
        <v>1200</v>
      </c>
      <c r="G66" s="30">
        <v>0</v>
      </c>
      <c r="H66" s="32">
        <v>0</v>
      </c>
      <c r="I66" s="32">
        <v>0</v>
      </c>
      <c r="J66" s="32">
        <v>0</v>
      </c>
      <c r="K66" s="32"/>
      <c r="L66" s="32"/>
      <c r="M66" s="32"/>
      <c r="N66" s="32"/>
      <c r="O66" s="32"/>
      <c r="P66" s="32"/>
      <c r="Q66" s="32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</row>
    <row r="67" spans="1:38" ht="15" x14ac:dyDescent="0.2">
      <c r="A67" s="29">
        <v>59</v>
      </c>
      <c r="B67" s="30">
        <v>14.3</v>
      </c>
      <c r="C67" s="30">
        <v>14.45</v>
      </c>
      <c r="D67" s="74">
        <f t="shared" si="0"/>
        <v>1200</v>
      </c>
      <c r="E67" s="31">
        <v>2.27</v>
      </c>
      <c r="F67" s="30">
        <v>1200</v>
      </c>
      <c r="G67" s="30">
        <v>0</v>
      </c>
      <c r="H67" s="32">
        <v>0</v>
      </c>
      <c r="I67" s="32">
        <v>0</v>
      </c>
      <c r="J67" s="32">
        <v>0</v>
      </c>
      <c r="K67" s="32"/>
      <c r="L67" s="32"/>
      <c r="M67" s="32"/>
      <c r="N67" s="32"/>
      <c r="O67" s="32"/>
      <c r="P67" s="32"/>
      <c r="Q67" s="32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</row>
    <row r="68" spans="1:38" ht="15" x14ac:dyDescent="0.2">
      <c r="A68" s="29">
        <v>60</v>
      </c>
      <c r="B68" s="30">
        <v>14.45</v>
      </c>
      <c r="C68" s="30">
        <v>15</v>
      </c>
      <c r="D68" s="74">
        <f t="shared" si="0"/>
        <v>1200</v>
      </c>
      <c r="E68" s="31">
        <v>2.27</v>
      </c>
      <c r="F68" s="30">
        <v>1200</v>
      </c>
      <c r="G68" s="30">
        <v>0</v>
      </c>
      <c r="H68" s="32">
        <v>0</v>
      </c>
      <c r="I68" s="32">
        <v>0</v>
      </c>
      <c r="J68" s="32">
        <v>0</v>
      </c>
      <c r="K68" s="32"/>
      <c r="L68" s="32"/>
      <c r="M68" s="32"/>
      <c r="N68" s="32"/>
      <c r="O68" s="32"/>
      <c r="P68" s="32"/>
      <c r="Q68" s="32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</row>
    <row r="69" spans="1:38" ht="15" x14ac:dyDescent="0.2">
      <c r="A69" s="29">
        <v>61</v>
      </c>
      <c r="B69" s="30">
        <v>15</v>
      </c>
      <c r="C69" s="30">
        <v>15.15</v>
      </c>
      <c r="D69" s="74">
        <f t="shared" si="0"/>
        <v>1200</v>
      </c>
      <c r="E69" s="31">
        <v>2.27</v>
      </c>
      <c r="F69" s="30">
        <v>1200</v>
      </c>
      <c r="G69" s="30">
        <v>0</v>
      </c>
      <c r="H69" s="32">
        <v>0</v>
      </c>
      <c r="I69" s="32">
        <v>0</v>
      </c>
      <c r="J69" s="32">
        <v>0</v>
      </c>
      <c r="K69" s="32"/>
      <c r="L69" s="32"/>
      <c r="M69" s="32"/>
      <c r="N69" s="32"/>
      <c r="O69" s="32"/>
      <c r="P69" s="32"/>
      <c r="Q69" s="32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</row>
    <row r="70" spans="1:38" ht="15" x14ac:dyDescent="0.2">
      <c r="A70" s="29">
        <v>62</v>
      </c>
      <c r="B70" s="30">
        <v>15.15</v>
      </c>
      <c r="C70" s="30">
        <v>15.3</v>
      </c>
      <c r="D70" s="74">
        <f t="shared" si="0"/>
        <v>1200</v>
      </c>
      <c r="E70" s="31">
        <v>2.27</v>
      </c>
      <c r="F70" s="30">
        <v>1200</v>
      </c>
      <c r="G70" s="30">
        <v>0</v>
      </c>
      <c r="H70" s="32">
        <v>0</v>
      </c>
      <c r="I70" s="32">
        <v>0</v>
      </c>
      <c r="J70" s="32">
        <v>0</v>
      </c>
      <c r="K70" s="32"/>
      <c r="L70" s="32"/>
      <c r="M70" s="32"/>
      <c r="N70" s="32"/>
      <c r="O70" s="32"/>
      <c r="P70" s="32"/>
      <c r="Q70" s="32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</row>
    <row r="71" spans="1:38" ht="15" x14ac:dyDescent="0.2">
      <c r="A71" s="29">
        <v>63</v>
      </c>
      <c r="B71" s="30">
        <v>15.3</v>
      </c>
      <c r="C71" s="30">
        <v>15.45</v>
      </c>
      <c r="D71" s="74">
        <f t="shared" si="0"/>
        <v>1200</v>
      </c>
      <c r="E71" s="31">
        <v>2.27</v>
      </c>
      <c r="F71" s="30">
        <v>1200</v>
      </c>
      <c r="G71" s="30">
        <v>0</v>
      </c>
      <c r="H71" s="32">
        <v>0</v>
      </c>
      <c r="I71" s="32">
        <v>0</v>
      </c>
      <c r="J71" s="32">
        <v>0</v>
      </c>
      <c r="K71" s="32"/>
      <c r="L71" s="32"/>
      <c r="M71" s="32"/>
      <c r="N71" s="32"/>
      <c r="O71" s="32"/>
      <c r="P71" s="32"/>
      <c r="Q71" s="32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</row>
    <row r="72" spans="1:38" ht="15" x14ac:dyDescent="0.2">
      <c r="A72" s="29">
        <v>64</v>
      </c>
      <c r="B72" s="30">
        <v>15.45</v>
      </c>
      <c r="C72" s="30">
        <v>16</v>
      </c>
      <c r="D72" s="74">
        <f t="shared" si="0"/>
        <v>1200</v>
      </c>
      <c r="E72" s="31">
        <v>2.27</v>
      </c>
      <c r="F72" s="30">
        <v>1200</v>
      </c>
      <c r="G72" s="30">
        <v>0</v>
      </c>
      <c r="H72" s="32">
        <v>0</v>
      </c>
      <c r="I72" s="32">
        <v>0</v>
      </c>
      <c r="J72" s="32">
        <v>0</v>
      </c>
      <c r="K72" s="32"/>
      <c r="L72" s="32"/>
      <c r="M72" s="32"/>
      <c r="N72" s="32"/>
      <c r="O72" s="32"/>
      <c r="P72" s="32"/>
      <c r="Q72" s="32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</row>
    <row r="73" spans="1:38" ht="15" x14ac:dyDescent="0.2">
      <c r="A73" s="29">
        <v>65</v>
      </c>
      <c r="B73" s="30">
        <v>16</v>
      </c>
      <c r="C73" s="30">
        <v>16.149999999999999</v>
      </c>
      <c r="D73" s="74">
        <f t="shared" si="0"/>
        <v>1200</v>
      </c>
      <c r="E73" s="31">
        <v>2.27</v>
      </c>
      <c r="F73" s="30">
        <v>1200</v>
      </c>
      <c r="G73" s="30">
        <v>0</v>
      </c>
      <c r="H73" s="32">
        <v>0</v>
      </c>
      <c r="I73" s="32">
        <v>0</v>
      </c>
      <c r="J73" s="32">
        <v>0</v>
      </c>
      <c r="K73" s="32"/>
      <c r="L73" s="32"/>
      <c r="M73" s="32"/>
      <c r="N73" s="32"/>
      <c r="O73" s="32"/>
      <c r="P73" s="32"/>
      <c r="Q73" s="32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</row>
    <row r="74" spans="1:38" ht="15" x14ac:dyDescent="0.2">
      <c r="A74" s="29">
        <v>66</v>
      </c>
      <c r="B74" s="30">
        <v>16.149999999999999</v>
      </c>
      <c r="C74" s="30">
        <v>16.3</v>
      </c>
      <c r="D74" s="74">
        <f t="shared" ref="D74:D104" si="1">SUM(F74:AL74)</f>
        <v>1200</v>
      </c>
      <c r="E74" s="31">
        <v>2.27</v>
      </c>
      <c r="F74" s="30">
        <v>1200</v>
      </c>
      <c r="G74" s="30">
        <v>0</v>
      </c>
      <c r="H74" s="32">
        <v>0</v>
      </c>
      <c r="I74" s="32">
        <v>0</v>
      </c>
      <c r="J74" s="32">
        <v>0</v>
      </c>
      <c r="K74" s="32"/>
      <c r="L74" s="32"/>
      <c r="M74" s="32"/>
      <c r="N74" s="32"/>
      <c r="O74" s="32"/>
      <c r="P74" s="32"/>
      <c r="Q74" s="32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</row>
    <row r="75" spans="1:38" ht="15" x14ac:dyDescent="0.2">
      <c r="A75" s="29">
        <v>67</v>
      </c>
      <c r="B75" s="30">
        <v>16.3</v>
      </c>
      <c r="C75" s="30">
        <v>16.45</v>
      </c>
      <c r="D75" s="74">
        <f t="shared" si="1"/>
        <v>1200</v>
      </c>
      <c r="E75" s="31">
        <v>2.27</v>
      </c>
      <c r="F75" s="30">
        <v>1200</v>
      </c>
      <c r="G75" s="30">
        <v>0</v>
      </c>
      <c r="H75" s="32">
        <v>0</v>
      </c>
      <c r="I75" s="32">
        <v>0</v>
      </c>
      <c r="J75" s="32">
        <v>0</v>
      </c>
      <c r="K75" s="32"/>
      <c r="L75" s="32"/>
      <c r="M75" s="32"/>
      <c r="N75" s="32"/>
      <c r="O75" s="32"/>
      <c r="P75" s="32"/>
      <c r="Q75" s="32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</row>
    <row r="76" spans="1:38" ht="15" x14ac:dyDescent="0.2">
      <c r="A76" s="29">
        <v>68</v>
      </c>
      <c r="B76" s="30">
        <v>16.45</v>
      </c>
      <c r="C76" s="30">
        <v>17</v>
      </c>
      <c r="D76" s="74">
        <f t="shared" si="1"/>
        <v>1233.93</v>
      </c>
      <c r="E76" s="31">
        <v>2.27</v>
      </c>
      <c r="F76" s="30">
        <v>1200</v>
      </c>
      <c r="G76" s="30">
        <v>0</v>
      </c>
      <c r="H76" s="32">
        <v>0</v>
      </c>
      <c r="I76" s="32">
        <v>33.93</v>
      </c>
      <c r="J76" s="32">
        <v>0</v>
      </c>
      <c r="K76" s="32"/>
      <c r="L76" s="32"/>
      <c r="M76" s="32"/>
      <c r="N76" s="32"/>
      <c r="O76" s="32"/>
      <c r="P76" s="32"/>
      <c r="Q76" s="32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</row>
    <row r="77" spans="1:38" ht="15" x14ac:dyDescent="0.2">
      <c r="A77" s="29">
        <v>69</v>
      </c>
      <c r="B77" s="30">
        <v>17</v>
      </c>
      <c r="C77" s="30">
        <v>17.149999999999999</v>
      </c>
      <c r="D77" s="74">
        <f t="shared" si="1"/>
        <v>1233.93</v>
      </c>
      <c r="E77" s="31">
        <v>2.27</v>
      </c>
      <c r="F77" s="30">
        <v>1200</v>
      </c>
      <c r="G77" s="30">
        <v>0</v>
      </c>
      <c r="H77" s="32">
        <v>0</v>
      </c>
      <c r="I77" s="32">
        <v>0</v>
      </c>
      <c r="J77" s="32">
        <v>33.93</v>
      </c>
      <c r="K77" s="32"/>
      <c r="L77" s="32"/>
      <c r="M77" s="32"/>
      <c r="N77" s="32"/>
      <c r="O77" s="32"/>
      <c r="P77" s="32"/>
      <c r="Q77" s="32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</row>
    <row r="78" spans="1:38" ht="15" x14ac:dyDescent="0.2">
      <c r="A78" s="29">
        <v>70</v>
      </c>
      <c r="B78" s="30">
        <v>17.149999999999999</v>
      </c>
      <c r="C78" s="30">
        <v>17.3</v>
      </c>
      <c r="D78" s="74">
        <f t="shared" si="1"/>
        <v>1233.93</v>
      </c>
      <c r="E78" s="31">
        <v>2.27</v>
      </c>
      <c r="F78" s="30">
        <v>1200</v>
      </c>
      <c r="G78" s="30">
        <v>0</v>
      </c>
      <c r="H78" s="32">
        <v>0</v>
      </c>
      <c r="I78" s="32">
        <v>0</v>
      </c>
      <c r="J78" s="32">
        <v>33.93</v>
      </c>
      <c r="K78" s="32"/>
      <c r="L78" s="32"/>
      <c r="M78" s="32"/>
      <c r="N78" s="32"/>
      <c r="O78" s="32"/>
      <c r="P78" s="32"/>
      <c r="Q78" s="32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</row>
    <row r="79" spans="1:38" ht="15" x14ac:dyDescent="0.2">
      <c r="A79" s="29">
        <v>71</v>
      </c>
      <c r="B79" s="30">
        <v>17.3</v>
      </c>
      <c r="C79" s="30">
        <v>17.45</v>
      </c>
      <c r="D79" s="74">
        <f t="shared" si="1"/>
        <v>1233.93</v>
      </c>
      <c r="E79" s="31">
        <v>2.27</v>
      </c>
      <c r="F79" s="30">
        <v>1200</v>
      </c>
      <c r="G79" s="30">
        <v>0</v>
      </c>
      <c r="H79" s="32">
        <v>0</v>
      </c>
      <c r="I79" s="32">
        <v>0</v>
      </c>
      <c r="J79" s="32">
        <v>33.93</v>
      </c>
      <c r="K79" s="32"/>
      <c r="L79" s="32"/>
      <c r="M79" s="32"/>
      <c r="N79" s="32"/>
      <c r="O79" s="32"/>
      <c r="P79" s="32"/>
      <c r="Q79" s="32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</row>
    <row r="80" spans="1:38" ht="15" x14ac:dyDescent="0.2">
      <c r="A80" s="29">
        <v>72</v>
      </c>
      <c r="B80" s="30">
        <v>17.45</v>
      </c>
      <c r="C80" s="30">
        <v>18</v>
      </c>
      <c r="D80" s="74">
        <f t="shared" si="1"/>
        <v>1233.93</v>
      </c>
      <c r="E80" s="31">
        <v>2.27</v>
      </c>
      <c r="F80" s="30">
        <v>1200</v>
      </c>
      <c r="G80" s="30">
        <v>0</v>
      </c>
      <c r="H80" s="32">
        <v>0</v>
      </c>
      <c r="I80" s="32">
        <v>0</v>
      </c>
      <c r="J80" s="32">
        <v>33.93</v>
      </c>
      <c r="K80" s="32"/>
      <c r="L80" s="32"/>
      <c r="M80" s="32"/>
      <c r="N80" s="32"/>
      <c r="O80" s="32"/>
      <c r="P80" s="32"/>
      <c r="Q80" s="32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</row>
    <row r="81" spans="1:38" ht="15" x14ac:dyDescent="0.2">
      <c r="A81" s="29">
        <v>73</v>
      </c>
      <c r="B81" s="30">
        <v>18</v>
      </c>
      <c r="C81" s="30">
        <v>18.149999999999999</v>
      </c>
      <c r="D81" s="74">
        <f t="shared" si="1"/>
        <v>1233.93</v>
      </c>
      <c r="E81" s="31">
        <v>2.27</v>
      </c>
      <c r="F81" s="30">
        <v>1200</v>
      </c>
      <c r="G81" s="30">
        <v>0</v>
      </c>
      <c r="H81" s="32">
        <v>0</v>
      </c>
      <c r="I81" s="32">
        <v>0</v>
      </c>
      <c r="J81" s="32">
        <v>33.93</v>
      </c>
      <c r="K81" s="32"/>
      <c r="L81" s="32"/>
      <c r="M81" s="32"/>
      <c r="N81" s="32"/>
      <c r="O81" s="32"/>
      <c r="P81" s="32"/>
      <c r="Q81" s="32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</row>
    <row r="82" spans="1:38" ht="15" x14ac:dyDescent="0.2">
      <c r="A82" s="29">
        <v>74</v>
      </c>
      <c r="B82" s="30">
        <v>18.149999999999999</v>
      </c>
      <c r="C82" s="30">
        <v>18.3</v>
      </c>
      <c r="D82" s="74">
        <f t="shared" si="1"/>
        <v>1233.93</v>
      </c>
      <c r="E82" s="31">
        <v>2.27</v>
      </c>
      <c r="F82" s="30">
        <v>1200</v>
      </c>
      <c r="G82" s="30">
        <v>0</v>
      </c>
      <c r="H82" s="32">
        <v>0</v>
      </c>
      <c r="I82" s="32">
        <v>0</v>
      </c>
      <c r="J82" s="32">
        <v>33.93</v>
      </c>
      <c r="K82" s="32"/>
      <c r="L82" s="32"/>
      <c r="M82" s="32"/>
      <c r="N82" s="32"/>
      <c r="O82" s="32"/>
      <c r="P82" s="32"/>
      <c r="Q82" s="32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</row>
    <row r="83" spans="1:38" ht="15" x14ac:dyDescent="0.2">
      <c r="A83" s="29">
        <v>75</v>
      </c>
      <c r="B83" s="30">
        <v>18.3</v>
      </c>
      <c r="C83" s="30">
        <v>18.45</v>
      </c>
      <c r="D83" s="74">
        <f t="shared" si="1"/>
        <v>1233.93</v>
      </c>
      <c r="E83" s="31">
        <v>2.27</v>
      </c>
      <c r="F83" s="30">
        <v>1200</v>
      </c>
      <c r="G83" s="30">
        <v>0</v>
      </c>
      <c r="H83" s="32">
        <v>0</v>
      </c>
      <c r="I83" s="32">
        <v>0</v>
      </c>
      <c r="J83" s="32">
        <v>33.93</v>
      </c>
      <c r="K83" s="32"/>
      <c r="L83" s="32"/>
      <c r="M83" s="32"/>
      <c r="N83" s="32"/>
      <c r="O83" s="32"/>
      <c r="P83" s="32"/>
      <c r="Q83" s="32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</row>
    <row r="84" spans="1:38" ht="15" x14ac:dyDescent="0.2">
      <c r="A84" s="29">
        <v>76</v>
      </c>
      <c r="B84" s="30">
        <v>18.45</v>
      </c>
      <c r="C84" s="30">
        <v>19</v>
      </c>
      <c r="D84" s="74">
        <f t="shared" si="1"/>
        <v>1233.93</v>
      </c>
      <c r="E84" s="31">
        <v>2.27</v>
      </c>
      <c r="F84" s="30">
        <v>1200</v>
      </c>
      <c r="G84" s="30">
        <v>0</v>
      </c>
      <c r="H84" s="32">
        <v>0</v>
      </c>
      <c r="I84" s="32">
        <v>0</v>
      </c>
      <c r="J84" s="32">
        <v>33.93</v>
      </c>
      <c r="K84" s="32"/>
      <c r="L84" s="32"/>
      <c r="M84" s="32"/>
      <c r="N84" s="32"/>
      <c r="O84" s="32"/>
      <c r="P84" s="32"/>
      <c r="Q84" s="32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</row>
    <row r="85" spans="1:38" ht="15" x14ac:dyDescent="0.2">
      <c r="A85" s="29">
        <v>77</v>
      </c>
      <c r="B85" s="30">
        <v>19</v>
      </c>
      <c r="C85" s="30">
        <v>19.149999999999999</v>
      </c>
      <c r="D85" s="74">
        <f t="shared" si="1"/>
        <v>1233.93</v>
      </c>
      <c r="E85" s="31">
        <v>2.27</v>
      </c>
      <c r="F85" s="30">
        <v>1200</v>
      </c>
      <c r="G85" s="30">
        <v>0</v>
      </c>
      <c r="H85" s="32">
        <v>0</v>
      </c>
      <c r="I85" s="32">
        <v>0</v>
      </c>
      <c r="J85" s="32">
        <v>33.93</v>
      </c>
      <c r="K85" s="32"/>
      <c r="L85" s="32"/>
      <c r="M85" s="32"/>
      <c r="N85" s="32"/>
      <c r="O85" s="32"/>
      <c r="P85" s="32"/>
      <c r="Q85" s="32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</row>
    <row r="86" spans="1:38" ht="15" x14ac:dyDescent="0.2">
      <c r="A86" s="29">
        <v>78</v>
      </c>
      <c r="B86" s="30">
        <v>19.149999999999999</v>
      </c>
      <c r="C86" s="30">
        <v>19.3</v>
      </c>
      <c r="D86" s="74">
        <f t="shared" si="1"/>
        <v>1233.93</v>
      </c>
      <c r="E86" s="31">
        <v>2.27</v>
      </c>
      <c r="F86" s="30">
        <v>1200</v>
      </c>
      <c r="G86" s="30">
        <v>0</v>
      </c>
      <c r="H86" s="32">
        <v>0</v>
      </c>
      <c r="I86" s="32">
        <v>0</v>
      </c>
      <c r="J86" s="32">
        <v>33.93</v>
      </c>
      <c r="K86" s="32"/>
      <c r="L86" s="32"/>
      <c r="M86" s="32"/>
      <c r="N86" s="32"/>
      <c r="O86" s="32"/>
      <c r="P86" s="32"/>
      <c r="Q86" s="32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</row>
    <row r="87" spans="1:38" ht="15" x14ac:dyDescent="0.2">
      <c r="A87" s="29">
        <v>79</v>
      </c>
      <c r="B87" s="30">
        <v>19.3</v>
      </c>
      <c r="C87" s="30">
        <v>19.45</v>
      </c>
      <c r="D87" s="74">
        <f t="shared" si="1"/>
        <v>1233.93</v>
      </c>
      <c r="E87" s="31">
        <v>2.27</v>
      </c>
      <c r="F87" s="30">
        <v>1200</v>
      </c>
      <c r="G87" s="30">
        <v>0</v>
      </c>
      <c r="H87" s="32">
        <v>0</v>
      </c>
      <c r="I87" s="32">
        <v>0</v>
      </c>
      <c r="J87" s="32">
        <v>33.93</v>
      </c>
      <c r="K87" s="32"/>
      <c r="L87" s="32"/>
      <c r="M87" s="32"/>
      <c r="N87" s="32"/>
      <c r="O87" s="32"/>
      <c r="P87" s="32"/>
      <c r="Q87" s="32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</row>
    <row r="88" spans="1:38" ht="15" x14ac:dyDescent="0.2">
      <c r="A88" s="29">
        <v>80</v>
      </c>
      <c r="B88" s="30">
        <v>19.45</v>
      </c>
      <c r="C88" s="30">
        <v>20</v>
      </c>
      <c r="D88" s="74">
        <f t="shared" si="1"/>
        <v>1200</v>
      </c>
      <c r="E88" s="31">
        <v>2.27</v>
      </c>
      <c r="F88" s="30">
        <v>1200</v>
      </c>
      <c r="G88" s="30">
        <v>0</v>
      </c>
      <c r="H88" s="32">
        <v>0</v>
      </c>
      <c r="I88" s="32">
        <v>0</v>
      </c>
      <c r="J88" s="32">
        <v>0</v>
      </c>
      <c r="K88" s="32"/>
      <c r="L88" s="32"/>
      <c r="M88" s="32"/>
      <c r="N88" s="32"/>
      <c r="O88" s="32"/>
      <c r="P88" s="32"/>
      <c r="Q88" s="32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</row>
    <row r="89" spans="1:38" ht="15" x14ac:dyDescent="0.2">
      <c r="A89" s="29">
        <v>81</v>
      </c>
      <c r="B89" s="30">
        <v>20</v>
      </c>
      <c r="C89" s="30">
        <v>20.149999999999999</v>
      </c>
      <c r="D89" s="74">
        <f t="shared" si="1"/>
        <v>1200</v>
      </c>
      <c r="E89" s="31">
        <v>2.27</v>
      </c>
      <c r="F89" s="30">
        <v>1200</v>
      </c>
      <c r="G89" s="30">
        <v>0</v>
      </c>
      <c r="H89" s="32">
        <v>0</v>
      </c>
      <c r="I89" s="32">
        <v>0</v>
      </c>
      <c r="J89" s="32">
        <v>0</v>
      </c>
      <c r="K89" s="32"/>
      <c r="L89" s="32"/>
      <c r="M89" s="32"/>
      <c r="N89" s="32"/>
      <c r="O89" s="32"/>
      <c r="P89" s="32"/>
      <c r="Q89" s="32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</row>
    <row r="90" spans="1:38" ht="15" x14ac:dyDescent="0.2">
      <c r="A90" s="29">
        <v>82</v>
      </c>
      <c r="B90" s="30">
        <v>20.149999999999999</v>
      </c>
      <c r="C90" s="30">
        <v>20.3</v>
      </c>
      <c r="D90" s="74">
        <f t="shared" si="1"/>
        <v>1200</v>
      </c>
      <c r="E90" s="31">
        <v>2.27</v>
      </c>
      <c r="F90" s="30">
        <v>1200</v>
      </c>
      <c r="G90" s="30">
        <v>0</v>
      </c>
      <c r="H90" s="32">
        <v>0</v>
      </c>
      <c r="I90" s="32">
        <v>0</v>
      </c>
      <c r="J90" s="32">
        <v>0</v>
      </c>
      <c r="K90" s="32"/>
      <c r="L90" s="32"/>
      <c r="M90" s="32"/>
      <c r="N90" s="32"/>
      <c r="O90" s="32"/>
      <c r="P90" s="32"/>
      <c r="Q90" s="32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</row>
    <row r="91" spans="1:38" ht="15" x14ac:dyDescent="0.2">
      <c r="A91" s="29">
        <v>83</v>
      </c>
      <c r="B91" s="30">
        <v>20.3</v>
      </c>
      <c r="C91" s="30">
        <v>20.45</v>
      </c>
      <c r="D91" s="74">
        <f t="shared" si="1"/>
        <v>1200</v>
      </c>
      <c r="E91" s="31">
        <v>2.27</v>
      </c>
      <c r="F91" s="30">
        <v>1200</v>
      </c>
      <c r="G91" s="30">
        <v>0</v>
      </c>
      <c r="H91" s="32">
        <v>0</v>
      </c>
      <c r="I91" s="32">
        <v>0</v>
      </c>
      <c r="J91" s="32">
        <v>0</v>
      </c>
      <c r="K91" s="32"/>
      <c r="L91" s="32"/>
      <c r="M91" s="32"/>
      <c r="N91" s="32"/>
      <c r="O91" s="32"/>
      <c r="P91" s="32"/>
      <c r="Q91" s="32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</row>
    <row r="92" spans="1:38" ht="15" x14ac:dyDescent="0.2">
      <c r="A92" s="29">
        <v>84</v>
      </c>
      <c r="B92" s="30">
        <v>20.45</v>
      </c>
      <c r="C92" s="30">
        <v>21</v>
      </c>
      <c r="D92" s="74">
        <f t="shared" si="1"/>
        <v>1200</v>
      </c>
      <c r="E92" s="31">
        <v>2.27</v>
      </c>
      <c r="F92" s="30">
        <v>1200</v>
      </c>
      <c r="G92" s="30">
        <v>0</v>
      </c>
      <c r="H92" s="32">
        <v>0</v>
      </c>
      <c r="I92" s="32">
        <v>0</v>
      </c>
      <c r="J92" s="32">
        <v>0</v>
      </c>
      <c r="K92" s="32"/>
      <c r="L92" s="32"/>
      <c r="M92" s="32"/>
      <c r="N92" s="32"/>
      <c r="O92" s="32"/>
      <c r="P92" s="32"/>
      <c r="Q92" s="32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</row>
    <row r="93" spans="1:38" ht="15" x14ac:dyDescent="0.2">
      <c r="A93" s="29">
        <v>85</v>
      </c>
      <c r="B93" s="30">
        <v>21</v>
      </c>
      <c r="C93" s="30">
        <v>21.15</v>
      </c>
      <c r="D93" s="74">
        <f t="shared" si="1"/>
        <v>1200</v>
      </c>
      <c r="E93" s="31">
        <v>2.27</v>
      </c>
      <c r="F93" s="30">
        <v>1200</v>
      </c>
      <c r="G93" s="30">
        <v>0</v>
      </c>
      <c r="H93" s="32">
        <v>0</v>
      </c>
      <c r="I93" s="32">
        <v>0</v>
      </c>
      <c r="J93" s="32">
        <v>0</v>
      </c>
      <c r="K93" s="32"/>
      <c r="L93" s="32"/>
      <c r="M93" s="32"/>
      <c r="N93" s="32"/>
      <c r="O93" s="32"/>
      <c r="P93" s="32"/>
      <c r="Q93" s="32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</row>
    <row r="94" spans="1:38" ht="15" x14ac:dyDescent="0.2">
      <c r="A94" s="29">
        <v>86</v>
      </c>
      <c r="B94" s="30">
        <v>21.15</v>
      </c>
      <c r="C94" s="30">
        <v>21.3</v>
      </c>
      <c r="D94" s="74">
        <f t="shared" si="1"/>
        <v>1200</v>
      </c>
      <c r="E94" s="31">
        <v>2.27</v>
      </c>
      <c r="F94" s="30">
        <v>1200</v>
      </c>
      <c r="G94" s="30">
        <v>0</v>
      </c>
      <c r="H94" s="32">
        <v>0</v>
      </c>
      <c r="I94" s="32">
        <v>0</v>
      </c>
      <c r="J94" s="32">
        <v>0</v>
      </c>
      <c r="K94" s="32"/>
      <c r="L94" s="32"/>
      <c r="M94" s="32"/>
      <c r="N94" s="32"/>
      <c r="O94" s="32"/>
      <c r="P94" s="32"/>
      <c r="Q94" s="32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</row>
    <row r="95" spans="1:38" ht="15" x14ac:dyDescent="0.2">
      <c r="A95" s="29">
        <v>87</v>
      </c>
      <c r="B95" s="30">
        <v>21.3</v>
      </c>
      <c r="C95" s="30">
        <v>21.45</v>
      </c>
      <c r="D95" s="74">
        <f t="shared" si="1"/>
        <v>1200</v>
      </c>
      <c r="E95" s="31">
        <v>2.27</v>
      </c>
      <c r="F95" s="30">
        <v>1200</v>
      </c>
      <c r="G95" s="30">
        <v>0</v>
      </c>
      <c r="H95" s="32">
        <v>0</v>
      </c>
      <c r="I95" s="32">
        <v>0</v>
      </c>
      <c r="J95" s="32">
        <v>0</v>
      </c>
      <c r="K95" s="32"/>
      <c r="L95" s="32"/>
      <c r="M95" s="32"/>
      <c r="N95" s="32"/>
      <c r="O95" s="32"/>
      <c r="P95" s="32"/>
      <c r="Q95" s="32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</row>
    <row r="96" spans="1:38" ht="15" x14ac:dyDescent="0.2">
      <c r="A96" s="29">
        <v>88</v>
      </c>
      <c r="B96" s="30">
        <v>21.45</v>
      </c>
      <c r="C96" s="30">
        <v>22</v>
      </c>
      <c r="D96" s="74">
        <f t="shared" si="1"/>
        <v>1200</v>
      </c>
      <c r="E96" s="31">
        <v>2.27</v>
      </c>
      <c r="F96" s="30">
        <v>1200</v>
      </c>
      <c r="G96" s="30">
        <v>0</v>
      </c>
      <c r="H96" s="32">
        <v>0</v>
      </c>
      <c r="I96" s="32">
        <v>0</v>
      </c>
      <c r="J96" s="32">
        <v>0</v>
      </c>
      <c r="K96" s="32"/>
      <c r="L96" s="32"/>
      <c r="M96" s="32"/>
      <c r="N96" s="32"/>
      <c r="O96" s="32"/>
      <c r="P96" s="32"/>
      <c r="Q96" s="32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</row>
    <row r="97" spans="1:38" ht="15" x14ac:dyDescent="0.2">
      <c r="A97" s="29">
        <v>89</v>
      </c>
      <c r="B97" s="30">
        <v>22</v>
      </c>
      <c r="C97" s="30">
        <v>22.15</v>
      </c>
      <c r="D97" s="74">
        <f t="shared" si="1"/>
        <v>1200</v>
      </c>
      <c r="E97" s="31">
        <v>2.27</v>
      </c>
      <c r="F97" s="30">
        <v>1200</v>
      </c>
      <c r="G97" s="30">
        <v>0</v>
      </c>
      <c r="H97" s="32">
        <v>0</v>
      </c>
      <c r="I97" s="32">
        <v>0</v>
      </c>
      <c r="J97" s="32">
        <v>0</v>
      </c>
      <c r="K97" s="32"/>
      <c r="L97" s="32"/>
      <c r="M97" s="32"/>
      <c r="N97" s="32"/>
      <c r="O97" s="32"/>
      <c r="P97" s="32"/>
      <c r="Q97" s="32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</row>
    <row r="98" spans="1:38" ht="15" x14ac:dyDescent="0.2">
      <c r="A98" s="29">
        <v>90</v>
      </c>
      <c r="B98" s="30">
        <v>22.15</v>
      </c>
      <c r="C98" s="30">
        <v>22.3</v>
      </c>
      <c r="D98" s="74">
        <f t="shared" si="1"/>
        <v>1200</v>
      </c>
      <c r="E98" s="31">
        <v>2.27</v>
      </c>
      <c r="F98" s="30">
        <v>1200</v>
      </c>
      <c r="G98" s="30">
        <v>0</v>
      </c>
      <c r="H98" s="32">
        <v>0</v>
      </c>
      <c r="I98" s="32">
        <v>0</v>
      </c>
      <c r="J98" s="32">
        <v>0</v>
      </c>
      <c r="K98" s="32"/>
      <c r="L98" s="32"/>
      <c r="M98" s="32"/>
      <c r="N98" s="32"/>
      <c r="O98" s="32"/>
      <c r="P98" s="32"/>
      <c r="Q98" s="32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</row>
    <row r="99" spans="1:38" ht="15" x14ac:dyDescent="0.2">
      <c r="A99" s="29">
        <v>91</v>
      </c>
      <c r="B99" s="30">
        <v>22.3</v>
      </c>
      <c r="C99" s="30">
        <v>22.45</v>
      </c>
      <c r="D99" s="74">
        <f t="shared" si="1"/>
        <v>1200</v>
      </c>
      <c r="E99" s="31">
        <v>2.27</v>
      </c>
      <c r="F99" s="30">
        <v>1200</v>
      </c>
      <c r="G99" s="30">
        <v>0</v>
      </c>
      <c r="H99" s="32">
        <v>0</v>
      </c>
      <c r="I99" s="32">
        <v>0</v>
      </c>
      <c r="J99" s="32">
        <v>0</v>
      </c>
      <c r="K99" s="32"/>
      <c r="L99" s="32"/>
      <c r="M99" s="32"/>
      <c r="N99" s="32"/>
      <c r="O99" s="32"/>
      <c r="P99" s="32"/>
      <c r="Q99" s="32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</row>
    <row r="100" spans="1:38" ht="15" x14ac:dyDescent="0.2">
      <c r="A100" s="29">
        <v>92</v>
      </c>
      <c r="B100" s="30">
        <v>22.45</v>
      </c>
      <c r="C100" s="30">
        <v>23</v>
      </c>
      <c r="D100" s="74">
        <f t="shared" si="1"/>
        <v>1200</v>
      </c>
      <c r="E100" s="31">
        <v>2.27</v>
      </c>
      <c r="F100" s="30">
        <v>1200</v>
      </c>
      <c r="G100" s="30">
        <v>0</v>
      </c>
      <c r="H100" s="32">
        <v>0</v>
      </c>
      <c r="I100" s="32">
        <v>0</v>
      </c>
      <c r="J100" s="32">
        <v>0</v>
      </c>
      <c r="K100" s="32"/>
      <c r="L100" s="32"/>
      <c r="M100" s="32"/>
      <c r="N100" s="32"/>
      <c r="O100" s="32"/>
      <c r="P100" s="32"/>
      <c r="Q100" s="32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</row>
    <row r="101" spans="1:38" ht="15" x14ac:dyDescent="0.2">
      <c r="A101" s="29">
        <v>93</v>
      </c>
      <c r="B101" s="30">
        <v>23</v>
      </c>
      <c r="C101" s="30">
        <v>23.15</v>
      </c>
      <c r="D101" s="74">
        <f t="shared" si="1"/>
        <v>1200</v>
      </c>
      <c r="E101" s="31">
        <v>2.27</v>
      </c>
      <c r="F101" s="30">
        <v>1200</v>
      </c>
      <c r="G101" s="30">
        <v>0</v>
      </c>
      <c r="H101" s="32">
        <v>0</v>
      </c>
      <c r="I101" s="32">
        <v>0</v>
      </c>
      <c r="J101" s="32">
        <v>0</v>
      </c>
      <c r="K101" s="32"/>
      <c r="L101" s="32"/>
      <c r="M101" s="32"/>
      <c r="N101" s="32"/>
      <c r="O101" s="32"/>
      <c r="P101" s="32"/>
      <c r="Q101" s="32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</row>
    <row r="102" spans="1:38" ht="15" x14ac:dyDescent="0.2">
      <c r="A102" s="29">
        <v>94</v>
      </c>
      <c r="B102" s="30">
        <v>23.15</v>
      </c>
      <c r="C102" s="30">
        <v>23.3</v>
      </c>
      <c r="D102" s="74">
        <f t="shared" si="1"/>
        <v>1200</v>
      </c>
      <c r="E102" s="31">
        <v>2.27</v>
      </c>
      <c r="F102" s="30">
        <v>1200</v>
      </c>
      <c r="G102" s="30">
        <v>0</v>
      </c>
      <c r="H102" s="32">
        <v>0</v>
      </c>
      <c r="I102" s="32">
        <v>0</v>
      </c>
      <c r="J102" s="32">
        <v>0</v>
      </c>
      <c r="K102" s="32"/>
      <c r="L102" s="32"/>
      <c r="M102" s="32"/>
      <c r="N102" s="32"/>
      <c r="O102" s="32"/>
      <c r="P102" s="32"/>
      <c r="Q102" s="32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</row>
    <row r="103" spans="1:38" ht="15" x14ac:dyDescent="0.2">
      <c r="A103" s="29">
        <v>95</v>
      </c>
      <c r="B103" s="30">
        <v>23.3</v>
      </c>
      <c r="C103" s="30">
        <v>23.45</v>
      </c>
      <c r="D103" s="74">
        <f t="shared" si="1"/>
        <v>1200</v>
      </c>
      <c r="E103" s="31">
        <v>2.27</v>
      </c>
      <c r="F103" s="30">
        <v>1200</v>
      </c>
      <c r="G103" s="30">
        <v>0</v>
      </c>
      <c r="H103" s="32">
        <v>0</v>
      </c>
      <c r="I103" s="32">
        <v>0</v>
      </c>
      <c r="J103" s="32">
        <v>0</v>
      </c>
      <c r="K103" s="32"/>
      <c r="L103" s="32"/>
      <c r="M103" s="32"/>
      <c r="N103" s="32"/>
      <c r="O103" s="32"/>
      <c r="P103" s="32"/>
      <c r="Q103" s="32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</row>
    <row r="104" spans="1:38" ht="15" x14ac:dyDescent="0.2">
      <c r="A104" s="34">
        <v>96</v>
      </c>
      <c r="B104" s="35">
        <v>23.45</v>
      </c>
      <c r="C104" s="35">
        <v>24</v>
      </c>
      <c r="D104" s="74">
        <f t="shared" si="1"/>
        <v>1200</v>
      </c>
      <c r="E104" s="31">
        <v>2.27</v>
      </c>
      <c r="F104" s="30">
        <v>1200</v>
      </c>
      <c r="G104" s="30">
        <v>0</v>
      </c>
      <c r="H104" s="32">
        <v>0</v>
      </c>
      <c r="I104" s="32">
        <v>0</v>
      </c>
      <c r="J104" s="32">
        <v>0</v>
      </c>
      <c r="K104" s="32"/>
      <c r="L104" s="32"/>
      <c r="M104" s="32"/>
      <c r="N104" s="32"/>
      <c r="O104" s="32"/>
      <c r="P104" s="32"/>
      <c r="Q104" s="32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</row>
    <row r="105" spans="1:38" s="36" customFormat="1" x14ac:dyDescent="0.2"/>
    <row r="106" spans="1:38" s="36" customFormat="1" x14ac:dyDescent="0.2"/>
    <row r="107" spans="1:38" s="36" customFormat="1" x14ac:dyDescent="0.2"/>
    <row r="108" spans="1:38" x14ac:dyDescent="0.2">
      <c r="H108" s="36"/>
    </row>
    <row r="109" spans="1:38" x14ac:dyDescent="0.2">
      <c r="H109" s="36"/>
    </row>
    <row r="124" spans="8:8" x14ac:dyDescent="0.2">
      <c r="H124" s="4" t="s">
        <v>12</v>
      </c>
    </row>
    <row r="283" spans="1:15" x14ac:dyDescent="0.2">
      <c r="A283" s="4">
        <f>SUM(E9:L104)</f>
        <v>115926.87000000001</v>
      </c>
    </row>
    <row r="284" spans="1:15" x14ac:dyDescent="0.2">
      <c r="A284" s="4">
        <v>1</v>
      </c>
    </row>
    <row r="285" spans="1:15" s="37" customFormat="1" x14ac:dyDescent="0.2">
      <c r="A285" s="37" t="s">
        <v>10</v>
      </c>
      <c r="B285" s="37" t="str">
        <f t="shared" ref="B285:J300" si="2">D8</f>
        <v>DC</v>
      </c>
      <c r="C285" s="37" t="str">
        <f t="shared" si="2"/>
        <v>FC</v>
      </c>
      <c r="D285" s="37" t="e">
        <f>#REF!</f>
        <v>#REF!</v>
      </c>
      <c r="E285" s="37" t="str">
        <f t="shared" ref="E285:O285" si="3">F8</f>
        <v>RDPPC</v>
      </c>
      <c r="F285" s="37" t="str">
        <f t="shared" si="3"/>
        <v>AWL_Alwar_33KV</v>
      </c>
      <c r="G285" s="37" t="str">
        <f t="shared" si="3"/>
        <v>IEX_Assam</v>
      </c>
      <c r="H285" s="37" t="str">
        <f t="shared" si="3"/>
        <v>RTM_IEX</v>
      </c>
      <c r="I285" s="37" t="str">
        <f t="shared" si="3"/>
        <v>IEX</v>
      </c>
      <c r="J285" s="37">
        <f t="shared" si="3"/>
        <v>0</v>
      </c>
      <c r="K285" s="37">
        <f t="shared" si="3"/>
        <v>0</v>
      </c>
      <c r="L285" s="37">
        <f>O8</f>
        <v>0</v>
      </c>
      <c r="O285" s="37">
        <f t="shared" si="3"/>
        <v>0</v>
      </c>
    </row>
    <row r="286" spans="1:15" x14ac:dyDescent="0.2">
      <c r="A286" s="4">
        <v>0</v>
      </c>
      <c r="B286" s="38">
        <f t="shared" si="2"/>
        <v>1200</v>
      </c>
      <c r="C286" s="38">
        <f t="shared" si="2"/>
        <v>2.27</v>
      </c>
      <c r="D286" s="38">
        <f t="shared" si="2"/>
        <v>1200</v>
      </c>
      <c r="E286" s="38">
        <f t="shared" si="2"/>
        <v>0</v>
      </c>
      <c r="F286" s="38">
        <f t="shared" si="2"/>
        <v>0</v>
      </c>
      <c r="G286" s="38">
        <f t="shared" si="2"/>
        <v>0</v>
      </c>
      <c r="H286" s="38">
        <f t="shared" si="2"/>
        <v>0</v>
      </c>
      <c r="I286" s="38">
        <f t="shared" si="2"/>
        <v>0</v>
      </c>
      <c r="J286" s="38">
        <f t="shared" si="2"/>
        <v>0</v>
      </c>
      <c r="K286" s="38">
        <f t="shared" ref="K286:L317" si="4">O9</f>
        <v>0</v>
      </c>
      <c r="L286" s="38">
        <f t="shared" si="4"/>
        <v>0</v>
      </c>
      <c r="M286" s="38"/>
      <c r="N286" s="38"/>
    </row>
    <row r="287" spans="1:15" x14ac:dyDescent="0.2">
      <c r="A287" s="4">
        <v>0</v>
      </c>
      <c r="B287" s="38">
        <f t="shared" si="2"/>
        <v>1200</v>
      </c>
      <c r="C287" s="38">
        <f t="shared" si="2"/>
        <v>2.27</v>
      </c>
      <c r="D287" s="38">
        <f t="shared" si="2"/>
        <v>1200</v>
      </c>
      <c r="E287" s="38">
        <f t="shared" si="2"/>
        <v>0</v>
      </c>
      <c r="F287" s="38">
        <f t="shared" si="2"/>
        <v>0</v>
      </c>
      <c r="G287" s="38">
        <f t="shared" si="2"/>
        <v>0</v>
      </c>
      <c r="H287" s="38">
        <f t="shared" si="2"/>
        <v>0</v>
      </c>
      <c r="I287" s="38">
        <f t="shared" si="2"/>
        <v>0</v>
      </c>
      <c r="J287" s="38">
        <f t="shared" si="2"/>
        <v>0</v>
      </c>
      <c r="K287" s="38">
        <f t="shared" si="4"/>
        <v>0</v>
      </c>
      <c r="L287" s="38">
        <f t="shared" si="4"/>
        <v>0</v>
      </c>
      <c r="M287" s="38"/>
      <c r="N287" s="38"/>
    </row>
    <row r="288" spans="1:15" x14ac:dyDescent="0.2">
      <c r="A288" s="4">
        <v>0</v>
      </c>
      <c r="B288" s="38">
        <f t="shared" si="2"/>
        <v>1200</v>
      </c>
      <c r="C288" s="38">
        <f t="shared" si="2"/>
        <v>2.27</v>
      </c>
      <c r="D288" s="38">
        <f t="shared" si="2"/>
        <v>1200</v>
      </c>
      <c r="E288" s="38">
        <f t="shared" si="2"/>
        <v>0</v>
      </c>
      <c r="F288" s="38">
        <f t="shared" si="2"/>
        <v>0</v>
      </c>
      <c r="G288" s="38">
        <f t="shared" si="2"/>
        <v>0</v>
      </c>
      <c r="H288" s="38">
        <f t="shared" si="2"/>
        <v>0</v>
      </c>
      <c r="I288" s="38">
        <f t="shared" si="2"/>
        <v>0</v>
      </c>
      <c r="J288" s="38">
        <f t="shared" si="2"/>
        <v>0</v>
      </c>
      <c r="K288" s="38">
        <f t="shared" si="4"/>
        <v>0</v>
      </c>
      <c r="L288" s="38">
        <f t="shared" si="4"/>
        <v>0</v>
      </c>
      <c r="M288" s="38"/>
      <c r="N288" s="38"/>
    </row>
    <row r="289" spans="1:14" x14ac:dyDescent="0.2">
      <c r="A289" s="4">
        <v>0</v>
      </c>
      <c r="B289" s="38">
        <f t="shared" si="2"/>
        <v>1200</v>
      </c>
      <c r="C289" s="38">
        <f t="shared" si="2"/>
        <v>2.27</v>
      </c>
      <c r="D289" s="38">
        <f t="shared" si="2"/>
        <v>1200</v>
      </c>
      <c r="E289" s="38">
        <f t="shared" si="2"/>
        <v>0</v>
      </c>
      <c r="F289" s="38">
        <f t="shared" si="2"/>
        <v>0</v>
      </c>
      <c r="G289" s="38">
        <f t="shared" si="2"/>
        <v>0</v>
      </c>
      <c r="H289" s="38">
        <f t="shared" si="2"/>
        <v>0</v>
      </c>
      <c r="I289" s="38">
        <f t="shared" si="2"/>
        <v>0</v>
      </c>
      <c r="J289" s="38">
        <f t="shared" si="2"/>
        <v>0</v>
      </c>
      <c r="K289" s="38">
        <f t="shared" si="4"/>
        <v>0</v>
      </c>
      <c r="L289" s="38">
        <f t="shared" si="4"/>
        <v>0</v>
      </c>
      <c r="M289" s="38"/>
      <c r="N289" s="38"/>
    </row>
    <row r="290" spans="1:14" x14ac:dyDescent="0.2">
      <c r="A290" s="4">
        <v>0</v>
      </c>
      <c r="B290" s="38">
        <f t="shared" si="2"/>
        <v>1200</v>
      </c>
      <c r="C290" s="38">
        <f t="shared" si="2"/>
        <v>2.27</v>
      </c>
      <c r="D290" s="38">
        <f t="shared" si="2"/>
        <v>1200</v>
      </c>
      <c r="E290" s="38">
        <f t="shared" si="2"/>
        <v>0</v>
      </c>
      <c r="F290" s="38">
        <f t="shared" si="2"/>
        <v>0</v>
      </c>
      <c r="G290" s="38">
        <f t="shared" si="2"/>
        <v>0</v>
      </c>
      <c r="H290" s="38">
        <f t="shared" si="2"/>
        <v>0</v>
      </c>
      <c r="I290" s="38">
        <f t="shared" si="2"/>
        <v>0</v>
      </c>
      <c r="J290" s="38">
        <f t="shared" si="2"/>
        <v>0</v>
      </c>
      <c r="K290" s="38">
        <f t="shared" si="4"/>
        <v>0</v>
      </c>
      <c r="L290" s="38">
        <f t="shared" si="4"/>
        <v>0</v>
      </c>
      <c r="M290" s="38"/>
      <c r="N290" s="38"/>
    </row>
    <row r="291" spans="1:14" x14ac:dyDescent="0.2">
      <c r="A291" s="4">
        <v>0</v>
      </c>
      <c r="B291" s="38">
        <f t="shared" si="2"/>
        <v>1200</v>
      </c>
      <c r="C291" s="38">
        <f t="shared" si="2"/>
        <v>2.27</v>
      </c>
      <c r="D291" s="38">
        <f t="shared" si="2"/>
        <v>1200</v>
      </c>
      <c r="E291" s="38">
        <f t="shared" si="2"/>
        <v>0</v>
      </c>
      <c r="F291" s="38">
        <f t="shared" si="2"/>
        <v>0</v>
      </c>
      <c r="G291" s="38">
        <f t="shared" si="2"/>
        <v>0</v>
      </c>
      <c r="H291" s="38">
        <f t="shared" si="2"/>
        <v>0</v>
      </c>
      <c r="I291" s="38">
        <f t="shared" si="2"/>
        <v>0</v>
      </c>
      <c r="J291" s="38">
        <f t="shared" si="2"/>
        <v>0</v>
      </c>
      <c r="K291" s="38">
        <f t="shared" si="4"/>
        <v>0</v>
      </c>
      <c r="L291" s="38">
        <f t="shared" si="4"/>
        <v>0</v>
      </c>
      <c r="M291" s="38"/>
      <c r="N291" s="38"/>
    </row>
    <row r="292" spans="1:14" x14ac:dyDescent="0.2">
      <c r="A292" s="4">
        <v>0</v>
      </c>
      <c r="B292" s="38">
        <f t="shared" si="2"/>
        <v>1200</v>
      </c>
      <c r="C292" s="38">
        <f t="shared" si="2"/>
        <v>2.27</v>
      </c>
      <c r="D292" s="38">
        <f t="shared" si="2"/>
        <v>1200</v>
      </c>
      <c r="E292" s="38">
        <f t="shared" si="2"/>
        <v>0</v>
      </c>
      <c r="F292" s="38">
        <f t="shared" si="2"/>
        <v>0</v>
      </c>
      <c r="G292" s="38">
        <f t="shared" si="2"/>
        <v>0</v>
      </c>
      <c r="H292" s="38">
        <f t="shared" si="2"/>
        <v>0</v>
      </c>
      <c r="I292" s="38">
        <f t="shared" si="2"/>
        <v>0</v>
      </c>
      <c r="J292" s="38">
        <f t="shared" si="2"/>
        <v>0</v>
      </c>
      <c r="K292" s="38">
        <f t="shared" si="4"/>
        <v>0</v>
      </c>
      <c r="L292" s="38">
        <f t="shared" si="4"/>
        <v>0</v>
      </c>
      <c r="M292" s="38"/>
      <c r="N292" s="38"/>
    </row>
    <row r="293" spans="1:14" x14ac:dyDescent="0.2">
      <c r="A293" s="4">
        <v>0</v>
      </c>
      <c r="B293" s="38">
        <f t="shared" si="2"/>
        <v>1200</v>
      </c>
      <c r="C293" s="38">
        <f t="shared" si="2"/>
        <v>2.27</v>
      </c>
      <c r="D293" s="38">
        <f t="shared" si="2"/>
        <v>1200</v>
      </c>
      <c r="E293" s="38">
        <f t="shared" si="2"/>
        <v>0</v>
      </c>
      <c r="F293" s="38">
        <f t="shared" si="2"/>
        <v>0</v>
      </c>
      <c r="G293" s="38">
        <f t="shared" si="2"/>
        <v>0</v>
      </c>
      <c r="H293" s="38">
        <f t="shared" si="2"/>
        <v>0</v>
      </c>
      <c r="I293" s="38">
        <f t="shared" si="2"/>
        <v>0</v>
      </c>
      <c r="J293" s="38">
        <f t="shared" si="2"/>
        <v>0</v>
      </c>
      <c r="K293" s="38">
        <f t="shared" si="4"/>
        <v>0</v>
      </c>
      <c r="L293" s="38">
        <f t="shared" si="4"/>
        <v>0</v>
      </c>
      <c r="M293" s="38"/>
      <c r="N293" s="38"/>
    </row>
    <row r="294" spans="1:14" x14ac:dyDescent="0.2">
      <c r="A294" s="4">
        <v>0</v>
      </c>
      <c r="B294" s="38">
        <f t="shared" si="2"/>
        <v>1200</v>
      </c>
      <c r="C294" s="38">
        <f t="shared" si="2"/>
        <v>2.27</v>
      </c>
      <c r="D294" s="38">
        <f t="shared" si="2"/>
        <v>1200</v>
      </c>
      <c r="E294" s="38">
        <f t="shared" si="2"/>
        <v>0</v>
      </c>
      <c r="F294" s="38">
        <f t="shared" si="2"/>
        <v>0</v>
      </c>
      <c r="G294" s="38">
        <f t="shared" si="2"/>
        <v>0</v>
      </c>
      <c r="H294" s="38">
        <f t="shared" si="2"/>
        <v>0</v>
      </c>
      <c r="I294" s="38">
        <f t="shared" si="2"/>
        <v>0</v>
      </c>
      <c r="J294" s="38">
        <f t="shared" si="2"/>
        <v>0</v>
      </c>
      <c r="K294" s="38">
        <f t="shared" si="4"/>
        <v>0</v>
      </c>
      <c r="L294" s="38">
        <f t="shared" si="4"/>
        <v>0</v>
      </c>
      <c r="M294" s="38"/>
      <c r="N294" s="38"/>
    </row>
    <row r="295" spans="1:14" x14ac:dyDescent="0.2">
      <c r="A295" s="4">
        <v>0</v>
      </c>
      <c r="B295" s="38">
        <f t="shared" si="2"/>
        <v>1200</v>
      </c>
      <c r="C295" s="38">
        <f t="shared" si="2"/>
        <v>2.27</v>
      </c>
      <c r="D295" s="38">
        <f t="shared" si="2"/>
        <v>1200</v>
      </c>
      <c r="E295" s="38">
        <f t="shared" si="2"/>
        <v>0</v>
      </c>
      <c r="F295" s="38">
        <f t="shared" si="2"/>
        <v>0</v>
      </c>
      <c r="G295" s="38">
        <f t="shared" si="2"/>
        <v>0</v>
      </c>
      <c r="H295" s="38">
        <f t="shared" si="2"/>
        <v>0</v>
      </c>
      <c r="I295" s="38">
        <f t="shared" si="2"/>
        <v>0</v>
      </c>
      <c r="J295" s="38">
        <f t="shared" si="2"/>
        <v>0</v>
      </c>
      <c r="K295" s="38">
        <f t="shared" si="4"/>
        <v>0</v>
      </c>
      <c r="L295" s="38">
        <f t="shared" si="4"/>
        <v>0</v>
      </c>
      <c r="M295" s="38"/>
      <c r="N295" s="38"/>
    </row>
    <row r="296" spans="1:14" x14ac:dyDescent="0.2">
      <c r="A296" s="4">
        <v>0</v>
      </c>
      <c r="B296" s="38">
        <f t="shared" si="2"/>
        <v>1200</v>
      </c>
      <c r="C296" s="38">
        <f t="shared" si="2"/>
        <v>2.27</v>
      </c>
      <c r="D296" s="38">
        <f t="shared" si="2"/>
        <v>1200</v>
      </c>
      <c r="E296" s="38">
        <f t="shared" si="2"/>
        <v>0</v>
      </c>
      <c r="F296" s="38">
        <f t="shared" si="2"/>
        <v>0</v>
      </c>
      <c r="G296" s="38">
        <f t="shared" si="2"/>
        <v>0</v>
      </c>
      <c r="H296" s="38">
        <f t="shared" si="2"/>
        <v>0</v>
      </c>
      <c r="I296" s="38">
        <f t="shared" si="2"/>
        <v>0</v>
      </c>
      <c r="J296" s="38">
        <f t="shared" si="2"/>
        <v>0</v>
      </c>
      <c r="K296" s="38">
        <f t="shared" si="4"/>
        <v>0</v>
      </c>
      <c r="L296" s="38">
        <f t="shared" si="4"/>
        <v>0</v>
      </c>
      <c r="M296" s="38"/>
      <c r="N296" s="38"/>
    </row>
    <row r="297" spans="1:14" x14ac:dyDescent="0.2">
      <c r="A297" s="4">
        <v>1</v>
      </c>
      <c r="B297" s="38">
        <f t="shared" si="2"/>
        <v>1200</v>
      </c>
      <c r="C297" s="38">
        <f t="shared" si="2"/>
        <v>2.27</v>
      </c>
      <c r="D297" s="38">
        <f t="shared" si="2"/>
        <v>1200</v>
      </c>
      <c r="E297" s="38">
        <f t="shared" si="2"/>
        <v>0</v>
      </c>
      <c r="F297" s="38">
        <f t="shared" si="2"/>
        <v>0</v>
      </c>
      <c r="G297" s="38">
        <f t="shared" si="2"/>
        <v>0</v>
      </c>
      <c r="H297" s="38">
        <f t="shared" si="2"/>
        <v>0</v>
      </c>
      <c r="I297" s="38">
        <f t="shared" si="2"/>
        <v>0</v>
      </c>
      <c r="J297" s="38">
        <f t="shared" si="2"/>
        <v>0</v>
      </c>
      <c r="K297" s="38">
        <f t="shared" si="4"/>
        <v>0</v>
      </c>
      <c r="L297" s="38">
        <f t="shared" si="4"/>
        <v>0</v>
      </c>
      <c r="M297" s="38"/>
      <c r="N297" s="38"/>
    </row>
    <row r="298" spans="1:14" x14ac:dyDescent="0.2">
      <c r="A298" s="4">
        <v>0</v>
      </c>
      <c r="B298" s="38">
        <f t="shared" si="2"/>
        <v>1200</v>
      </c>
      <c r="C298" s="38">
        <f t="shared" si="2"/>
        <v>2.27</v>
      </c>
      <c r="D298" s="38">
        <f t="shared" si="2"/>
        <v>1200</v>
      </c>
      <c r="E298" s="38">
        <f t="shared" si="2"/>
        <v>0</v>
      </c>
      <c r="F298" s="38">
        <f t="shared" si="2"/>
        <v>0</v>
      </c>
      <c r="G298" s="38">
        <f t="shared" si="2"/>
        <v>0</v>
      </c>
      <c r="H298" s="38">
        <f t="shared" si="2"/>
        <v>0</v>
      </c>
      <c r="I298" s="38">
        <f t="shared" si="2"/>
        <v>0</v>
      </c>
      <c r="J298" s="38">
        <f t="shared" si="2"/>
        <v>0</v>
      </c>
      <c r="K298" s="38">
        <f t="shared" si="4"/>
        <v>0</v>
      </c>
      <c r="L298" s="38">
        <f t="shared" si="4"/>
        <v>0</v>
      </c>
      <c r="M298" s="38"/>
      <c r="N298" s="38"/>
    </row>
    <row r="299" spans="1:14" x14ac:dyDescent="0.2">
      <c r="A299" s="4">
        <v>0</v>
      </c>
      <c r="B299" s="38">
        <f t="shared" si="2"/>
        <v>1200</v>
      </c>
      <c r="C299" s="38">
        <f t="shared" si="2"/>
        <v>2.27</v>
      </c>
      <c r="D299" s="38">
        <f t="shared" si="2"/>
        <v>1200</v>
      </c>
      <c r="E299" s="38">
        <f t="shared" si="2"/>
        <v>0</v>
      </c>
      <c r="F299" s="38">
        <f t="shared" si="2"/>
        <v>0</v>
      </c>
      <c r="G299" s="38">
        <f t="shared" si="2"/>
        <v>0</v>
      </c>
      <c r="H299" s="38">
        <f t="shared" si="2"/>
        <v>0</v>
      </c>
      <c r="I299" s="38">
        <f t="shared" si="2"/>
        <v>0</v>
      </c>
      <c r="J299" s="38">
        <f t="shared" si="2"/>
        <v>0</v>
      </c>
      <c r="K299" s="38">
        <f t="shared" si="4"/>
        <v>0</v>
      </c>
      <c r="L299" s="38">
        <f t="shared" si="4"/>
        <v>0</v>
      </c>
      <c r="M299" s="38"/>
      <c r="N299" s="38"/>
    </row>
    <row r="300" spans="1:14" x14ac:dyDescent="0.2">
      <c r="A300" s="4">
        <v>0</v>
      </c>
      <c r="B300" s="38">
        <f t="shared" si="2"/>
        <v>1200</v>
      </c>
      <c r="C300" s="38">
        <f t="shared" si="2"/>
        <v>2.27</v>
      </c>
      <c r="D300" s="38">
        <f t="shared" si="2"/>
        <v>1200</v>
      </c>
      <c r="E300" s="38">
        <f t="shared" si="2"/>
        <v>0</v>
      </c>
      <c r="F300" s="38">
        <f t="shared" si="2"/>
        <v>0</v>
      </c>
      <c r="G300" s="38">
        <f t="shared" si="2"/>
        <v>0</v>
      </c>
      <c r="H300" s="38">
        <f t="shared" si="2"/>
        <v>0</v>
      </c>
      <c r="I300" s="38">
        <f t="shared" si="2"/>
        <v>0</v>
      </c>
      <c r="J300" s="38">
        <f t="shared" si="2"/>
        <v>0</v>
      </c>
      <c r="K300" s="38">
        <f t="shared" si="4"/>
        <v>0</v>
      </c>
      <c r="L300" s="38">
        <f t="shared" si="4"/>
        <v>0</v>
      </c>
      <c r="M300" s="38"/>
      <c r="N300" s="38"/>
    </row>
    <row r="301" spans="1:14" x14ac:dyDescent="0.2">
      <c r="A301" s="4">
        <v>0</v>
      </c>
      <c r="B301" s="38">
        <f t="shared" ref="B301:J324" si="5">D24</f>
        <v>1200</v>
      </c>
      <c r="C301" s="38">
        <f t="shared" si="5"/>
        <v>2.27</v>
      </c>
      <c r="D301" s="38">
        <f t="shared" si="5"/>
        <v>1200</v>
      </c>
      <c r="E301" s="38">
        <f t="shared" si="5"/>
        <v>0</v>
      </c>
      <c r="F301" s="38">
        <f t="shared" si="5"/>
        <v>0</v>
      </c>
      <c r="G301" s="38">
        <f t="shared" si="5"/>
        <v>0</v>
      </c>
      <c r="H301" s="38">
        <f t="shared" si="5"/>
        <v>0</v>
      </c>
      <c r="I301" s="38">
        <f t="shared" si="5"/>
        <v>0</v>
      </c>
      <c r="J301" s="38">
        <f t="shared" si="5"/>
        <v>0</v>
      </c>
      <c r="K301" s="38">
        <f t="shared" si="4"/>
        <v>0</v>
      </c>
      <c r="L301" s="38">
        <f t="shared" si="4"/>
        <v>0</v>
      </c>
      <c r="M301" s="38"/>
      <c r="N301" s="38"/>
    </row>
    <row r="302" spans="1:14" x14ac:dyDescent="0.2">
      <c r="A302" s="4">
        <v>0</v>
      </c>
      <c r="B302" s="38">
        <f t="shared" si="5"/>
        <v>1200</v>
      </c>
      <c r="C302" s="38">
        <f t="shared" si="5"/>
        <v>2.27</v>
      </c>
      <c r="D302" s="38">
        <f t="shared" si="5"/>
        <v>1200</v>
      </c>
      <c r="E302" s="38">
        <f t="shared" si="5"/>
        <v>0</v>
      </c>
      <c r="F302" s="38">
        <f t="shared" si="5"/>
        <v>0</v>
      </c>
      <c r="G302" s="38">
        <f t="shared" si="5"/>
        <v>0</v>
      </c>
      <c r="H302" s="38">
        <f t="shared" si="5"/>
        <v>0</v>
      </c>
      <c r="I302" s="38">
        <f t="shared" si="5"/>
        <v>0</v>
      </c>
      <c r="J302" s="38">
        <f t="shared" si="5"/>
        <v>0</v>
      </c>
      <c r="K302" s="38">
        <f t="shared" si="4"/>
        <v>0</v>
      </c>
      <c r="L302" s="38">
        <f t="shared" si="4"/>
        <v>0</v>
      </c>
      <c r="M302" s="38"/>
      <c r="N302" s="38"/>
    </row>
    <row r="303" spans="1:14" x14ac:dyDescent="0.2">
      <c r="A303" s="4">
        <v>0</v>
      </c>
      <c r="B303" s="38">
        <f t="shared" si="5"/>
        <v>1200</v>
      </c>
      <c r="C303" s="38">
        <f t="shared" si="5"/>
        <v>2.27</v>
      </c>
      <c r="D303" s="38">
        <f t="shared" si="5"/>
        <v>1200</v>
      </c>
      <c r="E303" s="38">
        <f t="shared" si="5"/>
        <v>0</v>
      </c>
      <c r="F303" s="38">
        <f t="shared" si="5"/>
        <v>0</v>
      </c>
      <c r="G303" s="38">
        <f t="shared" si="5"/>
        <v>0</v>
      </c>
      <c r="H303" s="38">
        <f t="shared" si="5"/>
        <v>0</v>
      </c>
      <c r="I303" s="38">
        <f t="shared" si="5"/>
        <v>0</v>
      </c>
      <c r="J303" s="38">
        <f t="shared" si="5"/>
        <v>0</v>
      </c>
      <c r="K303" s="38">
        <f t="shared" si="4"/>
        <v>0</v>
      </c>
      <c r="L303" s="38">
        <f t="shared" si="4"/>
        <v>0</v>
      </c>
      <c r="M303" s="38"/>
      <c r="N303" s="38"/>
    </row>
    <row r="304" spans="1:14" x14ac:dyDescent="0.2">
      <c r="A304" s="4">
        <v>0</v>
      </c>
      <c r="B304" s="38">
        <f t="shared" si="5"/>
        <v>1200</v>
      </c>
      <c r="C304" s="38">
        <f t="shared" si="5"/>
        <v>2.27</v>
      </c>
      <c r="D304" s="38">
        <f t="shared" si="5"/>
        <v>1200</v>
      </c>
      <c r="E304" s="38">
        <f t="shared" si="5"/>
        <v>0</v>
      </c>
      <c r="F304" s="38">
        <f t="shared" si="5"/>
        <v>0</v>
      </c>
      <c r="G304" s="38">
        <f t="shared" si="5"/>
        <v>0</v>
      </c>
      <c r="H304" s="38">
        <f t="shared" si="5"/>
        <v>0</v>
      </c>
      <c r="I304" s="38">
        <f t="shared" si="5"/>
        <v>0</v>
      </c>
      <c r="J304" s="38">
        <f t="shared" si="5"/>
        <v>0</v>
      </c>
      <c r="K304" s="38">
        <f t="shared" si="4"/>
        <v>0</v>
      </c>
      <c r="L304" s="38">
        <f t="shared" si="4"/>
        <v>0</v>
      </c>
      <c r="M304" s="38"/>
      <c r="N304" s="38"/>
    </row>
    <row r="305" spans="1:14" x14ac:dyDescent="0.2">
      <c r="A305" s="4">
        <v>0</v>
      </c>
      <c r="B305" s="38">
        <f t="shared" si="5"/>
        <v>1200</v>
      </c>
      <c r="C305" s="38">
        <f t="shared" si="5"/>
        <v>2.27</v>
      </c>
      <c r="D305" s="38">
        <f t="shared" si="5"/>
        <v>1200</v>
      </c>
      <c r="E305" s="38">
        <f t="shared" si="5"/>
        <v>0</v>
      </c>
      <c r="F305" s="38">
        <f t="shared" si="5"/>
        <v>0</v>
      </c>
      <c r="G305" s="38">
        <f t="shared" si="5"/>
        <v>0</v>
      </c>
      <c r="H305" s="38">
        <f t="shared" si="5"/>
        <v>0</v>
      </c>
      <c r="I305" s="38">
        <f t="shared" si="5"/>
        <v>0</v>
      </c>
      <c r="J305" s="38">
        <f t="shared" si="5"/>
        <v>0</v>
      </c>
      <c r="K305" s="38">
        <f t="shared" si="4"/>
        <v>0</v>
      </c>
      <c r="L305" s="38">
        <f t="shared" si="4"/>
        <v>0</v>
      </c>
      <c r="M305" s="38"/>
      <c r="N305" s="38"/>
    </row>
    <row r="306" spans="1:14" x14ac:dyDescent="0.2">
      <c r="A306" s="4">
        <v>0</v>
      </c>
      <c r="B306" s="38">
        <f t="shared" si="5"/>
        <v>1200</v>
      </c>
      <c r="C306" s="38">
        <f t="shared" si="5"/>
        <v>2.27</v>
      </c>
      <c r="D306" s="38">
        <f t="shared" si="5"/>
        <v>1200</v>
      </c>
      <c r="E306" s="38">
        <f t="shared" si="5"/>
        <v>0</v>
      </c>
      <c r="F306" s="38">
        <f t="shared" si="5"/>
        <v>0</v>
      </c>
      <c r="G306" s="38">
        <f t="shared" si="5"/>
        <v>0</v>
      </c>
      <c r="H306" s="38">
        <f t="shared" si="5"/>
        <v>0</v>
      </c>
      <c r="I306" s="38">
        <f t="shared" si="5"/>
        <v>0</v>
      </c>
      <c r="J306" s="38">
        <f t="shared" si="5"/>
        <v>0</v>
      </c>
      <c r="K306" s="38">
        <f t="shared" si="4"/>
        <v>0</v>
      </c>
      <c r="L306" s="38">
        <f t="shared" si="4"/>
        <v>0</v>
      </c>
      <c r="M306" s="38"/>
      <c r="N306" s="38"/>
    </row>
    <row r="307" spans="1:14" x14ac:dyDescent="0.2">
      <c r="A307" s="4">
        <v>0</v>
      </c>
      <c r="B307" s="38">
        <f t="shared" si="5"/>
        <v>1200</v>
      </c>
      <c r="C307" s="38">
        <f t="shared" si="5"/>
        <v>2.27</v>
      </c>
      <c r="D307" s="38">
        <f t="shared" si="5"/>
        <v>1200</v>
      </c>
      <c r="E307" s="38">
        <f t="shared" si="5"/>
        <v>0</v>
      </c>
      <c r="F307" s="38">
        <f t="shared" si="5"/>
        <v>0</v>
      </c>
      <c r="G307" s="38">
        <f t="shared" si="5"/>
        <v>0</v>
      </c>
      <c r="H307" s="38">
        <f t="shared" si="5"/>
        <v>0</v>
      </c>
      <c r="I307" s="38">
        <f t="shared" si="5"/>
        <v>0</v>
      </c>
      <c r="J307" s="38">
        <f t="shared" si="5"/>
        <v>0</v>
      </c>
      <c r="K307" s="38">
        <f t="shared" si="4"/>
        <v>0</v>
      </c>
      <c r="L307" s="38">
        <f t="shared" si="4"/>
        <v>0</v>
      </c>
      <c r="M307" s="38"/>
      <c r="N307" s="38"/>
    </row>
    <row r="308" spans="1:14" x14ac:dyDescent="0.2">
      <c r="A308" s="4">
        <v>0</v>
      </c>
      <c r="B308" s="38">
        <f t="shared" si="5"/>
        <v>1200</v>
      </c>
      <c r="C308" s="38">
        <f t="shared" si="5"/>
        <v>2.27</v>
      </c>
      <c r="D308" s="38">
        <f t="shared" si="5"/>
        <v>1200</v>
      </c>
      <c r="E308" s="38">
        <f t="shared" si="5"/>
        <v>0</v>
      </c>
      <c r="F308" s="38">
        <f t="shared" si="5"/>
        <v>0</v>
      </c>
      <c r="G308" s="38">
        <f t="shared" si="5"/>
        <v>0</v>
      </c>
      <c r="H308" s="38">
        <f t="shared" si="5"/>
        <v>0</v>
      </c>
      <c r="I308" s="38">
        <f t="shared" si="5"/>
        <v>0</v>
      </c>
      <c r="J308" s="38">
        <f t="shared" si="5"/>
        <v>0</v>
      </c>
      <c r="K308" s="38">
        <f t="shared" si="4"/>
        <v>0</v>
      </c>
      <c r="L308" s="38">
        <f t="shared" si="4"/>
        <v>0</v>
      </c>
      <c r="M308" s="38"/>
      <c r="N308" s="38"/>
    </row>
    <row r="309" spans="1:14" x14ac:dyDescent="0.2">
      <c r="A309" s="4">
        <v>0</v>
      </c>
      <c r="B309" s="38">
        <f t="shared" si="5"/>
        <v>1200</v>
      </c>
      <c r="C309" s="38">
        <f t="shared" si="5"/>
        <v>2.27</v>
      </c>
      <c r="D309" s="38">
        <f t="shared" si="5"/>
        <v>1200</v>
      </c>
      <c r="E309" s="38">
        <f t="shared" si="5"/>
        <v>0</v>
      </c>
      <c r="F309" s="38">
        <f t="shared" si="5"/>
        <v>0</v>
      </c>
      <c r="G309" s="38">
        <f t="shared" si="5"/>
        <v>0</v>
      </c>
      <c r="H309" s="38">
        <f t="shared" si="5"/>
        <v>0</v>
      </c>
      <c r="I309" s="38">
        <f t="shared" si="5"/>
        <v>0</v>
      </c>
      <c r="J309" s="38">
        <f t="shared" si="5"/>
        <v>0</v>
      </c>
      <c r="K309" s="38">
        <f t="shared" si="4"/>
        <v>0</v>
      </c>
      <c r="L309" s="38">
        <f t="shared" si="4"/>
        <v>0</v>
      </c>
      <c r="M309" s="38"/>
      <c r="N309" s="38"/>
    </row>
    <row r="310" spans="1:14" x14ac:dyDescent="0.2">
      <c r="A310" s="4">
        <v>0</v>
      </c>
      <c r="B310" s="38">
        <f t="shared" si="5"/>
        <v>1200</v>
      </c>
      <c r="C310" s="38">
        <f t="shared" si="5"/>
        <v>2.27</v>
      </c>
      <c r="D310" s="38">
        <f t="shared" si="5"/>
        <v>1200</v>
      </c>
      <c r="E310" s="38">
        <f t="shared" si="5"/>
        <v>0</v>
      </c>
      <c r="F310" s="38">
        <f t="shared" si="5"/>
        <v>0</v>
      </c>
      <c r="G310" s="38">
        <f t="shared" si="5"/>
        <v>0</v>
      </c>
      <c r="H310" s="38">
        <f t="shared" si="5"/>
        <v>0</v>
      </c>
      <c r="I310" s="38">
        <f t="shared" si="5"/>
        <v>0</v>
      </c>
      <c r="J310" s="38">
        <f t="shared" si="5"/>
        <v>0</v>
      </c>
      <c r="K310" s="38">
        <f t="shared" si="4"/>
        <v>0</v>
      </c>
      <c r="L310" s="38">
        <f t="shared" si="4"/>
        <v>0</v>
      </c>
      <c r="M310" s="38"/>
      <c r="N310" s="38"/>
    </row>
    <row r="311" spans="1:14" x14ac:dyDescent="0.2">
      <c r="A311" s="4">
        <v>0</v>
      </c>
      <c r="B311" s="38">
        <f t="shared" si="5"/>
        <v>1200</v>
      </c>
      <c r="C311" s="38">
        <f t="shared" si="5"/>
        <v>2.27</v>
      </c>
      <c r="D311" s="38">
        <f t="shared" si="5"/>
        <v>1200</v>
      </c>
      <c r="E311" s="38">
        <f t="shared" si="5"/>
        <v>0</v>
      </c>
      <c r="F311" s="38">
        <f t="shared" si="5"/>
        <v>0</v>
      </c>
      <c r="G311" s="38">
        <f t="shared" si="5"/>
        <v>0</v>
      </c>
      <c r="H311" s="38">
        <f t="shared" si="5"/>
        <v>0</v>
      </c>
      <c r="I311" s="38">
        <f t="shared" si="5"/>
        <v>0</v>
      </c>
      <c r="J311" s="38">
        <f t="shared" si="5"/>
        <v>0</v>
      </c>
      <c r="K311" s="38">
        <f t="shared" si="4"/>
        <v>0</v>
      </c>
      <c r="L311" s="38">
        <f t="shared" si="4"/>
        <v>0</v>
      </c>
      <c r="M311" s="38"/>
      <c r="N311" s="38"/>
    </row>
    <row r="312" spans="1:14" x14ac:dyDescent="0.2">
      <c r="A312" s="4">
        <v>0</v>
      </c>
      <c r="B312" s="38">
        <f t="shared" si="5"/>
        <v>1200</v>
      </c>
      <c r="C312" s="38">
        <f t="shared" si="5"/>
        <v>2.27</v>
      </c>
      <c r="D312" s="38">
        <f t="shared" si="5"/>
        <v>1200</v>
      </c>
      <c r="E312" s="38">
        <f t="shared" si="5"/>
        <v>0</v>
      </c>
      <c r="F312" s="38">
        <f t="shared" si="5"/>
        <v>0</v>
      </c>
      <c r="G312" s="38">
        <f t="shared" si="5"/>
        <v>0</v>
      </c>
      <c r="H312" s="38">
        <f t="shared" si="5"/>
        <v>0</v>
      </c>
      <c r="I312" s="38">
        <f t="shared" si="5"/>
        <v>0</v>
      </c>
      <c r="J312" s="38">
        <f t="shared" si="5"/>
        <v>0</v>
      </c>
      <c r="K312" s="38">
        <f t="shared" si="4"/>
        <v>0</v>
      </c>
      <c r="L312" s="38">
        <f t="shared" si="4"/>
        <v>0</v>
      </c>
      <c r="M312" s="38"/>
      <c r="N312" s="38"/>
    </row>
    <row r="313" spans="1:14" x14ac:dyDescent="0.2">
      <c r="A313" s="4">
        <v>0</v>
      </c>
      <c r="B313" s="38">
        <f t="shared" si="5"/>
        <v>1200</v>
      </c>
      <c r="C313" s="38">
        <f t="shared" si="5"/>
        <v>2.27</v>
      </c>
      <c r="D313" s="38">
        <f t="shared" si="5"/>
        <v>1200</v>
      </c>
      <c r="E313" s="38">
        <f t="shared" si="5"/>
        <v>0</v>
      </c>
      <c r="F313" s="38">
        <f t="shared" si="5"/>
        <v>0</v>
      </c>
      <c r="G313" s="38">
        <f t="shared" si="5"/>
        <v>0</v>
      </c>
      <c r="H313" s="38">
        <f t="shared" si="5"/>
        <v>0</v>
      </c>
      <c r="I313" s="38">
        <f t="shared" si="5"/>
        <v>0</v>
      </c>
      <c r="J313" s="38">
        <f t="shared" si="5"/>
        <v>0</v>
      </c>
      <c r="K313" s="38">
        <f t="shared" si="4"/>
        <v>0</v>
      </c>
      <c r="L313" s="38">
        <f t="shared" si="4"/>
        <v>0</v>
      </c>
      <c r="M313" s="38"/>
      <c r="N313" s="38"/>
    </row>
    <row r="314" spans="1:14" x14ac:dyDescent="0.2">
      <c r="A314" s="4">
        <v>0</v>
      </c>
      <c r="B314" s="38">
        <f t="shared" si="5"/>
        <v>1200</v>
      </c>
      <c r="C314" s="38">
        <f t="shared" si="5"/>
        <v>2.27</v>
      </c>
      <c r="D314" s="38">
        <f t="shared" si="5"/>
        <v>1200</v>
      </c>
      <c r="E314" s="38">
        <f t="shared" si="5"/>
        <v>0</v>
      </c>
      <c r="F314" s="38">
        <f t="shared" si="5"/>
        <v>0</v>
      </c>
      <c r="G314" s="38">
        <f t="shared" si="5"/>
        <v>0</v>
      </c>
      <c r="H314" s="38">
        <f t="shared" si="5"/>
        <v>0</v>
      </c>
      <c r="I314" s="38">
        <f t="shared" si="5"/>
        <v>0</v>
      </c>
      <c r="J314" s="38">
        <f t="shared" si="5"/>
        <v>0</v>
      </c>
      <c r="K314" s="38">
        <f t="shared" si="4"/>
        <v>0</v>
      </c>
      <c r="L314" s="38">
        <f t="shared" si="4"/>
        <v>0</v>
      </c>
      <c r="M314" s="38"/>
      <c r="N314" s="38"/>
    </row>
    <row r="315" spans="1:14" x14ac:dyDescent="0.2">
      <c r="A315" s="4">
        <v>0</v>
      </c>
      <c r="B315" s="38">
        <f t="shared" si="5"/>
        <v>1200</v>
      </c>
      <c r="C315" s="38">
        <f t="shared" si="5"/>
        <v>2.27</v>
      </c>
      <c r="D315" s="38">
        <f t="shared" si="5"/>
        <v>1200</v>
      </c>
      <c r="E315" s="38">
        <f t="shared" si="5"/>
        <v>0</v>
      </c>
      <c r="F315" s="38">
        <f t="shared" si="5"/>
        <v>0</v>
      </c>
      <c r="G315" s="38">
        <f t="shared" si="5"/>
        <v>0</v>
      </c>
      <c r="H315" s="38">
        <f t="shared" si="5"/>
        <v>0</v>
      </c>
      <c r="I315" s="38">
        <f t="shared" si="5"/>
        <v>0</v>
      </c>
      <c r="J315" s="38">
        <f t="shared" si="5"/>
        <v>0</v>
      </c>
      <c r="K315" s="38">
        <f t="shared" si="4"/>
        <v>0</v>
      </c>
      <c r="L315" s="38">
        <f t="shared" si="4"/>
        <v>0</v>
      </c>
      <c r="M315" s="38"/>
      <c r="N315" s="38"/>
    </row>
    <row r="316" spans="1:14" x14ac:dyDescent="0.2">
      <c r="A316" s="4">
        <v>0</v>
      </c>
      <c r="B316" s="38">
        <f t="shared" si="5"/>
        <v>1200</v>
      </c>
      <c r="C316" s="38">
        <f t="shared" si="5"/>
        <v>2.27</v>
      </c>
      <c r="D316" s="38">
        <f t="shared" si="5"/>
        <v>1200</v>
      </c>
      <c r="E316" s="38">
        <f t="shared" si="5"/>
        <v>0</v>
      </c>
      <c r="F316" s="38">
        <f t="shared" si="5"/>
        <v>0</v>
      </c>
      <c r="G316" s="38">
        <f t="shared" si="5"/>
        <v>0</v>
      </c>
      <c r="H316" s="38">
        <f t="shared" si="5"/>
        <v>0</v>
      </c>
      <c r="I316" s="38">
        <f t="shared" si="5"/>
        <v>0</v>
      </c>
      <c r="J316" s="38">
        <f t="shared" si="5"/>
        <v>0</v>
      </c>
      <c r="K316" s="38">
        <f t="shared" si="4"/>
        <v>0</v>
      </c>
      <c r="L316" s="38">
        <f t="shared" si="4"/>
        <v>0</v>
      </c>
      <c r="M316" s="38"/>
      <c r="N316" s="38"/>
    </row>
    <row r="317" spans="1:14" x14ac:dyDescent="0.2">
      <c r="A317" s="4">
        <v>0</v>
      </c>
      <c r="B317" s="38">
        <f t="shared" si="5"/>
        <v>1233.93</v>
      </c>
      <c r="C317" s="38">
        <f t="shared" si="5"/>
        <v>2.27</v>
      </c>
      <c r="D317" s="38">
        <f t="shared" si="5"/>
        <v>1200</v>
      </c>
      <c r="E317" s="38">
        <f t="shared" si="5"/>
        <v>0</v>
      </c>
      <c r="F317" s="38">
        <f t="shared" si="5"/>
        <v>0</v>
      </c>
      <c r="G317" s="38">
        <f t="shared" si="5"/>
        <v>0</v>
      </c>
      <c r="H317" s="38">
        <f t="shared" si="5"/>
        <v>33.93</v>
      </c>
      <c r="I317" s="38">
        <f t="shared" si="5"/>
        <v>0</v>
      </c>
      <c r="J317" s="38">
        <f t="shared" si="5"/>
        <v>0</v>
      </c>
      <c r="K317" s="38">
        <f t="shared" si="4"/>
        <v>0</v>
      </c>
      <c r="L317" s="38">
        <f t="shared" si="4"/>
        <v>0</v>
      </c>
      <c r="M317" s="38"/>
      <c r="N317" s="38"/>
    </row>
    <row r="318" spans="1:14" x14ac:dyDescent="0.2">
      <c r="A318" s="4">
        <v>0</v>
      </c>
      <c r="B318" s="38">
        <f t="shared" si="5"/>
        <v>1233.93</v>
      </c>
      <c r="C318" s="38">
        <f t="shared" si="5"/>
        <v>2.27</v>
      </c>
      <c r="D318" s="38">
        <f t="shared" si="5"/>
        <v>1200</v>
      </c>
      <c r="E318" s="38">
        <f t="shared" si="5"/>
        <v>0</v>
      </c>
      <c r="F318" s="38">
        <f t="shared" si="5"/>
        <v>0</v>
      </c>
      <c r="G318" s="38">
        <f t="shared" si="5"/>
        <v>33.93</v>
      </c>
      <c r="H318" s="38">
        <f t="shared" si="5"/>
        <v>0</v>
      </c>
      <c r="I318" s="38">
        <f t="shared" si="5"/>
        <v>0</v>
      </c>
      <c r="J318" s="38">
        <f t="shared" si="5"/>
        <v>0</v>
      </c>
      <c r="K318" s="38">
        <f t="shared" ref="K318:L349" si="6">O41</f>
        <v>0</v>
      </c>
      <c r="L318" s="38">
        <f t="shared" si="6"/>
        <v>0</v>
      </c>
      <c r="M318" s="38"/>
      <c r="N318" s="38"/>
    </row>
    <row r="319" spans="1:14" x14ac:dyDescent="0.2">
      <c r="A319" s="4">
        <v>0</v>
      </c>
      <c r="B319" s="38">
        <f t="shared" si="5"/>
        <v>1233.93</v>
      </c>
      <c r="C319" s="38">
        <f t="shared" si="5"/>
        <v>2.27</v>
      </c>
      <c r="D319" s="38">
        <f t="shared" si="5"/>
        <v>1200</v>
      </c>
      <c r="E319" s="38">
        <f t="shared" si="5"/>
        <v>0</v>
      </c>
      <c r="F319" s="38">
        <f t="shared" si="5"/>
        <v>0</v>
      </c>
      <c r="G319" s="38">
        <f t="shared" si="5"/>
        <v>33.93</v>
      </c>
      <c r="H319" s="38">
        <f t="shared" si="5"/>
        <v>0</v>
      </c>
      <c r="I319" s="38">
        <f t="shared" si="5"/>
        <v>0</v>
      </c>
      <c r="J319" s="38">
        <f t="shared" si="5"/>
        <v>0</v>
      </c>
      <c r="K319" s="38">
        <f t="shared" si="6"/>
        <v>0</v>
      </c>
      <c r="L319" s="38">
        <f t="shared" si="6"/>
        <v>0</v>
      </c>
      <c r="M319" s="38"/>
      <c r="N319" s="38"/>
    </row>
    <row r="320" spans="1:14" x14ac:dyDescent="0.2">
      <c r="A320" s="4">
        <v>0</v>
      </c>
      <c r="B320" s="38">
        <f t="shared" si="5"/>
        <v>1200</v>
      </c>
      <c r="C320" s="38">
        <f t="shared" si="5"/>
        <v>2.27</v>
      </c>
      <c r="D320" s="38">
        <f t="shared" si="5"/>
        <v>1200</v>
      </c>
      <c r="E320" s="38">
        <f t="shared" si="5"/>
        <v>0</v>
      </c>
      <c r="F320" s="38">
        <f t="shared" si="5"/>
        <v>0</v>
      </c>
      <c r="G320" s="38">
        <f t="shared" si="5"/>
        <v>0</v>
      </c>
      <c r="H320" s="38">
        <f t="shared" si="5"/>
        <v>0</v>
      </c>
      <c r="I320" s="38">
        <f t="shared" si="5"/>
        <v>0</v>
      </c>
      <c r="J320" s="38">
        <f t="shared" si="5"/>
        <v>0</v>
      </c>
      <c r="K320" s="38">
        <f t="shared" si="6"/>
        <v>0</v>
      </c>
      <c r="L320" s="38">
        <f t="shared" si="6"/>
        <v>0</v>
      </c>
      <c r="M320" s="38"/>
      <c r="N320" s="38"/>
    </row>
    <row r="321" spans="1:14" x14ac:dyDescent="0.2">
      <c r="A321" s="4">
        <v>0</v>
      </c>
      <c r="B321" s="38">
        <f t="shared" si="5"/>
        <v>1200</v>
      </c>
      <c r="C321" s="38">
        <f t="shared" si="5"/>
        <v>2.27</v>
      </c>
      <c r="D321" s="38">
        <f t="shared" si="5"/>
        <v>1200</v>
      </c>
      <c r="E321" s="38">
        <f t="shared" si="5"/>
        <v>0</v>
      </c>
      <c r="F321" s="38">
        <f t="shared" si="5"/>
        <v>0</v>
      </c>
      <c r="G321" s="38">
        <f t="shared" si="5"/>
        <v>0</v>
      </c>
      <c r="H321" s="38">
        <f t="shared" si="5"/>
        <v>0</v>
      </c>
      <c r="I321" s="38">
        <f t="shared" si="5"/>
        <v>0</v>
      </c>
      <c r="J321" s="38">
        <f t="shared" si="5"/>
        <v>0</v>
      </c>
      <c r="K321" s="38">
        <f t="shared" si="6"/>
        <v>0</v>
      </c>
      <c r="L321" s="38">
        <f t="shared" si="6"/>
        <v>0</v>
      </c>
      <c r="M321" s="38"/>
      <c r="N321" s="38"/>
    </row>
    <row r="322" spans="1:14" x14ac:dyDescent="0.2">
      <c r="A322" s="4">
        <v>0</v>
      </c>
      <c r="B322" s="38">
        <f t="shared" si="5"/>
        <v>1200</v>
      </c>
      <c r="C322" s="38">
        <f t="shared" si="5"/>
        <v>2.27</v>
      </c>
      <c r="D322" s="38">
        <f t="shared" si="5"/>
        <v>1200</v>
      </c>
      <c r="E322" s="38">
        <f t="shared" si="5"/>
        <v>0</v>
      </c>
      <c r="F322" s="38">
        <f t="shared" si="5"/>
        <v>0</v>
      </c>
      <c r="G322" s="38">
        <f t="shared" si="5"/>
        <v>0</v>
      </c>
      <c r="H322" s="38">
        <f t="shared" si="5"/>
        <v>0</v>
      </c>
      <c r="I322" s="38">
        <f t="shared" si="5"/>
        <v>0</v>
      </c>
      <c r="J322" s="38">
        <f t="shared" si="5"/>
        <v>0</v>
      </c>
      <c r="K322" s="38">
        <f t="shared" si="6"/>
        <v>0</v>
      </c>
      <c r="L322" s="38">
        <f t="shared" si="6"/>
        <v>0</v>
      </c>
      <c r="M322" s="38"/>
      <c r="N322" s="38"/>
    </row>
    <row r="323" spans="1:14" x14ac:dyDescent="0.2">
      <c r="A323" s="4">
        <v>0</v>
      </c>
      <c r="B323" s="38">
        <f t="shared" si="5"/>
        <v>1200</v>
      </c>
      <c r="C323" s="38">
        <f t="shared" si="5"/>
        <v>2.27</v>
      </c>
      <c r="D323" s="38">
        <f t="shared" si="5"/>
        <v>1200</v>
      </c>
      <c r="E323" s="38">
        <f t="shared" si="5"/>
        <v>0</v>
      </c>
      <c r="F323" s="38">
        <f t="shared" si="5"/>
        <v>0</v>
      </c>
      <c r="G323" s="38">
        <f t="shared" si="5"/>
        <v>0</v>
      </c>
      <c r="H323" s="38">
        <f t="shared" si="5"/>
        <v>0</v>
      </c>
      <c r="I323" s="38">
        <f t="shared" si="5"/>
        <v>0</v>
      </c>
      <c r="J323" s="38">
        <f t="shared" si="5"/>
        <v>0</v>
      </c>
      <c r="K323" s="38">
        <f t="shared" si="6"/>
        <v>0</v>
      </c>
      <c r="L323" s="38">
        <f t="shared" si="6"/>
        <v>0</v>
      </c>
      <c r="M323" s="38"/>
      <c r="N323" s="38"/>
    </row>
    <row r="324" spans="1:14" x14ac:dyDescent="0.2">
      <c r="A324" s="4">
        <v>0</v>
      </c>
      <c r="B324" s="38">
        <f t="shared" si="5"/>
        <v>1200</v>
      </c>
      <c r="C324" s="38">
        <f t="shared" si="5"/>
        <v>2.27</v>
      </c>
      <c r="D324" s="38">
        <f t="shared" si="5"/>
        <v>1200</v>
      </c>
      <c r="E324" s="38">
        <f t="shared" si="5"/>
        <v>0</v>
      </c>
      <c r="F324" s="38">
        <f t="shared" si="5"/>
        <v>0</v>
      </c>
      <c r="G324" s="38">
        <f t="shared" si="5"/>
        <v>0</v>
      </c>
      <c r="H324" s="38">
        <f t="shared" si="5"/>
        <v>0</v>
      </c>
      <c r="I324" s="38">
        <f t="shared" si="5"/>
        <v>0</v>
      </c>
      <c r="J324" s="38">
        <f t="shared" si="5"/>
        <v>0</v>
      </c>
      <c r="K324" s="38">
        <f t="shared" si="6"/>
        <v>0</v>
      </c>
      <c r="L324" s="38">
        <f t="shared" si="6"/>
        <v>0</v>
      </c>
      <c r="M324" s="38"/>
      <c r="N324" s="38"/>
    </row>
    <row r="325" spans="1:14" x14ac:dyDescent="0.2">
      <c r="A325" s="4">
        <v>0</v>
      </c>
      <c r="B325" s="38">
        <f t="shared" ref="B325:J353" si="7">D48</f>
        <v>1200</v>
      </c>
      <c r="C325" s="38">
        <f t="shared" si="7"/>
        <v>2.27</v>
      </c>
      <c r="D325" s="38">
        <f t="shared" si="7"/>
        <v>1200</v>
      </c>
      <c r="E325" s="38">
        <f t="shared" si="7"/>
        <v>0</v>
      </c>
      <c r="F325" s="38">
        <f t="shared" si="7"/>
        <v>0</v>
      </c>
      <c r="G325" s="38">
        <f t="shared" si="7"/>
        <v>0</v>
      </c>
      <c r="H325" s="38">
        <f t="shared" si="7"/>
        <v>0</v>
      </c>
      <c r="I325" s="38">
        <f t="shared" si="7"/>
        <v>0</v>
      </c>
      <c r="J325" s="38">
        <f t="shared" si="7"/>
        <v>0</v>
      </c>
      <c r="K325" s="38">
        <f t="shared" si="6"/>
        <v>0</v>
      </c>
      <c r="L325" s="38">
        <f t="shared" si="6"/>
        <v>0</v>
      </c>
      <c r="M325" s="38"/>
      <c r="N325" s="38"/>
    </row>
    <row r="326" spans="1:14" x14ac:dyDescent="0.2">
      <c r="A326" s="4">
        <v>0</v>
      </c>
      <c r="B326" s="38">
        <f t="shared" si="7"/>
        <v>1200</v>
      </c>
      <c r="C326" s="38">
        <f t="shared" si="7"/>
        <v>2.27</v>
      </c>
      <c r="D326" s="38">
        <f t="shared" si="7"/>
        <v>1200</v>
      </c>
      <c r="E326" s="38">
        <f t="shared" si="7"/>
        <v>0</v>
      </c>
      <c r="F326" s="38">
        <f t="shared" si="7"/>
        <v>0</v>
      </c>
      <c r="G326" s="38">
        <f t="shared" si="7"/>
        <v>0</v>
      </c>
      <c r="H326" s="38">
        <f t="shared" si="7"/>
        <v>0</v>
      </c>
      <c r="I326" s="38">
        <f t="shared" si="7"/>
        <v>0</v>
      </c>
      <c r="J326" s="38">
        <f t="shared" si="7"/>
        <v>0</v>
      </c>
      <c r="K326" s="38">
        <f t="shared" si="6"/>
        <v>0</v>
      </c>
      <c r="L326" s="38">
        <f t="shared" si="6"/>
        <v>0</v>
      </c>
      <c r="M326" s="38"/>
      <c r="N326" s="38"/>
    </row>
    <row r="327" spans="1:14" x14ac:dyDescent="0.2">
      <c r="A327" s="4">
        <v>0</v>
      </c>
      <c r="B327" s="38">
        <f t="shared" si="7"/>
        <v>1200</v>
      </c>
      <c r="C327" s="38">
        <f t="shared" si="7"/>
        <v>2.27</v>
      </c>
      <c r="D327" s="38">
        <f t="shared" si="7"/>
        <v>1200</v>
      </c>
      <c r="E327" s="38">
        <f t="shared" si="7"/>
        <v>0</v>
      </c>
      <c r="F327" s="38">
        <f t="shared" si="7"/>
        <v>0</v>
      </c>
      <c r="G327" s="38">
        <f t="shared" si="7"/>
        <v>0</v>
      </c>
      <c r="H327" s="38">
        <f t="shared" si="7"/>
        <v>0</v>
      </c>
      <c r="I327" s="38">
        <f t="shared" si="7"/>
        <v>0</v>
      </c>
      <c r="J327" s="38">
        <f t="shared" si="7"/>
        <v>0</v>
      </c>
      <c r="K327" s="38">
        <f t="shared" si="6"/>
        <v>0</v>
      </c>
      <c r="L327" s="38">
        <f t="shared" si="6"/>
        <v>0</v>
      </c>
      <c r="M327" s="38"/>
      <c r="N327" s="38"/>
    </row>
    <row r="328" spans="1:14" x14ac:dyDescent="0.2">
      <c r="A328" s="4">
        <v>0</v>
      </c>
      <c r="B328" s="38">
        <f t="shared" si="7"/>
        <v>1200</v>
      </c>
      <c r="C328" s="38">
        <f t="shared" si="7"/>
        <v>2.27</v>
      </c>
      <c r="D328" s="38">
        <f t="shared" si="7"/>
        <v>1200</v>
      </c>
      <c r="E328" s="38">
        <f t="shared" si="7"/>
        <v>0</v>
      </c>
      <c r="F328" s="38">
        <f t="shared" si="7"/>
        <v>0</v>
      </c>
      <c r="G328" s="38">
        <f t="shared" si="7"/>
        <v>0</v>
      </c>
      <c r="H328" s="38">
        <f t="shared" si="7"/>
        <v>0</v>
      </c>
      <c r="I328" s="38">
        <f t="shared" si="7"/>
        <v>0</v>
      </c>
      <c r="J328" s="38">
        <f t="shared" si="7"/>
        <v>0</v>
      </c>
      <c r="K328" s="38">
        <f t="shared" si="6"/>
        <v>0</v>
      </c>
      <c r="L328" s="38">
        <f t="shared" si="6"/>
        <v>0</v>
      </c>
      <c r="M328" s="38"/>
      <c r="N328" s="38"/>
    </row>
    <row r="329" spans="1:14" x14ac:dyDescent="0.2">
      <c r="A329" s="4">
        <v>0</v>
      </c>
      <c r="B329" s="38">
        <f t="shared" si="7"/>
        <v>1200</v>
      </c>
      <c r="C329" s="38">
        <f t="shared" si="7"/>
        <v>2.27</v>
      </c>
      <c r="D329" s="38">
        <f t="shared" si="7"/>
        <v>1200</v>
      </c>
      <c r="E329" s="38">
        <f t="shared" si="7"/>
        <v>0</v>
      </c>
      <c r="F329" s="38">
        <f t="shared" si="7"/>
        <v>0</v>
      </c>
      <c r="G329" s="38">
        <f t="shared" si="7"/>
        <v>0</v>
      </c>
      <c r="H329" s="38">
        <f t="shared" si="7"/>
        <v>0</v>
      </c>
      <c r="I329" s="38">
        <f t="shared" si="7"/>
        <v>0</v>
      </c>
      <c r="J329" s="38">
        <f t="shared" si="7"/>
        <v>0</v>
      </c>
      <c r="K329" s="38">
        <f t="shared" si="6"/>
        <v>0</v>
      </c>
      <c r="L329" s="38">
        <f t="shared" si="6"/>
        <v>0</v>
      </c>
      <c r="M329" s="38"/>
      <c r="N329" s="38"/>
    </row>
    <row r="330" spans="1:14" x14ac:dyDescent="0.2">
      <c r="A330" s="4">
        <v>0</v>
      </c>
      <c r="B330" s="38">
        <f t="shared" si="7"/>
        <v>1200</v>
      </c>
      <c r="C330" s="38">
        <f t="shared" si="7"/>
        <v>2.27</v>
      </c>
      <c r="D330" s="38">
        <f t="shared" si="7"/>
        <v>1200</v>
      </c>
      <c r="E330" s="38">
        <f t="shared" si="7"/>
        <v>0</v>
      </c>
      <c r="F330" s="38">
        <f t="shared" si="7"/>
        <v>0</v>
      </c>
      <c r="G330" s="38">
        <f t="shared" si="7"/>
        <v>0</v>
      </c>
      <c r="H330" s="38">
        <f t="shared" si="7"/>
        <v>0</v>
      </c>
      <c r="I330" s="38">
        <f t="shared" si="7"/>
        <v>0</v>
      </c>
      <c r="J330" s="38">
        <f t="shared" si="7"/>
        <v>0</v>
      </c>
      <c r="K330" s="38">
        <f t="shared" si="6"/>
        <v>0</v>
      </c>
      <c r="L330" s="38">
        <f t="shared" si="6"/>
        <v>0</v>
      </c>
      <c r="M330" s="38"/>
      <c r="N330" s="38"/>
    </row>
    <row r="331" spans="1:14" x14ac:dyDescent="0.2">
      <c r="A331" s="4">
        <v>0</v>
      </c>
      <c r="B331" s="38">
        <f t="shared" si="7"/>
        <v>1200</v>
      </c>
      <c r="C331" s="38">
        <f t="shared" si="7"/>
        <v>2.27</v>
      </c>
      <c r="D331" s="38">
        <f t="shared" si="7"/>
        <v>1200</v>
      </c>
      <c r="E331" s="38">
        <f t="shared" si="7"/>
        <v>0</v>
      </c>
      <c r="F331" s="38">
        <f t="shared" si="7"/>
        <v>0</v>
      </c>
      <c r="G331" s="38">
        <f t="shared" si="7"/>
        <v>0</v>
      </c>
      <c r="H331" s="38">
        <f t="shared" si="7"/>
        <v>0</v>
      </c>
      <c r="I331" s="38">
        <f t="shared" si="7"/>
        <v>0</v>
      </c>
      <c r="J331" s="38">
        <f t="shared" si="7"/>
        <v>0</v>
      </c>
      <c r="K331" s="38">
        <f t="shared" si="6"/>
        <v>0</v>
      </c>
      <c r="L331" s="38">
        <f t="shared" si="6"/>
        <v>0</v>
      </c>
      <c r="M331" s="38"/>
      <c r="N331" s="38"/>
    </row>
    <row r="332" spans="1:14" x14ac:dyDescent="0.2">
      <c r="A332" s="4">
        <v>0</v>
      </c>
      <c r="B332" s="38">
        <f t="shared" si="7"/>
        <v>1200</v>
      </c>
      <c r="C332" s="38">
        <f t="shared" si="7"/>
        <v>2.27</v>
      </c>
      <c r="D332" s="38">
        <f t="shared" si="7"/>
        <v>1200</v>
      </c>
      <c r="E332" s="38">
        <f t="shared" si="7"/>
        <v>0</v>
      </c>
      <c r="F332" s="38">
        <f t="shared" si="7"/>
        <v>0</v>
      </c>
      <c r="G332" s="38">
        <f t="shared" si="7"/>
        <v>0</v>
      </c>
      <c r="H332" s="38">
        <f t="shared" si="7"/>
        <v>0</v>
      </c>
      <c r="I332" s="38">
        <f t="shared" si="7"/>
        <v>0</v>
      </c>
      <c r="J332" s="38">
        <f t="shared" si="7"/>
        <v>0</v>
      </c>
      <c r="K332" s="38">
        <f t="shared" si="6"/>
        <v>0</v>
      </c>
      <c r="L332" s="38">
        <f t="shared" si="6"/>
        <v>0</v>
      </c>
      <c r="M332" s="38"/>
      <c r="N332" s="38"/>
    </row>
    <row r="333" spans="1:14" x14ac:dyDescent="0.2">
      <c r="A333" s="4">
        <v>0</v>
      </c>
      <c r="B333" s="38">
        <f t="shared" si="7"/>
        <v>1200</v>
      </c>
      <c r="C333" s="38">
        <f t="shared" si="7"/>
        <v>2.27</v>
      </c>
      <c r="D333" s="38">
        <f t="shared" si="7"/>
        <v>1200</v>
      </c>
      <c r="E333" s="38">
        <f t="shared" si="7"/>
        <v>0</v>
      </c>
      <c r="F333" s="38">
        <f t="shared" si="7"/>
        <v>0</v>
      </c>
      <c r="G333" s="38">
        <f t="shared" si="7"/>
        <v>0</v>
      </c>
      <c r="H333" s="38">
        <f t="shared" si="7"/>
        <v>0</v>
      </c>
      <c r="I333" s="38">
        <f t="shared" si="7"/>
        <v>0</v>
      </c>
      <c r="J333" s="38">
        <f t="shared" si="7"/>
        <v>0</v>
      </c>
      <c r="K333" s="38">
        <f t="shared" si="6"/>
        <v>0</v>
      </c>
      <c r="L333" s="38">
        <f t="shared" si="6"/>
        <v>0</v>
      </c>
      <c r="M333" s="38"/>
      <c r="N333" s="38"/>
    </row>
    <row r="334" spans="1:14" x14ac:dyDescent="0.2">
      <c r="A334" s="4">
        <v>0</v>
      </c>
      <c r="B334" s="38">
        <f t="shared" si="7"/>
        <v>1200</v>
      </c>
      <c r="C334" s="38">
        <f t="shared" si="7"/>
        <v>2.27</v>
      </c>
      <c r="D334" s="38">
        <f t="shared" si="7"/>
        <v>1200</v>
      </c>
      <c r="E334" s="38">
        <f t="shared" si="7"/>
        <v>0</v>
      </c>
      <c r="F334" s="38">
        <f t="shared" si="7"/>
        <v>0</v>
      </c>
      <c r="G334" s="38">
        <f t="shared" si="7"/>
        <v>0</v>
      </c>
      <c r="H334" s="38">
        <f t="shared" si="7"/>
        <v>0</v>
      </c>
      <c r="I334" s="38">
        <f t="shared" si="7"/>
        <v>0</v>
      </c>
      <c r="J334" s="38">
        <f t="shared" si="7"/>
        <v>0</v>
      </c>
      <c r="K334" s="38">
        <f t="shared" si="6"/>
        <v>0</v>
      </c>
      <c r="L334" s="38">
        <f t="shared" si="6"/>
        <v>0</v>
      </c>
      <c r="M334" s="38"/>
      <c r="N334" s="38"/>
    </row>
    <row r="335" spans="1:14" x14ac:dyDescent="0.2">
      <c r="A335" s="4">
        <v>0</v>
      </c>
      <c r="B335" s="38">
        <f t="shared" si="7"/>
        <v>1200</v>
      </c>
      <c r="C335" s="38">
        <f t="shared" si="7"/>
        <v>2.27</v>
      </c>
      <c r="D335" s="38">
        <f t="shared" si="7"/>
        <v>1200</v>
      </c>
      <c r="E335" s="38">
        <f t="shared" si="7"/>
        <v>0</v>
      </c>
      <c r="F335" s="38">
        <f t="shared" si="7"/>
        <v>0</v>
      </c>
      <c r="G335" s="38">
        <f t="shared" si="7"/>
        <v>0</v>
      </c>
      <c r="H335" s="38">
        <f t="shared" si="7"/>
        <v>0</v>
      </c>
      <c r="I335" s="38">
        <f t="shared" si="7"/>
        <v>0</v>
      </c>
      <c r="J335" s="38">
        <f t="shared" si="7"/>
        <v>0</v>
      </c>
      <c r="K335" s="38">
        <f t="shared" si="6"/>
        <v>0</v>
      </c>
      <c r="L335" s="38">
        <f t="shared" si="6"/>
        <v>0</v>
      </c>
      <c r="M335" s="38"/>
      <c r="N335" s="38"/>
    </row>
    <row r="336" spans="1:14" x14ac:dyDescent="0.2">
      <c r="A336" s="4">
        <v>0</v>
      </c>
      <c r="B336" s="38">
        <f t="shared" si="7"/>
        <v>1200</v>
      </c>
      <c r="C336" s="38">
        <f t="shared" si="7"/>
        <v>2.27</v>
      </c>
      <c r="D336" s="38">
        <f t="shared" si="7"/>
        <v>1200</v>
      </c>
      <c r="E336" s="38">
        <f t="shared" si="7"/>
        <v>0</v>
      </c>
      <c r="F336" s="38">
        <f t="shared" si="7"/>
        <v>0</v>
      </c>
      <c r="G336" s="38">
        <f t="shared" si="7"/>
        <v>0</v>
      </c>
      <c r="H336" s="38">
        <f t="shared" si="7"/>
        <v>0</v>
      </c>
      <c r="I336" s="38">
        <f t="shared" si="7"/>
        <v>0</v>
      </c>
      <c r="J336" s="38">
        <f t="shared" si="7"/>
        <v>0</v>
      </c>
      <c r="K336" s="38">
        <f t="shared" si="6"/>
        <v>0</v>
      </c>
      <c r="L336" s="38">
        <f t="shared" si="6"/>
        <v>0</v>
      </c>
      <c r="M336" s="38"/>
      <c r="N336" s="38"/>
    </row>
    <row r="337" spans="1:14" x14ac:dyDescent="0.2">
      <c r="A337" s="4">
        <v>0</v>
      </c>
      <c r="B337" s="38">
        <f t="shared" si="7"/>
        <v>1200</v>
      </c>
      <c r="C337" s="38">
        <f t="shared" si="7"/>
        <v>2.27</v>
      </c>
      <c r="D337" s="38">
        <f t="shared" si="7"/>
        <v>1200</v>
      </c>
      <c r="E337" s="38">
        <f t="shared" si="7"/>
        <v>0</v>
      </c>
      <c r="F337" s="38">
        <f t="shared" si="7"/>
        <v>0</v>
      </c>
      <c r="G337" s="38">
        <f t="shared" si="7"/>
        <v>0</v>
      </c>
      <c r="H337" s="38">
        <f t="shared" si="7"/>
        <v>0</v>
      </c>
      <c r="I337" s="38">
        <f t="shared" si="7"/>
        <v>0</v>
      </c>
      <c r="J337" s="38">
        <f t="shared" si="7"/>
        <v>0</v>
      </c>
      <c r="K337" s="38">
        <f t="shared" si="6"/>
        <v>0</v>
      </c>
      <c r="L337" s="38">
        <f t="shared" si="6"/>
        <v>0</v>
      </c>
      <c r="M337" s="38"/>
      <c r="N337" s="38"/>
    </row>
    <row r="338" spans="1:14" x14ac:dyDescent="0.2">
      <c r="A338" s="4">
        <v>0</v>
      </c>
      <c r="B338" s="38">
        <f t="shared" si="7"/>
        <v>1200</v>
      </c>
      <c r="C338" s="38">
        <f t="shared" si="7"/>
        <v>2.27</v>
      </c>
      <c r="D338" s="38">
        <f t="shared" si="7"/>
        <v>1200</v>
      </c>
      <c r="E338" s="38">
        <f t="shared" si="7"/>
        <v>0</v>
      </c>
      <c r="F338" s="38">
        <f t="shared" si="7"/>
        <v>0</v>
      </c>
      <c r="G338" s="38">
        <f t="shared" si="7"/>
        <v>0</v>
      </c>
      <c r="H338" s="38">
        <f t="shared" si="7"/>
        <v>0</v>
      </c>
      <c r="I338" s="38">
        <f t="shared" si="7"/>
        <v>0</v>
      </c>
      <c r="J338" s="38">
        <f t="shared" si="7"/>
        <v>0</v>
      </c>
      <c r="K338" s="38">
        <f t="shared" si="6"/>
        <v>0</v>
      </c>
      <c r="L338" s="38">
        <f t="shared" si="6"/>
        <v>0</v>
      </c>
      <c r="M338" s="38"/>
      <c r="N338" s="38"/>
    </row>
    <row r="339" spans="1:14" x14ac:dyDescent="0.2">
      <c r="A339" s="4">
        <v>0</v>
      </c>
      <c r="B339" s="38">
        <f t="shared" si="7"/>
        <v>1200</v>
      </c>
      <c r="C339" s="38">
        <f t="shared" si="7"/>
        <v>2.27</v>
      </c>
      <c r="D339" s="38">
        <f t="shared" si="7"/>
        <v>1200</v>
      </c>
      <c r="E339" s="38">
        <f t="shared" si="7"/>
        <v>0</v>
      </c>
      <c r="F339" s="38">
        <f t="shared" si="7"/>
        <v>0</v>
      </c>
      <c r="G339" s="38">
        <f t="shared" si="7"/>
        <v>0</v>
      </c>
      <c r="H339" s="38">
        <f t="shared" si="7"/>
        <v>0</v>
      </c>
      <c r="I339" s="38">
        <f t="shared" si="7"/>
        <v>0</v>
      </c>
      <c r="J339" s="38">
        <f t="shared" si="7"/>
        <v>0</v>
      </c>
      <c r="K339" s="38">
        <f t="shared" si="6"/>
        <v>0</v>
      </c>
      <c r="L339" s="38">
        <f t="shared" si="6"/>
        <v>0</v>
      </c>
      <c r="M339" s="38"/>
      <c r="N339" s="38"/>
    </row>
    <row r="340" spans="1:14" x14ac:dyDescent="0.2">
      <c r="A340" s="4">
        <v>0</v>
      </c>
      <c r="B340" s="38">
        <f t="shared" si="7"/>
        <v>1200</v>
      </c>
      <c r="C340" s="38">
        <f t="shared" si="7"/>
        <v>2.27</v>
      </c>
      <c r="D340" s="38">
        <f t="shared" si="7"/>
        <v>1200</v>
      </c>
      <c r="E340" s="38">
        <f t="shared" si="7"/>
        <v>0</v>
      </c>
      <c r="F340" s="38">
        <f t="shared" si="7"/>
        <v>0</v>
      </c>
      <c r="G340" s="38">
        <f t="shared" si="7"/>
        <v>0</v>
      </c>
      <c r="H340" s="38">
        <f t="shared" si="7"/>
        <v>0</v>
      </c>
      <c r="I340" s="38">
        <f t="shared" si="7"/>
        <v>0</v>
      </c>
      <c r="J340" s="38">
        <f t="shared" si="7"/>
        <v>0</v>
      </c>
      <c r="K340" s="38">
        <f t="shared" si="6"/>
        <v>0</v>
      </c>
      <c r="L340" s="38">
        <f t="shared" si="6"/>
        <v>0</v>
      </c>
      <c r="M340" s="38"/>
      <c r="N340" s="38"/>
    </row>
    <row r="341" spans="1:14" x14ac:dyDescent="0.2">
      <c r="A341" s="4">
        <v>0</v>
      </c>
      <c r="B341" s="38">
        <f t="shared" si="7"/>
        <v>1200</v>
      </c>
      <c r="C341" s="38">
        <f t="shared" si="7"/>
        <v>2.27</v>
      </c>
      <c r="D341" s="38">
        <f t="shared" si="7"/>
        <v>1200</v>
      </c>
      <c r="E341" s="38">
        <f t="shared" si="7"/>
        <v>0</v>
      </c>
      <c r="F341" s="38">
        <f t="shared" si="7"/>
        <v>0</v>
      </c>
      <c r="G341" s="38">
        <f t="shared" si="7"/>
        <v>0</v>
      </c>
      <c r="H341" s="38">
        <f t="shared" si="7"/>
        <v>0</v>
      </c>
      <c r="I341" s="38">
        <f t="shared" si="7"/>
        <v>0</v>
      </c>
      <c r="J341" s="38">
        <f t="shared" si="7"/>
        <v>0</v>
      </c>
      <c r="K341" s="38">
        <f t="shared" si="6"/>
        <v>0</v>
      </c>
      <c r="L341" s="38">
        <f t="shared" si="6"/>
        <v>0</v>
      </c>
      <c r="M341" s="38"/>
      <c r="N341" s="38"/>
    </row>
    <row r="342" spans="1:14" x14ac:dyDescent="0.2">
      <c r="A342" s="4">
        <v>0</v>
      </c>
      <c r="B342" s="38">
        <f t="shared" si="7"/>
        <v>1200</v>
      </c>
      <c r="C342" s="38">
        <f t="shared" si="7"/>
        <v>2.27</v>
      </c>
      <c r="D342" s="38">
        <f t="shared" si="7"/>
        <v>1200</v>
      </c>
      <c r="E342" s="38">
        <f t="shared" si="7"/>
        <v>0</v>
      </c>
      <c r="F342" s="38">
        <f t="shared" si="7"/>
        <v>0</v>
      </c>
      <c r="G342" s="38">
        <f t="shared" si="7"/>
        <v>0</v>
      </c>
      <c r="H342" s="38">
        <f t="shared" si="7"/>
        <v>0</v>
      </c>
      <c r="I342" s="38">
        <f t="shared" si="7"/>
        <v>0</v>
      </c>
      <c r="J342" s="38">
        <f t="shared" si="7"/>
        <v>0</v>
      </c>
      <c r="K342" s="38">
        <f t="shared" si="6"/>
        <v>0</v>
      </c>
      <c r="L342" s="38">
        <f t="shared" si="6"/>
        <v>0</v>
      </c>
      <c r="M342" s="38"/>
      <c r="N342" s="38"/>
    </row>
    <row r="343" spans="1:14" x14ac:dyDescent="0.2">
      <c r="A343" s="4">
        <v>0</v>
      </c>
      <c r="B343" s="38">
        <f t="shared" si="7"/>
        <v>1200</v>
      </c>
      <c r="C343" s="38">
        <f t="shared" si="7"/>
        <v>2.27</v>
      </c>
      <c r="D343" s="38">
        <f t="shared" si="7"/>
        <v>1200</v>
      </c>
      <c r="E343" s="38">
        <f t="shared" si="7"/>
        <v>0</v>
      </c>
      <c r="F343" s="38">
        <f t="shared" si="7"/>
        <v>0</v>
      </c>
      <c r="G343" s="38">
        <f t="shared" si="7"/>
        <v>0</v>
      </c>
      <c r="H343" s="38">
        <f t="shared" si="7"/>
        <v>0</v>
      </c>
      <c r="I343" s="38">
        <f t="shared" si="7"/>
        <v>0</v>
      </c>
      <c r="J343" s="38">
        <f t="shared" si="7"/>
        <v>0</v>
      </c>
      <c r="K343" s="38">
        <f t="shared" si="6"/>
        <v>0</v>
      </c>
      <c r="L343" s="38">
        <f t="shared" si="6"/>
        <v>0</v>
      </c>
      <c r="M343" s="38"/>
      <c r="N343" s="38"/>
    </row>
    <row r="344" spans="1:14" x14ac:dyDescent="0.2">
      <c r="A344" s="4">
        <v>0</v>
      </c>
      <c r="B344" s="38">
        <f t="shared" si="7"/>
        <v>1200</v>
      </c>
      <c r="C344" s="38">
        <f t="shared" si="7"/>
        <v>2.27</v>
      </c>
      <c r="D344" s="38">
        <f t="shared" si="7"/>
        <v>1200</v>
      </c>
      <c r="E344" s="38">
        <f t="shared" si="7"/>
        <v>0</v>
      </c>
      <c r="F344" s="38">
        <f t="shared" si="7"/>
        <v>0</v>
      </c>
      <c r="G344" s="38">
        <f t="shared" si="7"/>
        <v>0</v>
      </c>
      <c r="H344" s="38">
        <f t="shared" si="7"/>
        <v>0</v>
      </c>
      <c r="I344" s="38">
        <f t="shared" si="7"/>
        <v>0</v>
      </c>
      <c r="J344" s="38">
        <f t="shared" si="7"/>
        <v>0</v>
      </c>
      <c r="K344" s="38">
        <f t="shared" si="6"/>
        <v>0</v>
      </c>
      <c r="L344" s="38">
        <f t="shared" si="6"/>
        <v>0</v>
      </c>
      <c r="M344" s="38"/>
      <c r="N344" s="38"/>
    </row>
    <row r="345" spans="1:14" x14ac:dyDescent="0.2">
      <c r="A345" s="4">
        <v>0</v>
      </c>
      <c r="B345" s="38">
        <f t="shared" si="7"/>
        <v>1200</v>
      </c>
      <c r="C345" s="38">
        <f t="shared" si="7"/>
        <v>2.27</v>
      </c>
      <c r="D345" s="38">
        <f t="shared" si="7"/>
        <v>1200</v>
      </c>
      <c r="E345" s="38">
        <f t="shared" si="7"/>
        <v>0</v>
      </c>
      <c r="F345" s="38">
        <f t="shared" si="7"/>
        <v>0</v>
      </c>
      <c r="G345" s="38">
        <f t="shared" si="7"/>
        <v>0</v>
      </c>
      <c r="H345" s="38">
        <f t="shared" si="7"/>
        <v>0</v>
      </c>
      <c r="I345" s="38">
        <f t="shared" si="7"/>
        <v>0</v>
      </c>
      <c r="J345" s="38">
        <f t="shared" si="7"/>
        <v>0</v>
      </c>
      <c r="K345" s="38">
        <f t="shared" si="6"/>
        <v>0</v>
      </c>
      <c r="L345" s="38">
        <f t="shared" si="6"/>
        <v>0</v>
      </c>
      <c r="M345" s="38"/>
      <c r="N345" s="38"/>
    </row>
    <row r="346" spans="1:14" x14ac:dyDescent="0.2">
      <c r="A346" s="4">
        <v>0</v>
      </c>
      <c r="B346" s="38">
        <f t="shared" si="7"/>
        <v>1200</v>
      </c>
      <c r="C346" s="38">
        <f t="shared" si="7"/>
        <v>2.27</v>
      </c>
      <c r="D346" s="38">
        <f t="shared" si="7"/>
        <v>1200</v>
      </c>
      <c r="E346" s="38">
        <f t="shared" si="7"/>
        <v>0</v>
      </c>
      <c r="F346" s="38">
        <f t="shared" si="7"/>
        <v>0</v>
      </c>
      <c r="G346" s="38">
        <f t="shared" si="7"/>
        <v>0</v>
      </c>
      <c r="H346" s="38">
        <f t="shared" si="7"/>
        <v>0</v>
      </c>
      <c r="I346" s="38">
        <f t="shared" si="7"/>
        <v>0</v>
      </c>
      <c r="J346" s="38">
        <f t="shared" si="7"/>
        <v>0</v>
      </c>
      <c r="K346" s="38">
        <f t="shared" si="6"/>
        <v>0</v>
      </c>
      <c r="L346" s="38">
        <f t="shared" si="6"/>
        <v>0</v>
      </c>
      <c r="M346" s="38"/>
      <c r="N346" s="38"/>
    </row>
    <row r="347" spans="1:14" x14ac:dyDescent="0.2">
      <c r="A347" s="4">
        <v>0</v>
      </c>
      <c r="B347" s="38">
        <f t="shared" si="7"/>
        <v>1200</v>
      </c>
      <c r="C347" s="38">
        <f t="shared" si="7"/>
        <v>2.27</v>
      </c>
      <c r="D347" s="38">
        <f t="shared" si="7"/>
        <v>1200</v>
      </c>
      <c r="E347" s="38">
        <f t="shared" si="7"/>
        <v>0</v>
      </c>
      <c r="F347" s="38">
        <f t="shared" si="7"/>
        <v>0</v>
      </c>
      <c r="G347" s="38">
        <f t="shared" si="7"/>
        <v>0</v>
      </c>
      <c r="H347" s="38">
        <f t="shared" si="7"/>
        <v>0</v>
      </c>
      <c r="I347" s="38">
        <f t="shared" si="7"/>
        <v>0</v>
      </c>
      <c r="J347" s="38">
        <f t="shared" si="7"/>
        <v>0</v>
      </c>
      <c r="K347" s="38">
        <f t="shared" si="6"/>
        <v>0</v>
      </c>
      <c r="L347" s="38">
        <f t="shared" si="6"/>
        <v>0</v>
      </c>
      <c r="M347" s="38"/>
      <c r="N347" s="38"/>
    </row>
    <row r="348" spans="1:14" x14ac:dyDescent="0.2">
      <c r="A348" s="4">
        <v>0</v>
      </c>
      <c r="B348" s="38">
        <f t="shared" si="7"/>
        <v>1200</v>
      </c>
      <c r="C348" s="38">
        <f t="shared" si="7"/>
        <v>2.27</v>
      </c>
      <c r="D348" s="38">
        <f t="shared" si="7"/>
        <v>1200</v>
      </c>
      <c r="E348" s="38">
        <f t="shared" si="7"/>
        <v>0</v>
      </c>
      <c r="F348" s="38">
        <f t="shared" si="7"/>
        <v>0</v>
      </c>
      <c r="G348" s="38">
        <f t="shared" si="7"/>
        <v>0</v>
      </c>
      <c r="H348" s="38">
        <f t="shared" si="7"/>
        <v>0</v>
      </c>
      <c r="I348" s="38">
        <f t="shared" si="7"/>
        <v>0</v>
      </c>
      <c r="J348" s="38">
        <f t="shared" si="7"/>
        <v>0</v>
      </c>
      <c r="K348" s="38">
        <f t="shared" si="6"/>
        <v>0</v>
      </c>
      <c r="L348" s="38">
        <f t="shared" si="6"/>
        <v>0</v>
      </c>
      <c r="M348" s="38"/>
      <c r="N348" s="38"/>
    </row>
    <row r="349" spans="1:14" x14ac:dyDescent="0.2">
      <c r="A349" s="4">
        <v>0</v>
      </c>
      <c r="B349" s="38">
        <f t="shared" si="7"/>
        <v>1200</v>
      </c>
      <c r="C349" s="38">
        <f t="shared" si="7"/>
        <v>2.27</v>
      </c>
      <c r="D349" s="38">
        <f t="shared" si="7"/>
        <v>1200</v>
      </c>
      <c r="E349" s="38">
        <f t="shared" si="7"/>
        <v>0</v>
      </c>
      <c r="F349" s="38">
        <f t="shared" si="7"/>
        <v>0</v>
      </c>
      <c r="G349" s="38">
        <f t="shared" si="7"/>
        <v>0</v>
      </c>
      <c r="H349" s="38">
        <f t="shared" si="7"/>
        <v>0</v>
      </c>
      <c r="I349" s="38">
        <f t="shared" si="7"/>
        <v>0</v>
      </c>
      <c r="J349" s="38">
        <f t="shared" si="7"/>
        <v>0</v>
      </c>
      <c r="K349" s="38">
        <f t="shared" si="6"/>
        <v>0</v>
      </c>
      <c r="L349" s="38">
        <f t="shared" si="6"/>
        <v>0</v>
      </c>
      <c r="M349" s="38"/>
      <c r="N349" s="38"/>
    </row>
    <row r="350" spans="1:14" x14ac:dyDescent="0.2">
      <c r="A350" s="4">
        <v>0</v>
      </c>
      <c r="B350" s="38">
        <f t="shared" si="7"/>
        <v>1200</v>
      </c>
      <c r="C350" s="38">
        <f t="shared" si="7"/>
        <v>2.27</v>
      </c>
      <c r="D350" s="38">
        <f t="shared" si="7"/>
        <v>1200</v>
      </c>
      <c r="E350" s="38">
        <f t="shared" si="7"/>
        <v>0</v>
      </c>
      <c r="F350" s="38">
        <f t="shared" si="7"/>
        <v>0</v>
      </c>
      <c r="G350" s="38">
        <f t="shared" si="7"/>
        <v>0</v>
      </c>
      <c r="H350" s="38">
        <f t="shared" si="7"/>
        <v>0</v>
      </c>
      <c r="I350" s="38">
        <f t="shared" si="7"/>
        <v>0</v>
      </c>
      <c r="J350" s="38">
        <f t="shared" si="7"/>
        <v>0</v>
      </c>
      <c r="K350" s="38">
        <f t="shared" ref="K350:L381" si="8">O73</f>
        <v>0</v>
      </c>
      <c r="L350" s="38">
        <f t="shared" si="8"/>
        <v>0</v>
      </c>
      <c r="M350" s="38"/>
      <c r="N350" s="38"/>
    </row>
    <row r="351" spans="1:14" x14ac:dyDescent="0.2">
      <c r="A351" s="4">
        <v>0</v>
      </c>
      <c r="B351" s="38">
        <f t="shared" si="7"/>
        <v>1200</v>
      </c>
      <c r="C351" s="38">
        <f t="shared" si="7"/>
        <v>2.27</v>
      </c>
      <c r="D351" s="38">
        <f t="shared" si="7"/>
        <v>1200</v>
      </c>
      <c r="E351" s="38">
        <f t="shared" si="7"/>
        <v>0</v>
      </c>
      <c r="F351" s="38">
        <f t="shared" si="7"/>
        <v>0</v>
      </c>
      <c r="G351" s="38">
        <f t="shared" si="7"/>
        <v>0</v>
      </c>
      <c r="H351" s="38">
        <f t="shared" si="7"/>
        <v>0</v>
      </c>
      <c r="I351" s="38">
        <f t="shared" si="7"/>
        <v>0</v>
      </c>
      <c r="J351" s="38">
        <f t="shared" si="7"/>
        <v>0</v>
      </c>
      <c r="K351" s="38">
        <f t="shared" si="8"/>
        <v>0</v>
      </c>
      <c r="L351" s="38">
        <f t="shared" si="8"/>
        <v>0</v>
      </c>
      <c r="M351" s="38"/>
      <c r="N351" s="38"/>
    </row>
    <row r="352" spans="1:14" x14ac:dyDescent="0.2">
      <c r="A352" s="4">
        <v>0</v>
      </c>
      <c r="B352" s="38">
        <f t="shared" si="7"/>
        <v>1200</v>
      </c>
      <c r="C352" s="38">
        <f t="shared" si="7"/>
        <v>2.27</v>
      </c>
      <c r="D352" s="38">
        <f t="shared" si="7"/>
        <v>1200</v>
      </c>
      <c r="E352" s="38">
        <f t="shared" si="7"/>
        <v>0</v>
      </c>
      <c r="F352" s="38">
        <f t="shared" si="7"/>
        <v>0</v>
      </c>
      <c r="G352" s="38">
        <f t="shared" si="7"/>
        <v>0</v>
      </c>
      <c r="H352" s="38">
        <f t="shared" si="7"/>
        <v>0</v>
      </c>
      <c r="I352" s="38">
        <f t="shared" si="7"/>
        <v>0</v>
      </c>
      <c r="J352" s="38">
        <f t="shared" si="7"/>
        <v>0</v>
      </c>
      <c r="K352" s="38">
        <f t="shared" si="8"/>
        <v>0</v>
      </c>
      <c r="L352" s="38">
        <f t="shared" si="8"/>
        <v>0</v>
      </c>
      <c r="M352" s="38"/>
      <c r="N352" s="38"/>
    </row>
    <row r="353" spans="1:14" x14ac:dyDescent="0.2">
      <c r="A353" s="4">
        <v>0</v>
      </c>
      <c r="B353" s="38">
        <f t="shared" si="7"/>
        <v>1233.93</v>
      </c>
      <c r="C353" s="38">
        <f t="shared" si="7"/>
        <v>2.27</v>
      </c>
      <c r="D353" s="38">
        <f t="shared" si="7"/>
        <v>1200</v>
      </c>
      <c r="E353" s="38">
        <f t="shared" ref="B353:J381" si="9">G76</f>
        <v>0</v>
      </c>
      <c r="F353" s="38">
        <f t="shared" si="9"/>
        <v>0</v>
      </c>
      <c r="G353" s="38">
        <f t="shared" si="9"/>
        <v>33.93</v>
      </c>
      <c r="H353" s="38">
        <f t="shared" si="9"/>
        <v>0</v>
      </c>
      <c r="I353" s="38">
        <f t="shared" si="9"/>
        <v>0</v>
      </c>
      <c r="J353" s="38">
        <f t="shared" si="9"/>
        <v>0</v>
      </c>
      <c r="K353" s="38">
        <f t="shared" si="8"/>
        <v>0</v>
      </c>
      <c r="L353" s="38">
        <f t="shared" si="8"/>
        <v>0</v>
      </c>
      <c r="M353" s="38"/>
      <c r="N353" s="38"/>
    </row>
    <row r="354" spans="1:14" x14ac:dyDescent="0.2">
      <c r="A354" s="4">
        <v>0</v>
      </c>
      <c r="B354" s="38">
        <f t="shared" si="9"/>
        <v>1233.93</v>
      </c>
      <c r="C354" s="38">
        <f t="shared" si="9"/>
        <v>2.27</v>
      </c>
      <c r="D354" s="38">
        <f t="shared" si="9"/>
        <v>1200</v>
      </c>
      <c r="E354" s="38">
        <f t="shared" si="9"/>
        <v>0</v>
      </c>
      <c r="F354" s="38">
        <f t="shared" si="9"/>
        <v>0</v>
      </c>
      <c r="G354" s="38">
        <f t="shared" si="9"/>
        <v>0</v>
      </c>
      <c r="H354" s="38">
        <f t="shared" si="9"/>
        <v>33.93</v>
      </c>
      <c r="I354" s="38">
        <f t="shared" si="9"/>
        <v>0</v>
      </c>
      <c r="J354" s="38">
        <f t="shared" si="9"/>
        <v>0</v>
      </c>
      <c r="K354" s="38">
        <f t="shared" si="8"/>
        <v>0</v>
      </c>
      <c r="L354" s="38">
        <f t="shared" si="8"/>
        <v>0</v>
      </c>
      <c r="M354" s="38"/>
      <c r="N354" s="38"/>
    </row>
    <row r="355" spans="1:14" x14ac:dyDescent="0.2">
      <c r="A355" s="4">
        <v>0</v>
      </c>
      <c r="B355" s="38">
        <f t="shared" si="9"/>
        <v>1233.93</v>
      </c>
      <c r="C355" s="38">
        <f t="shared" si="9"/>
        <v>2.27</v>
      </c>
      <c r="D355" s="38">
        <f t="shared" si="9"/>
        <v>1200</v>
      </c>
      <c r="E355" s="38">
        <f t="shared" si="9"/>
        <v>0</v>
      </c>
      <c r="F355" s="38">
        <f t="shared" si="9"/>
        <v>0</v>
      </c>
      <c r="G355" s="38">
        <f t="shared" si="9"/>
        <v>0</v>
      </c>
      <c r="H355" s="38">
        <f t="shared" si="9"/>
        <v>33.93</v>
      </c>
      <c r="I355" s="38">
        <f t="shared" si="9"/>
        <v>0</v>
      </c>
      <c r="J355" s="38">
        <f t="shared" si="9"/>
        <v>0</v>
      </c>
      <c r="K355" s="38">
        <f t="shared" si="8"/>
        <v>0</v>
      </c>
      <c r="L355" s="38">
        <f t="shared" si="8"/>
        <v>0</v>
      </c>
      <c r="M355" s="38"/>
      <c r="N355" s="38"/>
    </row>
    <row r="356" spans="1:14" x14ac:dyDescent="0.2">
      <c r="A356" s="4">
        <v>0</v>
      </c>
      <c r="B356" s="38">
        <f t="shared" si="9"/>
        <v>1233.93</v>
      </c>
      <c r="C356" s="38">
        <f t="shared" si="9"/>
        <v>2.27</v>
      </c>
      <c r="D356" s="38">
        <f t="shared" si="9"/>
        <v>1200</v>
      </c>
      <c r="E356" s="38">
        <f t="shared" si="9"/>
        <v>0</v>
      </c>
      <c r="F356" s="38">
        <f t="shared" si="9"/>
        <v>0</v>
      </c>
      <c r="G356" s="38">
        <f t="shared" si="9"/>
        <v>0</v>
      </c>
      <c r="H356" s="38">
        <f t="shared" si="9"/>
        <v>33.93</v>
      </c>
      <c r="I356" s="38">
        <f t="shared" si="9"/>
        <v>0</v>
      </c>
      <c r="J356" s="38">
        <f t="shared" si="9"/>
        <v>0</v>
      </c>
      <c r="K356" s="38">
        <f t="shared" si="8"/>
        <v>0</v>
      </c>
      <c r="L356" s="38">
        <f t="shared" si="8"/>
        <v>0</v>
      </c>
      <c r="M356" s="38"/>
      <c r="N356" s="38"/>
    </row>
    <row r="357" spans="1:14" x14ac:dyDescent="0.2">
      <c r="A357" s="4">
        <v>0</v>
      </c>
      <c r="B357" s="38">
        <f t="shared" si="9"/>
        <v>1233.93</v>
      </c>
      <c r="C357" s="38">
        <f t="shared" si="9"/>
        <v>2.27</v>
      </c>
      <c r="D357" s="38">
        <f t="shared" si="9"/>
        <v>1200</v>
      </c>
      <c r="E357" s="38">
        <f t="shared" si="9"/>
        <v>0</v>
      </c>
      <c r="F357" s="38">
        <f t="shared" si="9"/>
        <v>0</v>
      </c>
      <c r="G357" s="38">
        <f t="shared" si="9"/>
        <v>0</v>
      </c>
      <c r="H357" s="38">
        <f t="shared" si="9"/>
        <v>33.93</v>
      </c>
      <c r="I357" s="38">
        <f t="shared" si="9"/>
        <v>0</v>
      </c>
      <c r="J357" s="38">
        <f t="shared" si="9"/>
        <v>0</v>
      </c>
      <c r="K357" s="38">
        <f t="shared" si="8"/>
        <v>0</v>
      </c>
      <c r="L357" s="38">
        <f t="shared" si="8"/>
        <v>0</v>
      </c>
      <c r="M357" s="38"/>
      <c r="N357" s="38"/>
    </row>
    <row r="358" spans="1:14" x14ac:dyDescent="0.2">
      <c r="A358" s="4">
        <v>0</v>
      </c>
      <c r="B358" s="38">
        <f t="shared" si="9"/>
        <v>1233.93</v>
      </c>
      <c r="C358" s="38">
        <f t="shared" si="9"/>
        <v>2.27</v>
      </c>
      <c r="D358" s="38">
        <f t="shared" si="9"/>
        <v>1200</v>
      </c>
      <c r="E358" s="38">
        <f t="shared" si="9"/>
        <v>0</v>
      </c>
      <c r="F358" s="38">
        <f t="shared" si="9"/>
        <v>0</v>
      </c>
      <c r="G358" s="38">
        <f t="shared" si="9"/>
        <v>0</v>
      </c>
      <c r="H358" s="38">
        <f t="shared" si="9"/>
        <v>33.93</v>
      </c>
      <c r="I358" s="38">
        <f t="shared" si="9"/>
        <v>0</v>
      </c>
      <c r="J358" s="38">
        <f t="shared" si="9"/>
        <v>0</v>
      </c>
      <c r="K358" s="38">
        <f t="shared" si="8"/>
        <v>0</v>
      </c>
      <c r="L358" s="38">
        <f t="shared" si="8"/>
        <v>0</v>
      </c>
      <c r="M358" s="38"/>
      <c r="N358" s="38"/>
    </row>
    <row r="359" spans="1:14" x14ac:dyDescent="0.2">
      <c r="A359" s="4">
        <v>0</v>
      </c>
      <c r="B359" s="38">
        <f t="shared" si="9"/>
        <v>1233.93</v>
      </c>
      <c r="C359" s="38">
        <f t="shared" si="9"/>
        <v>2.27</v>
      </c>
      <c r="D359" s="38">
        <f t="shared" si="9"/>
        <v>1200</v>
      </c>
      <c r="E359" s="38">
        <f t="shared" si="9"/>
        <v>0</v>
      </c>
      <c r="F359" s="38">
        <f t="shared" si="9"/>
        <v>0</v>
      </c>
      <c r="G359" s="38">
        <f t="shared" si="9"/>
        <v>0</v>
      </c>
      <c r="H359" s="38">
        <f t="shared" si="9"/>
        <v>33.93</v>
      </c>
      <c r="I359" s="38">
        <f t="shared" si="9"/>
        <v>0</v>
      </c>
      <c r="J359" s="38">
        <f t="shared" si="9"/>
        <v>0</v>
      </c>
      <c r="K359" s="38">
        <f t="shared" si="8"/>
        <v>0</v>
      </c>
      <c r="L359" s="38">
        <f t="shared" si="8"/>
        <v>0</v>
      </c>
      <c r="M359" s="38"/>
      <c r="N359" s="38"/>
    </row>
    <row r="360" spans="1:14" x14ac:dyDescent="0.2">
      <c r="A360" s="4">
        <v>0</v>
      </c>
      <c r="B360" s="38">
        <f t="shared" si="9"/>
        <v>1233.93</v>
      </c>
      <c r="C360" s="38">
        <f t="shared" si="9"/>
        <v>2.27</v>
      </c>
      <c r="D360" s="38">
        <f t="shared" si="9"/>
        <v>1200</v>
      </c>
      <c r="E360" s="38">
        <f t="shared" si="9"/>
        <v>0</v>
      </c>
      <c r="F360" s="38">
        <f t="shared" si="9"/>
        <v>0</v>
      </c>
      <c r="G360" s="38">
        <f t="shared" si="9"/>
        <v>0</v>
      </c>
      <c r="H360" s="38">
        <f t="shared" si="9"/>
        <v>33.93</v>
      </c>
      <c r="I360" s="38">
        <f t="shared" si="9"/>
        <v>0</v>
      </c>
      <c r="J360" s="38">
        <f t="shared" si="9"/>
        <v>0</v>
      </c>
      <c r="K360" s="38">
        <f t="shared" si="8"/>
        <v>0</v>
      </c>
      <c r="L360" s="38">
        <f t="shared" si="8"/>
        <v>0</v>
      </c>
      <c r="M360" s="38"/>
      <c r="N360" s="38"/>
    </row>
    <row r="361" spans="1:14" x14ac:dyDescent="0.2">
      <c r="A361" s="4">
        <v>0</v>
      </c>
      <c r="B361" s="38">
        <f t="shared" si="9"/>
        <v>1233.93</v>
      </c>
      <c r="C361" s="38">
        <f t="shared" si="9"/>
        <v>2.27</v>
      </c>
      <c r="D361" s="38">
        <f t="shared" si="9"/>
        <v>1200</v>
      </c>
      <c r="E361" s="38">
        <f t="shared" si="9"/>
        <v>0</v>
      </c>
      <c r="F361" s="38">
        <f t="shared" si="9"/>
        <v>0</v>
      </c>
      <c r="G361" s="38">
        <f t="shared" si="9"/>
        <v>0</v>
      </c>
      <c r="H361" s="38">
        <f t="shared" si="9"/>
        <v>33.93</v>
      </c>
      <c r="I361" s="38">
        <f t="shared" si="9"/>
        <v>0</v>
      </c>
      <c r="J361" s="38">
        <f t="shared" si="9"/>
        <v>0</v>
      </c>
      <c r="K361" s="38">
        <f t="shared" si="8"/>
        <v>0</v>
      </c>
      <c r="L361" s="38">
        <f t="shared" si="8"/>
        <v>0</v>
      </c>
      <c r="M361" s="38"/>
      <c r="N361" s="38"/>
    </row>
    <row r="362" spans="1:14" x14ac:dyDescent="0.2">
      <c r="A362" s="4">
        <v>0</v>
      </c>
      <c r="B362" s="38">
        <f t="shared" si="9"/>
        <v>1233.93</v>
      </c>
      <c r="C362" s="38">
        <f t="shared" si="9"/>
        <v>2.27</v>
      </c>
      <c r="D362" s="38">
        <f t="shared" si="9"/>
        <v>1200</v>
      </c>
      <c r="E362" s="38">
        <f t="shared" si="9"/>
        <v>0</v>
      </c>
      <c r="F362" s="38">
        <f t="shared" si="9"/>
        <v>0</v>
      </c>
      <c r="G362" s="38">
        <f t="shared" si="9"/>
        <v>0</v>
      </c>
      <c r="H362" s="38">
        <f t="shared" si="9"/>
        <v>33.93</v>
      </c>
      <c r="I362" s="38">
        <f t="shared" si="9"/>
        <v>0</v>
      </c>
      <c r="J362" s="38">
        <f t="shared" si="9"/>
        <v>0</v>
      </c>
      <c r="K362" s="38">
        <f t="shared" si="8"/>
        <v>0</v>
      </c>
      <c r="L362" s="38">
        <f t="shared" si="8"/>
        <v>0</v>
      </c>
      <c r="M362" s="38"/>
      <c r="N362" s="38"/>
    </row>
    <row r="363" spans="1:14" x14ac:dyDescent="0.2">
      <c r="A363" s="4">
        <v>0</v>
      </c>
      <c r="B363" s="38">
        <f t="shared" si="9"/>
        <v>1233.93</v>
      </c>
      <c r="C363" s="38">
        <f t="shared" si="9"/>
        <v>2.27</v>
      </c>
      <c r="D363" s="38">
        <f t="shared" si="9"/>
        <v>1200</v>
      </c>
      <c r="E363" s="38">
        <f t="shared" si="9"/>
        <v>0</v>
      </c>
      <c r="F363" s="38">
        <f t="shared" si="9"/>
        <v>0</v>
      </c>
      <c r="G363" s="38">
        <f t="shared" si="9"/>
        <v>0</v>
      </c>
      <c r="H363" s="38">
        <f t="shared" si="9"/>
        <v>33.93</v>
      </c>
      <c r="I363" s="38">
        <f t="shared" si="9"/>
        <v>0</v>
      </c>
      <c r="J363" s="38">
        <f t="shared" si="9"/>
        <v>0</v>
      </c>
      <c r="K363" s="38">
        <f t="shared" si="8"/>
        <v>0</v>
      </c>
      <c r="L363" s="38">
        <f t="shared" si="8"/>
        <v>0</v>
      </c>
      <c r="M363" s="38"/>
      <c r="N363" s="38"/>
    </row>
    <row r="364" spans="1:14" x14ac:dyDescent="0.2">
      <c r="A364" s="4">
        <v>0</v>
      </c>
      <c r="B364" s="38">
        <f t="shared" si="9"/>
        <v>1233.93</v>
      </c>
      <c r="C364" s="38">
        <f t="shared" si="9"/>
        <v>2.27</v>
      </c>
      <c r="D364" s="38">
        <f t="shared" si="9"/>
        <v>1200</v>
      </c>
      <c r="E364" s="38">
        <f t="shared" si="9"/>
        <v>0</v>
      </c>
      <c r="F364" s="38">
        <f t="shared" si="9"/>
        <v>0</v>
      </c>
      <c r="G364" s="38">
        <f t="shared" si="9"/>
        <v>0</v>
      </c>
      <c r="H364" s="38">
        <f t="shared" si="9"/>
        <v>33.93</v>
      </c>
      <c r="I364" s="38">
        <f t="shared" si="9"/>
        <v>0</v>
      </c>
      <c r="J364" s="38">
        <f t="shared" si="9"/>
        <v>0</v>
      </c>
      <c r="K364" s="38">
        <f t="shared" si="8"/>
        <v>0</v>
      </c>
      <c r="L364" s="38">
        <f t="shared" si="8"/>
        <v>0</v>
      </c>
      <c r="M364" s="38"/>
      <c r="N364" s="38"/>
    </row>
    <row r="365" spans="1:14" x14ac:dyDescent="0.2">
      <c r="A365" s="4">
        <v>0</v>
      </c>
      <c r="B365" s="38">
        <f t="shared" si="9"/>
        <v>1200</v>
      </c>
      <c r="C365" s="38">
        <f t="shared" si="9"/>
        <v>2.27</v>
      </c>
      <c r="D365" s="38">
        <f t="shared" si="9"/>
        <v>1200</v>
      </c>
      <c r="E365" s="38">
        <f t="shared" si="9"/>
        <v>0</v>
      </c>
      <c r="F365" s="38">
        <f t="shared" si="9"/>
        <v>0</v>
      </c>
      <c r="G365" s="38">
        <f t="shared" si="9"/>
        <v>0</v>
      </c>
      <c r="H365" s="38">
        <f t="shared" si="9"/>
        <v>0</v>
      </c>
      <c r="I365" s="38">
        <f t="shared" si="9"/>
        <v>0</v>
      </c>
      <c r="J365" s="38">
        <f t="shared" si="9"/>
        <v>0</v>
      </c>
      <c r="K365" s="38">
        <f t="shared" si="8"/>
        <v>0</v>
      </c>
      <c r="L365" s="38">
        <f t="shared" si="8"/>
        <v>0</v>
      </c>
      <c r="M365" s="38"/>
      <c r="N365" s="38"/>
    </row>
    <row r="366" spans="1:14" x14ac:dyDescent="0.2">
      <c r="A366" s="4">
        <v>0</v>
      </c>
      <c r="B366" s="38">
        <f t="shared" si="9"/>
        <v>1200</v>
      </c>
      <c r="C366" s="38">
        <f t="shared" si="9"/>
        <v>2.27</v>
      </c>
      <c r="D366" s="38">
        <f t="shared" si="9"/>
        <v>1200</v>
      </c>
      <c r="E366" s="38">
        <f t="shared" si="9"/>
        <v>0</v>
      </c>
      <c r="F366" s="38">
        <f t="shared" si="9"/>
        <v>0</v>
      </c>
      <c r="G366" s="38">
        <f t="shared" si="9"/>
        <v>0</v>
      </c>
      <c r="H366" s="38">
        <f t="shared" si="9"/>
        <v>0</v>
      </c>
      <c r="I366" s="38">
        <f t="shared" si="9"/>
        <v>0</v>
      </c>
      <c r="J366" s="38">
        <f t="shared" si="9"/>
        <v>0</v>
      </c>
      <c r="K366" s="38">
        <f t="shared" si="8"/>
        <v>0</v>
      </c>
      <c r="L366" s="38">
        <f t="shared" si="8"/>
        <v>0</v>
      </c>
      <c r="M366" s="38"/>
      <c r="N366" s="38"/>
    </row>
    <row r="367" spans="1:14" x14ac:dyDescent="0.2">
      <c r="A367" s="4">
        <v>0</v>
      </c>
      <c r="B367" s="38">
        <f t="shared" si="9"/>
        <v>1200</v>
      </c>
      <c r="C367" s="38">
        <f t="shared" si="9"/>
        <v>2.27</v>
      </c>
      <c r="D367" s="38">
        <f t="shared" si="9"/>
        <v>1200</v>
      </c>
      <c r="E367" s="38">
        <f t="shared" si="9"/>
        <v>0</v>
      </c>
      <c r="F367" s="38">
        <f t="shared" si="9"/>
        <v>0</v>
      </c>
      <c r="G367" s="38">
        <f t="shared" si="9"/>
        <v>0</v>
      </c>
      <c r="H367" s="38">
        <f t="shared" si="9"/>
        <v>0</v>
      </c>
      <c r="I367" s="38">
        <f t="shared" si="9"/>
        <v>0</v>
      </c>
      <c r="J367" s="38">
        <f t="shared" si="9"/>
        <v>0</v>
      </c>
      <c r="K367" s="38">
        <f t="shared" si="8"/>
        <v>0</v>
      </c>
      <c r="L367" s="38">
        <f t="shared" si="8"/>
        <v>0</v>
      </c>
      <c r="M367" s="38"/>
      <c r="N367" s="38"/>
    </row>
    <row r="368" spans="1:14" x14ac:dyDescent="0.2">
      <c r="A368" s="4">
        <v>0</v>
      </c>
      <c r="B368" s="38">
        <f t="shared" si="9"/>
        <v>1200</v>
      </c>
      <c r="C368" s="38">
        <f t="shared" si="9"/>
        <v>2.27</v>
      </c>
      <c r="D368" s="38">
        <f t="shared" si="9"/>
        <v>1200</v>
      </c>
      <c r="E368" s="38">
        <f t="shared" si="9"/>
        <v>0</v>
      </c>
      <c r="F368" s="38">
        <f t="shared" si="9"/>
        <v>0</v>
      </c>
      <c r="G368" s="38">
        <f t="shared" si="9"/>
        <v>0</v>
      </c>
      <c r="H368" s="38">
        <f t="shared" si="9"/>
        <v>0</v>
      </c>
      <c r="I368" s="38">
        <f t="shared" si="9"/>
        <v>0</v>
      </c>
      <c r="J368" s="38">
        <f t="shared" si="9"/>
        <v>0</v>
      </c>
      <c r="K368" s="38">
        <f t="shared" si="8"/>
        <v>0</v>
      </c>
      <c r="L368" s="38">
        <f t="shared" si="8"/>
        <v>0</v>
      </c>
      <c r="M368" s="38"/>
      <c r="N368" s="38"/>
    </row>
    <row r="369" spans="1:14" x14ac:dyDescent="0.2">
      <c r="A369" s="4">
        <v>0</v>
      </c>
      <c r="B369" s="38">
        <f t="shared" si="9"/>
        <v>1200</v>
      </c>
      <c r="C369" s="38">
        <f t="shared" si="9"/>
        <v>2.27</v>
      </c>
      <c r="D369" s="38">
        <f t="shared" si="9"/>
        <v>1200</v>
      </c>
      <c r="E369" s="38">
        <f t="shared" si="9"/>
        <v>0</v>
      </c>
      <c r="F369" s="38">
        <f t="shared" si="9"/>
        <v>0</v>
      </c>
      <c r="G369" s="38">
        <f t="shared" si="9"/>
        <v>0</v>
      </c>
      <c r="H369" s="38">
        <f t="shared" si="9"/>
        <v>0</v>
      </c>
      <c r="I369" s="38">
        <f t="shared" si="9"/>
        <v>0</v>
      </c>
      <c r="J369" s="38">
        <f t="shared" si="9"/>
        <v>0</v>
      </c>
      <c r="K369" s="38">
        <f t="shared" si="8"/>
        <v>0</v>
      </c>
      <c r="L369" s="38">
        <f t="shared" si="8"/>
        <v>0</v>
      </c>
      <c r="M369" s="38"/>
      <c r="N369" s="38"/>
    </row>
    <row r="370" spans="1:14" x14ac:dyDescent="0.2">
      <c r="A370" s="4">
        <v>0</v>
      </c>
      <c r="B370" s="38">
        <f t="shared" si="9"/>
        <v>1200</v>
      </c>
      <c r="C370" s="38">
        <f t="shared" si="9"/>
        <v>2.27</v>
      </c>
      <c r="D370" s="38">
        <f t="shared" si="9"/>
        <v>1200</v>
      </c>
      <c r="E370" s="38">
        <f t="shared" si="9"/>
        <v>0</v>
      </c>
      <c r="F370" s="38">
        <f t="shared" si="9"/>
        <v>0</v>
      </c>
      <c r="G370" s="38">
        <f t="shared" si="9"/>
        <v>0</v>
      </c>
      <c r="H370" s="38">
        <f t="shared" si="9"/>
        <v>0</v>
      </c>
      <c r="I370" s="38">
        <f t="shared" si="9"/>
        <v>0</v>
      </c>
      <c r="J370" s="38">
        <f t="shared" si="9"/>
        <v>0</v>
      </c>
      <c r="K370" s="38">
        <f t="shared" si="8"/>
        <v>0</v>
      </c>
      <c r="L370" s="38">
        <f t="shared" si="8"/>
        <v>0</v>
      </c>
      <c r="M370" s="38"/>
      <c r="N370" s="38"/>
    </row>
    <row r="371" spans="1:14" x14ac:dyDescent="0.2">
      <c r="A371" s="4">
        <v>0</v>
      </c>
      <c r="B371" s="38">
        <f t="shared" si="9"/>
        <v>1200</v>
      </c>
      <c r="C371" s="38">
        <f t="shared" si="9"/>
        <v>2.27</v>
      </c>
      <c r="D371" s="38">
        <f t="shared" si="9"/>
        <v>1200</v>
      </c>
      <c r="E371" s="38">
        <f t="shared" si="9"/>
        <v>0</v>
      </c>
      <c r="F371" s="38">
        <f t="shared" si="9"/>
        <v>0</v>
      </c>
      <c r="G371" s="38">
        <f t="shared" si="9"/>
        <v>0</v>
      </c>
      <c r="H371" s="38">
        <f t="shared" si="9"/>
        <v>0</v>
      </c>
      <c r="I371" s="38">
        <f t="shared" si="9"/>
        <v>0</v>
      </c>
      <c r="J371" s="38">
        <f t="shared" si="9"/>
        <v>0</v>
      </c>
      <c r="K371" s="38">
        <f t="shared" si="8"/>
        <v>0</v>
      </c>
      <c r="L371" s="38">
        <f t="shared" si="8"/>
        <v>0</v>
      </c>
      <c r="M371" s="38"/>
      <c r="N371" s="38"/>
    </row>
    <row r="372" spans="1:14" x14ac:dyDescent="0.2">
      <c r="A372" s="4">
        <v>0</v>
      </c>
      <c r="B372" s="38">
        <f t="shared" si="9"/>
        <v>1200</v>
      </c>
      <c r="C372" s="38">
        <f t="shared" si="9"/>
        <v>2.27</v>
      </c>
      <c r="D372" s="38">
        <f t="shared" si="9"/>
        <v>1200</v>
      </c>
      <c r="E372" s="38">
        <f t="shared" si="9"/>
        <v>0</v>
      </c>
      <c r="F372" s="38">
        <f t="shared" si="9"/>
        <v>0</v>
      </c>
      <c r="G372" s="38">
        <f t="shared" si="9"/>
        <v>0</v>
      </c>
      <c r="H372" s="38">
        <f t="shared" si="9"/>
        <v>0</v>
      </c>
      <c r="I372" s="38">
        <f t="shared" si="9"/>
        <v>0</v>
      </c>
      <c r="J372" s="38">
        <f t="shared" si="9"/>
        <v>0</v>
      </c>
      <c r="K372" s="38">
        <f t="shared" si="8"/>
        <v>0</v>
      </c>
      <c r="L372" s="38">
        <f t="shared" si="8"/>
        <v>0</v>
      </c>
      <c r="M372" s="38"/>
      <c r="N372" s="38"/>
    </row>
    <row r="373" spans="1:14" x14ac:dyDescent="0.2">
      <c r="A373" s="4">
        <v>0</v>
      </c>
      <c r="B373" s="38">
        <f t="shared" si="9"/>
        <v>1200</v>
      </c>
      <c r="C373" s="38">
        <f t="shared" si="9"/>
        <v>2.27</v>
      </c>
      <c r="D373" s="38">
        <f t="shared" si="9"/>
        <v>1200</v>
      </c>
      <c r="E373" s="38">
        <f t="shared" si="9"/>
        <v>0</v>
      </c>
      <c r="F373" s="38">
        <f t="shared" si="9"/>
        <v>0</v>
      </c>
      <c r="G373" s="38">
        <f t="shared" si="9"/>
        <v>0</v>
      </c>
      <c r="H373" s="38">
        <f t="shared" si="9"/>
        <v>0</v>
      </c>
      <c r="I373" s="38">
        <f t="shared" si="9"/>
        <v>0</v>
      </c>
      <c r="J373" s="38">
        <f t="shared" si="9"/>
        <v>0</v>
      </c>
      <c r="K373" s="38">
        <f t="shared" si="8"/>
        <v>0</v>
      </c>
      <c r="L373" s="38">
        <f t="shared" si="8"/>
        <v>0</v>
      </c>
      <c r="M373" s="38"/>
      <c r="N373" s="38"/>
    </row>
    <row r="374" spans="1:14" x14ac:dyDescent="0.2">
      <c r="A374" s="4">
        <v>0</v>
      </c>
      <c r="B374" s="38">
        <f t="shared" si="9"/>
        <v>1200</v>
      </c>
      <c r="C374" s="38">
        <f t="shared" si="9"/>
        <v>2.27</v>
      </c>
      <c r="D374" s="38">
        <f t="shared" si="9"/>
        <v>1200</v>
      </c>
      <c r="E374" s="38">
        <f t="shared" si="9"/>
        <v>0</v>
      </c>
      <c r="F374" s="38">
        <f t="shared" si="9"/>
        <v>0</v>
      </c>
      <c r="G374" s="38">
        <f t="shared" si="9"/>
        <v>0</v>
      </c>
      <c r="H374" s="38">
        <f t="shared" si="9"/>
        <v>0</v>
      </c>
      <c r="I374" s="38">
        <f t="shared" si="9"/>
        <v>0</v>
      </c>
      <c r="J374" s="38">
        <f t="shared" si="9"/>
        <v>0</v>
      </c>
      <c r="K374" s="38">
        <f t="shared" si="8"/>
        <v>0</v>
      </c>
      <c r="L374" s="38">
        <f t="shared" si="8"/>
        <v>0</v>
      </c>
      <c r="M374" s="38"/>
      <c r="N374" s="38"/>
    </row>
    <row r="375" spans="1:14" x14ac:dyDescent="0.2">
      <c r="A375" s="4">
        <v>0</v>
      </c>
      <c r="B375" s="38">
        <f t="shared" si="9"/>
        <v>1200</v>
      </c>
      <c r="C375" s="38">
        <f t="shared" si="9"/>
        <v>2.27</v>
      </c>
      <c r="D375" s="38">
        <f t="shared" si="9"/>
        <v>1200</v>
      </c>
      <c r="E375" s="38">
        <f t="shared" si="9"/>
        <v>0</v>
      </c>
      <c r="F375" s="38">
        <f t="shared" si="9"/>
        <v>0</v>
      </c>
      <c r="G375" s="38">
        <f t="shared" si="9"/>
        <v>0</v>
      </c>
      <c r="H375" s="38">
        <f t="shared" si="9"/>
        <v>0</v>
      </c>
      <c r="I375" s="38">
        <f t="shared" si="9"/>
        <v>0</v>
      </c>
      <c r="J375" s="38">
        <f t="shared" si="9"/>
        <v>0</v>
      </c>
      <c r="K375" s="38">
        <f t="shared" si="8"/>
        <v>0</v>
      </c>
      <c r="L375" s="38">
        <f t="shared" si="8"/>
        <v>0</v>
      </c>
      <c r="M375" s="38"/>
      <c r="N375" s="38"/>
    </row>
    <row r="376" spans="1:14" x14ac:dyDescent="0.2">
      <c r="A376" s="4">
        <v>0</v>
      </c>
      <c r="B376" s="38">
        <f t="shared" si="9"/>
        <v>1200</v>
      </c>
      <c r="C376" s="38">
        <f t="shared" si="9"/>
        <v>2.27</v>
      </c>
      <c r="D376" s="38">
        <f t="shared" si="9"/>
        <v>1200</v>
      </c>
      <c r="E376" s="38">
        <f t="shared" si="9"/>
        <v>0</v>
      </c>
      <c r="F376" s="38">
        <f t="shared" si="9"/>
        <v>0</v>
      </c>
      <c r="G376" s="38">
        <f t="shared" si="9"/>
        <v>0</v>
      </c>
      <c r="H376" s="38">
        <f t="shared" si="9"/>
        <v>0</v>
      </c>
      <c r="I376" s="38">
        <f t="shared" si="9"/>
        <v>0</v>
      </c>
      <c r="J376" s="38">
        <f t="shared" si="9"/>
        <v>0</v>
      </c>
      <c r="K376" s="38">
        <f t="shared" si="8"/>
        <v>0</v>
      </c>
      <c r="L376" s="38">
        <f t="shared" si="8"/>
        <v>0</v>
      </c>
      <c r="M376" s="38"/>
      <c r="N376" s="38"/>
    </row>
    <row r="377" spans="1:14" x14ac:dyDescent="0.2">
      <c r="A377" s="4">
        <v>0</v>
      </c>
      <c r="B377" s="38">
        <f t="shared" si="9"/>
        <v>1200</v>
      </c>
      <c r="C377" s="38">
        <f t="shared" si="9"/>
        <v>2.27</v>
      </c>
      <c r="D377" s="38">
        <f t="shared" si="9"/>
        <v>1200</v>
      </c>
      <c r="E377" s="38">
        <f t="shared" si="9"/>
        <v>0</v>
      </c>
      <c r="F377" s="38">
        <f t="shared" si="9"/>
        <v>0</v>
      </c>
      <c r="G377" s="38">
        <f t="shared" si="9"/>
        <v>0</v>
      </c>
      <c r="H377" s="38">
        <f t="shared" si="9"/>
        <v>0</v>
      </c>
      <c r="I377" s="38">
        <f t="shared" si="9"/>
        <v>0</v>
      </c>
      <c r="J377" s="38">
        <f t="shared" si="9"/>
        <v>0</v>
      </c>
      <c r="K377" s="38">
        <f t="shared" si="8"/>
        <v>0</v>
      </c>
      <c r="L377" s="38">
        <f t="shared" si="8"/>
        <v>0</v>
      </c>
      <c r="M377" s="38"/>
      <c r="N377" s="38"/>
    </row>
    <row r="378" spans="1:14" x14ac:dyDescent="0.2">
      <c r="A378" s="4">
        <v>0</v>
      </c>
      <c r="B378" s="38">
        <f t="shared" si="9"/>
        <v>1200</v>
      </c>
      <c r="C378" s="38">
        <f t="shared" si="9"/>
        <v>2.27</v>
      </c>
      <c r="D378" s="38">
        <f t="shared" si="9"/>
        <v>1200</v>
      </c>
      <c r="E378" s="38">
        <f t="shared" si="9"/>
        <v>0</v>
      </c>
      <c r="F378" s="38">
        <f t="shared" si="9"/>
        <v>0</v>
      </c>
      <c r="G378" s="38">
        <f t="shared" si="9"/>
        <v>0</v>
      </c>
      <c r="H378" s="38">
        <f t="shared" si="9"/>
        <v>0</v>
      </c>
      <c r="I378" s="38">
        <f t="shared" si="9"/>
        <v>0</v>
      </c>
      <c r="J378" s="38">
        <f t="shared" si="9"/>
        <v>0</v>
      </c>
      <c r="K378" s="38">
        <f t="shared" si="8"/>
        <v>0</v>
      </c>
      <c r="L378" s="38">
        <f t="shared" si="8"/>
        <v>0</v>
      </c>
      <c r="M378" s="38"/>
      <c r="N378" s="38"/>
    </row>
    <row r="379" spans="1:14" x14ac:dyDescent="0.2">
      <c r="A379" s="4">
        <v>0</v>
      </c>
      <c r="B379" s="38">
        <f t="shared" si="9"/>
        <v>1200</v>
      </c>
      <c r="C379" s="38">
        <f t="shared" si="9"/>
        <v>2.27</v>
      </c>
      <c r="D379" s="38">
        <f t="shared" si="9"/>
        <v>1200</v>
      </c>
      <c r="E379" s="38">
        <f t="shared" si="9"/>
        <v>0</v>
      </c>
      <c r="F379" s="38">
        <f t="shared" si="9"/>
        <v>0</v>
      </c>
      <c r="G379" s="38">
        <f t="shared" si="9"/>
        <v>0</v>
      </c>
      <c r="H379" s="38">
        <f t="shared" si="9"/>
        <v>0</v>
      </c>
      <c r="I379" s="38">
        <f t="shared" si="9"/>
        <v>0</v>
      </c>
      <c r="J379" s="38">
        <f t="shared" si="9"/>
        <v>0</v>
      </c>
      <c r="K379" s="38">
        <f t="shared" si="8"/>
        <v>0</v>
      </c>
      <c r="L379" s="38">
        <f t="shared" si="8"/>
        <v>0</v>
      </c>
      <c r="M379" s="38"/>
      <c r="N379" s="38"/>
    </row>
    <row r="380" spans="1:14" x14ac:dyDescent="0.2">
      <c r="A380" s="4">
        <v>0</v>
      </c>
      <c r="B380" s="38">
        <f t="shared" si="9"/>
        <v>1200</v>
      </c>
      <c r="C380" s="38">
        <f t="shared" si="9"/>
        <v>2.27</v>
      </c>
      <c r="D380" s="38">
        <f t="shared" si="9"/>
        <v>1200</v>
      </c>
      <c r="E380" s="38">
        <f t="shared" si="9"/>
        <v>0</v>
      </c>
      <c r="F380" s="38">
        <f t="shared" si="9"/>
        <v>0</v>
      </c>
      <c r="G380" s="38">
        <f t="shared" si="9"/>
        <v>0</v>
      </c>
      <c r="H380" s="38">
        <f t="shared" si="9"/>
        <v>0</v>
      </c>
      <c r="I380" s="38">
        <f t="shared" si="9"/>
        <v>0</v>
      </c>
      <c r="J380" s="38">
        <f t="shared" si="9"/>
        <v>0</v>
      </c>
      <c r="K380" s="38">
        <f t="shared" si="8"/>
        <v>0</v>
      </c>
      <c r="L380" s="38">
        <f t="shared" si="8"/>
        <v>0</v>
      </c>
      <c r="M380" s="38"/>
      <c r="N380" s="38"/>
    </row>
    <row r="381" spans="1:14" x14ac:dyDescent="0.2">
      <c r="A381" s="4">
        <v>0</v>
      </c>
      <c r="B381" s="38">
        <f t="shared" si="9"/>
        <v>1200</v>
      </c>
      <c r="C381" s="38">
        <f t="shared" si="9"/>
        <v>2.27</v>
      </c>
      <c r="D381" s="38">
        <f t="shared" si="9"/>
        <v>1200</v>
      </c>
      <c r="E381" s="38">
        <f t="shared" si="9"/>
        <v>0</v>
      </c>
      <c r="F381" s="38">
        <f t="shared" si="9"/>
        <v>0</v>
      </c>
      <c r="G381" s="38">
        <f t="shared" si="9"/>
        <v>0</v>
      </c>
      <c r="H381" s="38">
        <f t="shared" ref="H381:J381" si="10">J104</f>
        <v>0</v>
      </c>
      <c r="I381" s="38">
        <f t="shared" si="10"/>
        <v>0</v>
      </c>
      <c r="J381" s="38">
        <f t="shared" si="10"/>
        <v>0</v>
      </c>
      <c r="K381" s="38">
        <f t="shared" si="8"/>
        <v>0</v>
      </c>
      <c r="L381" s="38">
        <f t="shared" si="8"/>
        <v>0</v>
      </c>
      <c r="M381" s="38"/>
      <c r="N381" s="38"/>
    </row>
    <row r="485" spans="1:1" x14ac:dyDescent="0.2">
      <c r="A485" s="4" t="s">
        <v>50</v>
      </c>
    </row>
    <row r="486" spans="1:1" x14ac:dyDescent="0.2">
      <c r="A486" s="4" t="s">
        <v>51</v>
      </c>
    </row>
    <row r="487" spans="1:1" x14ac:dyDescent="0.2">
      <c r="A487" s="4" t="s">
        <v>52</v>
      </c>
    </row>
    <row r="488" spans="1:1" x14ac:dyDescent="0.2">
      <c r="A488" s="4" t="s">
        <v>53</v>
      </c>
    </row>
    <row r="489" spans="1:1" x14ac:dyDescent="0.2">
      <c r="A489" s="4" t="s">
        <v>54</v>
      </c>
    </row>
    <row r="490" spans="1:1" x14ac:dyDescent="0.2">
      <c r="A490" s="4" t="s">
        <v>55</v>
      </c>
    </row>
    <row r="491" spans="1:1" x14ac:dyDescent="0.2">
      <c r="A491" s="4" t="s">
        <v>56</v>
      </c>
    </row>
    <row r="492" spans="1:1" x14ac:dyDescent="0.2">
      <c r="A492" s="4" t="s">
        <v>57</v>
      </c>
    </row>
    <row r="493" spans="1:1" x14ac:dyDescent="0.2">
      <c r="A493" s="4" t="s">
        <v>58</v>
      </c>
    </row>
    <row r="494" spans="1:1" x14ac:dyDescent="0.2">
      <c r="A494" s="4" t="s">
        <v>59</v>
      </c>
    </row>
  </sheetData>
  <protectedRanges>
    <protectedRange algorithmName="SHA-512" hashValue="qQYn+m+b4UVdjF94fJY26EWyaL6NXSlMR0hjQ5/xNDkmthaz1VvGWbh/7nGtIdkgRT6aNUF0IIZNQcadTKpO7g==" saltValue="2NnoMCglf5tG+69kK64QMw==" spinCount="100000" sqref="H105:H107 F105:G105 F9:AL104" name="Range3_2"/>
    <protectedRange algorithmName="SHA-512" hashValue="CuSudXHW9P7CBQkrs8AwohLW+eqtBB1GgPvOQKTdoYabZsh7qeQNmlih2szINLu/Iv371wYh7iyn/B9fW+VuJQ==" saltValue="3apz8eMp+e3RXrdw+Rtnhw==" spinCount="100000" sqref="B6" name="Range1_2"/>
    <protectedRange algorithmName="SHA-512" hashValue="1jJWfUXWRRT08/cshb+Zq/RAMTya5nSG8yWpGVBg0Dfqhe3vup+3W9p/IBZi/Wrrv1DDhqG9wt/eD6EO1fnNvQ==" saltValue="VWP5arczVApFJ9oxlz3YOA==" spinCount="100000" sqref="D8:E8" name="Range2_2"/>
    <protectedRange algorithmName="SHA-512" hashValue="1jJWfUXWRRT08/cshb+Zq/RAMTya5nSG8yWpGVBg0Dfqhe3vup+3W9p/IBZi/Wrrv1DDhqG9wt/eD6EO1fnNvQ==" saltValue="VWP5arczVApFJ9oxlz3YOA==" spinCount="100000" sqref="Z8:AL8" name="Range2_3_2"/>
    <protectedRange password="CE2A" sqref="F8:Y8" name="Range2_1_3"/>
  </protectedRanges>
  <mergeCells count="7">
    <mergeCell ref="A1:P1"/>
    <mergeCell ref="A2:P2"/>
    <mergeCell ref="A3:A4"/>
    <mergeCell ref="B3:D4"/>
    <mergeCell ref="E3:E4"/>
    <mergeCell ref="H3:K4"/>
    <mergeCell ref="F3:G4"/>
  </mergeCells>
  <dataValidations count="1">
    <dataValidation type="list" allowBlank="1" showInputMessage="1" showErrorMessage="1" sqref="Z8:AL8" xr:uid="{3225A5D0-CA67-4AF0-A80A-5E702AB65B68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983A3E-53EE-42B8-B44E-761B572544C0}">
          <x14:formula1>
            <xm:f>CustomerData!$B$2:$B$60</xm:f>
          </x14:formula1>
          <xm:sqref>F8:Y8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991B4-8684-45B1-B275-473144DD66F6}">
  <sheetPr codeName="Sheet4"/>
  <dimension ref="B3:J11"/>
  <sheetViews>
    <sheetView workbookViewId="0">
      <selection activeCell="D26" sqref="D26"/>
    </sheetView>
  </sheetViews>
  <sheetFormatPr defaultRowHeight="15" x14ac:dyDescent="0.25"/>
  <sheetData>
    <row r="3" spans="2:10" x14ac:dyDescent="0.25">
      <c r="B3">
        <v>2</v>
      </c>
      <c r="C3" s="111">
        <v>45271</v>
      </c>
      <c r="D3" t="s">
        <v>174</v>
      </c>
      <c r="E3" t="s">
        <v>173</v>
      </c>
      <c r="F3" t="s">
        <v>172</v>
      </c>
      <c r="G3" t="s">
        <v>172</v>
      </c>
      <c r="H3" t="s">
        <v>172</v>
      </c>
      <c r="I3" t="s">
        <v>172</v>
      </c>
      <c r="J3" t="s">
        <v>172</v>
      </c>
    </row>
    <row r="7" spans="2:10" x14ac:dyDescent="0.25">
      <c r="B7">
        <v>7</v>
      </c>
      <c r="C7" s="111">
        <v>45271</v>
      </c>
      <c r="D7" t="s">
        <v>171</v>
      </c>
      <c r="E7" t="s">
        <v>171</v>
      </c>
      <c r="F7" t="s">
        <v>171</v>
      </c>
      <c r="G7" t="s">
        <v>171</v>
      </c>
      <c r="H7" t="s">
        <v>171</v>
      </c>
      <c r="I7" t="s">
        <v>171</v>
      </c>
    </row>
    <row r="11" spans="2:10" x14ac:dyDescent="0.25">
      <c r="D11" t="s">
        <v>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978"/>
  <sheetViews>
    <sheetView workbookViewId="0">
      <pane xSplit="4" ySplit="8" topLeftCell="E66" activePane="bottomRight" state="frozen"/>
      <selection pane="topRight" activeCell="E1" sqref="E1"/>
      <selection pane="bottomLeft" activeCell="A9" sqref="A9"/>
      <selection pane="bottomRight" activeCell="G78" sqref="G78"/>
    </sheetView>
  </sheetViews>
  <sheetFormatPr defaultColWidth="9.140625" defaultRowHeight="12.75" x14ac:dyDescent="0.25"/>
  <cols>
    <col min="1" max="2" width="9.140625" style="40"/>
    <col min="3" max="3" width="11.140625" style="40" customWidth="1"/>
    <col min="4" max="4" width="10.85546875" style="40" customWidth="1"/>
    <col min="5" max="5" width="13.5703125" style="40" customWidth="1"/>
    <col min="6" max="6" width="10.85546875" style="40" bestFit="1" customWidth="1"/>
    <col min="7" max="8" width="10.140625" style="40" bestFit="1" customWidth="1"/>
    <col min="9" max="9" width="10.7109375" style="40" bestFit="1" customWidth="1"/>
    <col min="10" max="10" width="11.85546875" style="40" bestFit="1" customWidth="1"/>
    <col min="11" max="11" width="11.85546875" style="40" customWidth="1"/>
    <col min="12" max="12" width="10.85546875" style="40" customWidth="1"/>
    <col min="13" max="16" width="9.140625" style="40"/>
    <col min="17" max="17" width="15.7109375" style="40" customWidth="1"/>
    <col min="18" max="16384" width="9.140625" style="40"/>
  </cols>
  <sheetData>
    <row r="1" spans="1:35" ht="28.5" customHeight="1" x14ac:dyDescent="0.25">
      <c r="A1" s="137" t="s">
        <v>13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67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</row>
    <row r="2" spans="1:35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68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1:35" s="44" customFormat="1" ht="13.5" customHeight="1" x14ac:dyDescent="0.25">
      <c r="A3" s="139" t="s">
        <v>1</v>
      </c>
      <c r="B3" s="140"/>
      <c r="C3" s="141"/>
      <c r="D3" s="141"/>
      <c r="E3" s="142">
        <f ca="1">TODAY()</f>
        <v>45271</v>
      </c>
      <c r="F3" s="141" t="s">
        <v>14</v>
      </c>
      <c r="G3" s="141"/>
      <c r="H3" s="143" t="s">
        <v>2</v>
      </c>
      <c r="I3" s="144"/>
      <c r="J3" s="144"/>
      <c r="K3" s="144"/>
      <c r="L3" s="144"/>
      <c r="M3" s="42"/>
      <c r="N3" s="42"/>
      <c r="O3" s="43"/>
      <c r="P3" s="42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4"/>
      <c r="AC3" s="126"/>
      <c r="AD3" s="126"/>
      <c r="AE3" s="126"/>
      <c r="AF3" s="126"/>
      <c r="AG3" s="126"/>
      <c r="AH3" s="126"/>
      <c r="AI3" s="126"/>
    </row>
    <row r="4" spans="1:35" s="44" customFormat="1" ht="13.5" customHeight="1" x14ac:dyDescent="0.25">
      <c r="A4" s="139"/>
      <c r="B4" s="140"/>
      <c r="C4" s="141"/>
      <c r="D4" s="141"/>
      <c r="E4" s="142"/>
      <c r="F4" s="141"/>
      <c r="G4" s="141"/>
      <c r="H4" s="145"/>
      <c r="I4" s="146"/>
      <c r="J4" s="146"/>
      <c r="K4" s="146"/>
      <c r="L4" s="146"/>
      <c r="M4" s="45"/>
      <c r="N4" s="45"/>
      <c r="O4" s="46"/>
      <c r="P4" s="4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6"/>
      <c r="AC4" s="126"/>
      <c r="AD4" s="126"/>
      <c r="AE4" s="126"/>
      <c r="AF4" s="126"/>
      <c r="AG4" s="126"/>
      <c r="AH4" s="126"/>
      <c r="AI4" s="126"/>
    </row>
    <row r="5" spans="1:35" s="44" customFormat="1" ht="15.75" x14ac:dyDescent="0.25">
      <c r="A5" s="47" t="s">
        <v>3</v>
      </c>
      <c r="B5" s="47" t="s">
        <v>4</v>
      </c>
      <c r="C5" s="47" t="s">
        <v>5</v>
      </c>
      <c r="D5" s="48">
        <v>1</v>
      </c>
      <c r="E5" s="49" t="s">
        <v>6</v>
      </c>
      <c r="F5" s="48">
        <v>96</v>
      </c>
      <c r="G5" s="50" t="s">
        <v>15</v>
      </c>
      <c r="H5" s="51">
        <v>1200</v>
      </c>
      <c r="I5" s="52" t="s">
        <v>8</v>
      </c>
      <c r="J5" s="53">
        <v>8</v>
      </c>
      <c r="K5" s="53"/>
      <c r="L5" s="54"/>
    </row>
    <row r="6" spans="1:35" s="44" customFormat="1" ht="15" x14ac:dyDescent="0.25">
      <c r="A6" s="127"/>
      <c r="B6" s="128"/>
      <c r="C6" s="129"/>
      <c r="D6" s="55" t="s">
        <v>45</v>
      </c>
      <c r="E6" s="56">
        <f>VLOOKUP(E8,CustomerData!$B:$I,4,FALSE)</f>
        <v>1010</v>
      </c>
      <c r="F6" s="56">
        <f>VLOOKUP(F8,CustomerData!$B:$I,4,FALSE)</f>
        <v>1014</v>
      </c>
      <c r="G6" s="56">
        <f>VLOOKUP(G8,CustomerData!$B:$I,4,FALSE)</f>
        <v>1030</v>
      </c>
      <c r="H6" s="56">
        <f>VLOOKUP(H8,CustomerData!$B:$I,4,FALSE)</f>
        <v>1026</v>
      </c>
      <c r="I6" s="56">
        <f>VLOOKUP(I8,CustomerData!$B:$I,4,FALSE)</f>
        <v>1013</v>
      </c>
      <c r="J6" s="56" t="e">
        <f>VLOOKUP(J8,CustomerData!$B:$I,4,FALSE)</f>
        <v>#N/A</v>
      </c>
      <c r="K6" s="56" t="e">
        <f>VLOOKUP(K8,CustomerData!$B:$I,4,FALSE)</f>
        <v>#N/A</v>
      </c>
      <c r="L6" s="56" t="e">
        <f>VLOOKUP(L8,CustomerData!$B:$I,4,FALSE)</f>
        <v>#N/A</v>
      </c>
      <c r="M6" s="56" t="e">
        <f>VLOOKUP(M8,CustomerData!$B:$I,4,FALSE)</f>
        <v>#N/A</v>
      </c>
      <c r="N6" s="56" t="e">
        <f>VLOOKUP(N8,CustomerData!$B:$I,4,FALSE)</f>
        <v>#N/A</v>
      </c>
      <c r="O6" s="56" t="e">
        <f>VLOOKUP(O8,CustomerData!$B:$I,4,FALSE)</f>
        <v>#N/A</v>
      </c>
      <c r="P6" s="56"/>
      <c r="Q6" s="56" t="e">
        <f>VLOOKUP(Q8,CustomerData!$B:$I,4,FALSE)</f>
        <v>#N/A</v>
      </c>
      <c r="R6" s="56" t="e">
        <f>VLOOKUP(R8,CustomerData!$B:$I,4,FALSE)</f>
        <v>#N/A</v>
      </c>
      <c r="S6" s="56" t="e">
        <f>VLOOKUP(S8,CustomerData!$B:$I,4,FALSE)</f>
        <v>#N/A</v>
      </c>
      <c r="T6" s="56" t="e">
        <f>VLOOKUP(T8,CustomerData!$B:$I,4,FALSE)</f>
        <v>#N/A</v>
      </c>
      <c r="U6" s="56" t="e">
        <f>VLOOKUP(U8,CustomerData!$B:$I,4,FALSE)</f>
        <v>#N/A</v>
      </c>
      <c r="V6" s="56" t="e">
        <f>VLOOKUP(V8,CustomerData!$B:$I,4,FALSE)</f>
        <v>#N/A</v>
      </c>
      <c r="W6" s="56" t="e">
        <f>VLOOKUP(W8,CustomerData!$B:$I,4,FALSE)</f>
        <v>#N/A</v>
      </c>
      <c r="X6" s="56" t="e">
        <f>VLOOKUP(X8,CustomerData!$B:$I,4,FALSE)</f>
        <v>#N/A</v>
      </c>
      <c r="Y6" s="56" t="e">
        <f>VLOOKUP(Y8,CustomerData!$B:$I,4,FALSE)</f>
        <v>#N/A</v>
      </c>
      <c r="Z6" s="56" t="e">
        <f>VLOOKUP(Z8,CustomerData!$B:$I,4,FALSE)</f>
        <v>#N/A</v>
      </c>
      <c r="AA6" s="56" t="e">
        <f>VLOOKUP(AA8,CustomerData!$B:$I,4,FALSE)</f>
        <v>#N/A</v>
      </c>
      <c r="AB6" s="56" t="e">
        <f>VLOOKUP(AB8,CustomerData!$B:$I,4,FALSE)</f>
        <v>#N/A</v>
      </c>
      <c r="AC6" s="56" t="e">
        <f>VLOOKUP(AC8,CustomerData!$B:$I,4,FALSE)</f>
        <v>#N/A</v>
      </c>
      <c r="AD6" s="56" t="e">
        <f>VLOOKUP(AD8,CustomerData!$B:$I,4,FALSE)</f>
        <v>#N/A</v>
      </c>
      <c r="AE6" s="56" t="e">
        <f>VLOOKUP(AE8,CustomerData!$B:$I,4,FALSE)</f>
        <v>#N/A</v>
      </c>
      <c r="AF6" s="56" t="e">
        <f>VLOOKUP(AF8,CustomerData!$B:$I,4,FALSE)</f>
        <v>#N/A</v>
      </c>
      <c r="AG6" s="56" t="e">
        <f>VLOOKUP(AG8,CustomerData!$B:$I,4,FALSE)</f>
        <v>#N/A</v>
      </c>
      <c r="AH6" s="56" t="e">
        <f>VLOOKUP(AH8,CustomerData!$B:$I,4,FALSE)</f>
        <v>#N/A</v>
      </c>
      <c r="AI6" s="56" t="e">
        <f>VLOOKUP(AI8,CustomerData!$B:$I,4,FALSE)</f>
        <v>#N/A</v>
      </c>
    </row>
    <row r="7" spans="1:35" s="44" customFormat="1" ht="18.75" x14ac:dyDescent="0.25">
      <c r="A7" s="130"/>
      <c r="B7" s="131"/>
      <c r="C7" s="132"/>
      <c r="D7" s="55" t="s">
        <v>9</v>
      </c>
      <c r="E7" s="26" t="str">
        <f>VLOOKUP(E8,CustomerData!$B:$I,8,FALSE)</f>
        <v xml:space="preserve">LT        </v>
      </c>
      <c r="F7" s="26" t="str">
        <f>VLOOKUP(F8,CustomerData!$B:$I,8,FALSE)</f>
        <v xml:space="preserve">ST        </v>
      </c>
      <c r="G7" s="26" t="str">
        <f>VLOOKUP(G8,CustomerData!$B:$I,8,FALSE)</f>
        <v xml:space="preserve">ST        </v>
      </c>
      <c r="H7" s="26" t="str">
        <f>VLOOKUP(H8,CustomerData!$B:$I,8,FALSE)</f>
        <v xml:space="preserve">LT        </v>
      </c>
      <c r="I7" s="26" t="str">
        <f>VLOOKUP(I8,CustomerData!$B:$I,8,FALSE)</f>
        <v xml:space="preserve">ST        </v>
      </c>
      <c r="J7" s="26" t="e">
        <f>VLOOKUP(J8,CustomerData!$B:$I,8,FALSE)</f>
        <v>#N/A</v>
      </c>
      <c r="K7" s="26" t="e">
        <f>VLOOKUP(K8,CustomerData!$B:$I,8,FALSE)</f>
        <v>#N/A</v>
      </c>
      <c r="L7" s="26" t="e">
        <f>VLOOKUP(L8,CustomerData!$B:$I,8,FALSE)</f>
        <v>#N/A</v>
      </c>
      <c r="M7" s="26" t="e">
        <f>VLOOKUP(M8,CustomerData!$B:$I,8,FALSE)</f>
        <v>#N/A</v>
      </c>
      <c r="N7" s="26" t="e">
        <f>VLOOKUP(N8,CustomerData!$B:$I,8,FALSE)</f>
        <v>#N/A</v>
      </c>
      <c r="O7" s="26" t="e">
        <f>VLOOKUP(O8,CustomerData!$B:$I,8,FALSE)</f>
        <v>#N/A</v>
      </c>
      <c r="P7" s="26"/>
      <c r="Q7" s="26" t="e">
        <f>VLOOKUP(Q8,CustomerData!$B:$I,8,FALSE)</f>
        <v>#N/A</v>
      </c>
      <c r="R7" s="26" t="e">
        <f>VLOOKUP(R8,CustomerData!$B:$I,8,FALSE)</f>
        <v>#N/A</v>
      </c>
      <c r="S7" s="26" t="e">
        <f>VLOOKUP(S8,CustomerData!$B:$I,8,FALSE)</f>
        <v>#N/A</v>
      </c>
      <c r="T7" s="26" t="e">
        <f>VLOOKUP(T8,CustomerData!$B:$I,8,FALSE)</f>
        <v>#N/A</v>
      </c>
      <c r="U7" s="26" t="e">
        <f>VLOOKUP(U8,CustomerData!$B:$I,8,FALSE)</f>
        <v>#N/A</v>
      </c>
      <c r="V7" s="26" t="e">
        <f>VLOOKUP(V8,CustomerData!$B:$I,8,FALSE)</f>
        <v>#N/A</v>
      </c>
      <c r="W7" s="26" t="e">
        <f>VLOOKUP(W8,CustomerData!$B:$I,8,FALSE)</f>
        <v>#N/A</v>
      </c>
      <c r="X7" s="26" t="e">
        <f>VLOOKUP(X8,CustomerData!$B:$I,8,FALSE)</f>
        <v>#N/A</v>
      </c>
      <c r="Y7" s="26" t="e">
        <f>VLOOKUP(Y8,CustomerData!$B:$I,8,FALSE)</f>
        <v>#N/A</v>
      </c>
      <c r="Z7" s="26" t="e">
        <f>VLOOKUP(Z8,CustomerData!$B:$I,8,FALSE)</f>
        <v>#N/A</v>
      </c>
      <c r="AA7" s="26" t="e">
        <f>VLOOKUP(AA8,CustomerData!$B:$I,8,FALSE)</f>
        <v>#N/A</v>
      </c>
      <c r="AB7" s="26" t="e">
        <f>VLOOKUP(AB8,CustomerData!$B:$I,8,FALSE)</f>
        <v>#N/A</v>
      </c>
      <c r="AC7" s="26" t="e">
        <f>VLOOKUP(AC8,CustomerData!$B:$I,8,FALSE)</f>
        <v>#N/A</v>
      </c>
      <c r="AD7" s="26" t="e">
        <f>VLOOKUP(AD8,CustomerData!$B:$I,8,FALSE)</f>
        <v>#N/A</v>
      </c>
      <c r="AE7" s="26" t="e">
        <f>VLOOKUP(AE8,CustomerData!$B:$I,8,FALSE)</f>
        <v>#N/A</v>
      </c>
      <c r="AF7" s="26" t="e">
        <f>VLOOKUP(AF8,CustomerData!$B:$I,8,FALSE)</f>
        <v>#N/A</v>
      </c>
      <c r="AG7" s="26" t="e">
        <f>VLOOKUP(AG8,CustomerData!$B:$I,8,FALSE)</f>
        <v>#N/A</v>
      </c>
      <c r="AH7" s="26" t="e">
        <f>VLOOKUP(AH8,CustomerData!$B:$I,8,FALSE)</f>
        <v>#N/A</v>
      </c>
      <c r="AI7" s="26" t="e">
        <f>VLOOKUP(AI8,CustomerData!$B:$I,8,FALSE)</f>
        <v>#N/A</v>
      </c>
    </row>
    <row r="8" spans="1:35" s="44" customFormat="1" ht="30" customHeight="1" x14ac:dyDescent="0.25">
      <c r="A8" s="57" t="s">
        <v>10</v>
      </c>
      <c r="B8" s="58" t="s">
        <v>4</v>
      </c>
      <c r="C8" s="58" t="s">
        <v>6</v>
      </c>
      <c r="D8" s="58" t="s">
        <v>16</v>
      </c>
      <c r="E8" s="27" t="s">
        <v>46</v>
      </c>
      <c r="F8" s="27" t="s">
        <v>123</v>
      </c>
      <c r="G8" s="27" t="s">
        <v>48</v>
      </c>
      <c r="H8" s="27" t="s">
        <v>49</v>
      </c>
      <c r="I8" s="27" t="s">
        <v>17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</row>
    <row r="9" spans="1:35" s="44" customFormat="1" ht="15" x14ac:dyDescent="0.25">
      <c r="A9" s="59">
        <v>1</v>
      </c>
      <c r="B9" s="60">
        <v>0</v>
      </c>
      <c r="C9" s="60">
        <v>0.15</v>
      </c>
      <c r="D9" s="75">
        <f>SUM(E9:AI9)</f>
        <v>864</v>
      </c>
      <c r="E9" s="61">
        <v>864</v>
      </c>
      <c r="F9" s="32">
        <v>0</v>
      </c>
      <c r="G9" s="32">
        <v>0</v>
      </c>
      <c r="H9" s="32">
        <v>0</v>
      </c>
      <c r="I9" s="32">
        <v>0</v>
      </c>
      <c r="J9" s="32"/>
      <c r="K9" s="32"/>
      <c r="L9" s="32"/>
      <c r="M9" s="32"/>
      <c r="N9" s="32"/>
      <c r="O9" s="32"/>
      <c r="P9" s="3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</row>
    <row r="10" spans="1:35" s="44" customFormat="1" ht="15" x14ac:dyDescent="0.25">
      <c r="A10" s="59">
        <v>2</v>
      </c>
      <c r="B10" s="60">
        <v>0.15</v>
      </c>
      <c r="C10" s="60">
        <v>0.3</v>
      </c>
      <c r="D10" s="75">
        <f t="shared" ref="D10:D73" si="0">SUM(E10:AI10)</f>
        <v>864</v>
      </c>
      <c r="E10" s="61">
        <v>864</v>
      </c>
      <c r="F10" s="32">
        <v>0</v>
      </c>
      <c r="G10" s="32">
        <v>0</v>
      </c>
      <c r="H10" s="32">
        <v>0</v>
      </c>
      <c r="I10" s="32">
        <v>0</v>
      </c>
      <c r="J10" s="32"/>
      <c r="K10" s="32"/>
      <c r="L10" s="32"/>
      <c r="M10" s="32"/>
      <c r="N10" s="32"/>
      <c r="O10" s="32"/>
      <c r="P10" s="3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</row>
    <row r="11" spans="1:35" s="44" customFormat="1" ht="15" x14ac:dyDescent="0.25">
      <c r="A11" s="59">
        <v>3</v>
      </c>
      <c r="B11" s="60">
        <v>0.3</v>
      </c>
      <c r="C11" s="60">
        <v>0.45</v>
      </c>
      <c r="D11" s="75">
        <f t="shared" si="0"/>
        <v>864</v>
      </c>
      <c r="E11" s="61">
        <v>864</v>
      </c>
      <c r="F11" s="32">
        <v>0</v>
      </c>
      <c r="G11" s="32">
        <v>0</v>
      </c>
      <c r="H11" s="32">
        <v>0</v>
      </c>
      <c r="I11" s="32">
        <v>0</v>
      </c>
      <c r="J11" s="32"/>
      <c r="K11" s="32"/>
      <c r="L11" s="32"/>
      <c r="M11" s="32"/>
      <c r="N11" s="32"/>
      <c r="O11" s="32"/>
      <c r="P11" s="3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</row>
    <row r="12" spans="1:35" s="44" customFormat="1" ht="15" x14ac:dyDescent="0.25">
      <c r="A12" s="59">
        <v>4</v>
      </c>
      <c r="B12" s="60">
        <v>0.45</v>
      </c>
      <c r="C12" s="60">
        <v>1</v>
      </c>
      <c r="D12" s="75">
        <f t="shared" si="0"/>
        <v>864</v>
      </c>
      <c r="E12" s="61">
        <v>864</v>
      </c>
      <c r="F12" s="32">
        <v>0</v>
      </c>
      <c r="G12" s="32">
        <v>0</v>
      </c>
      <c r="H12" s="32">
        <v>0</v>
      </c>
      <c r="I12" s="32">
        <v>0</v>
      </c>
      <c r="J12" s="32"/>
      <c r="K12" s="32"/>
      <c r="L12" s="32"/>
      <c r="M12" s="32"/>
      <c r="N12" s="32"/>
      <c r="O12" s="32"/>
      <c r="P12" s="3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</row>
    <row r="13" spans="1:35" s="44" customFormat="1" ht="15" x14ac:dyDescent="0.25">
      <c r="A13" s="59">
        <v>5</v>
      </c>
      <c r="B13" s="60">
        <v>1</v>
      </c>
      <c r="C13" s="60">
        <v>1.1499999999999999</v>
      </c>
      <c r="D13" s="75">
        <f t="shared" si="0"/>
        <v>864</v>
      </c>
      <c r="E13" s="61">
        <v>864</v>
      </c>
      <c r="F13" s="32">
        <v>0</v>
      </c>
      <c r="G13" s="32">
        <v>0</v>
      </c>
      <c r="H13" s="32">
        <v>0</v>
      </c>
      <c r="I13" s="32">
        <v>0</v>
      </c>
      <c r="J13" s="32"/>
      <c r="K13" s="32"/>
      <c r="L13" s="32"/>
      <c r="M13" s="32"/>
      <c r="N13" s="32"/>
      <c r="O13" s="32"/>
      <c r="P13" s="3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</row>
    <row r="14" spans="1:35" s="44" customFormat="1" ht="15" x14ac:dyDescent="0.25">
      <c r="A14" s="59">
        <v>6</v>
      </c>
      <c r="B14" s="60">
        <v>1.1499999999999999</v>
      </c>
      <c r="C14" s="60">
        <v>1.3</v>
      </c>
      <c r="D14" s="75">
        <f t="shared" si="0"/>
        <v>864</v>
      </c>
      <c r="E14" s="61">
        <v>864</v>
      </c>
      <c r="F14" s="32">
        <v>0</v>
      </c>
      <c r="G14" s="32">
        <v>0</v>
      </c>
      <c r="H14" s="32">
        <v>0</v>
      </c>
      <c r="I14" s="32">
        <v>0</v>
      </c>
      <c r="J14" s="32"/>
      <c r="K14" s="32"/>
      <c r="L14" s="32"/>
      <c r="M14" s="32"/>
      <c r="N14" s="32"/>
      <c r="O14" s="32"/>
      <c r="P14" s="3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</row>
    <row r="15" spans="1:35" s="44" customFormat="1" ht="15" x14ac:dyDescent="0.25">
      <c r="A15" s="59">
        <v>7</v>
      </c>
      <c r="B15" s="60">
        <v>1.3</v>
      </c>
      <c r="C15" s="60">
        <v>1.45</v>
      </c>
      <c r="D15" s="75">
        <f t="shared" si="0"/>
        <v>864</v>
      </c>
      <c r="E15" s="61">
        <v>864</v>
      </c>
      <c r="F15" s="32">
        <v>0</v>
      </c>
      <c r="G15" s="32">
        <v>0</v>
      </c>
      <c r="H15" s="32">
        <v>0</v>
      </c>
      <c r="I15" s="32">
        <v>0</v>
      </c>
      <c r="J15" s="32"/>
      <c r="K15" s="32"/>
      <c r="L15" s="32"/>
      <c r="M15" s="32"/>
      <c r="N15" s="32"/>
      <c r="O15" s="32"/>
      <c r="P15" s="3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</row>
    <row r="16" spans="1:35" s="44" customFormat="1" ht="15" x14ac:dyDescent="0.25">
      <c r="A16" s="59">
        <v>8</v>
      </c>
      <c r="B16" s="60">
        <v>1.45</v>
      </c>
      <c r="C16" s="60">
        <v>2</v>
      </c>
      <c r="D16" s="75">
        <f t="shared" si="0"/>
        <v>864</v>
      </c>
      <c r="E16" s="61">
        <v>864</v>
      </c>
      <c r="F16" s="32">
        <v>0</v>
      </c>
      <c r="G16" s="32">
        <v>0</v>
      </c>
      <c r="H16" s="32">
        <v>0</v>
      </c>
      <c r="I16" s="32">
        <v>0</v>
      </c>
      <c r="J16" s="32"/>
      <c r="K16" s="32"/>
      <c r="L16" s="32"/>
      <c r="M16" s="32"/>
      <c r="N16" s="32"/>
      <c r="O16" s="32"/>
      <c r="P16" s="3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</row>
    <row r="17" spans="1:35" s="44" customFormat="1" ht="15" x14ac:dyDescent="0.25">
      <c r="A17" s="59">
        <v>9</v>
      </c>
      <c r="B17" s="60">
        <v>2</v>
      </c>
      <c r="C17" s="60">
        <v>2.15</v>
      </c>
      <c r="D17" s="75">
        <f t="shared" si="0"/>
        <v>864</v>
      </c>
      <c r="E17" s="61">
        <v>864</v>
      </c>
      <c r="F17" s="32">
        <v>0</v>
      </c>
      <c r="G17" s="32">
        <v>0</v>
      </c>
      <c r="H17" s="32">
        <v>0</v>
      </c>
      <c r="I17" s="32">
        <v>0</v>
      </c>
      <c r="J17" s="32"/>
      <c r="K17" s="32"/>
      <c r="L17" s="32"/>
      <c r="M17" s="32"/>
      <c r="N17" s="32"/>
      <c r="O17" s="32"/>
      <c r="P17" s="3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</row>
    <row r="18" spans="1:35" s="44" customFormat="1" ht="15" x14ac:dyDescent="0.25">
      <c r="A18" s="59">
        <v>10</v>
      </c>
      <c r="B18" s="60">
        <v>2.15</v>
      </c>
      <c r="C18" s="60">
        <v>2.2999999999999998</v>
      </c>
      <c r="D18" s="75">
        <f t="shared" si="0"/>
        <v>864</v>
      </c>
      <c r="E18" s="61">
        <v>864</v>
      </c>
      <c r="F18" s="32">
        <v>0</v>
      </c>
      <c r="G18" s="32">
        <v>0</v>
      </c>
      <c r="H18" s="32">
        <v>0</v>
      </c>
      <c r="I18" s="32">
        <v>0</v>
      </c>
      <c r="J18" s="32"/>
      <c r="K18" s="32"/>
      <c r="L18" s="32"/>
      <c r="M18" s="32"/>
      <c r="N18" s="32"/>
      <c r="O18" s="32"/>
      <c r="P18" s="3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</row>
    <row r="19" spans="1:35" s="44" customFormat="1" ht="15" x14ac:dyDescent="0.25">
      <c r="A19" s="59">
        <v>11</v>
      </c>
      <c r="B19" s="60">
        <v>2.2999999999999998</v>
      </c>
      <c r="C19" s="60">
        <v>2.4500000000000002</v>
      </c>
      <c r="D19" s="75">
        <f t="shared" si="0"/>
        <v>864</v>
      </c>
      <c r="E19" s="61">
        <v>864</v>
      </c>
      <c r="F19" s="32">
        <v>0</v>
      </c>
      <c r="G19" s="32">
        <v>0</v>
      </c>
      <c r="H19" s="32">
        <v>0</v>
      </c>
      <c r="I19" s="32">
        <v>0</v>
      </c>
      <c r="J19" s="32"/>
      <c r="K19" s="32"/>
      <c r="L19" s="32"/>
      <c r="M19" s="32"/>
      <c r="N19" s="32"/>
      <c r="O19" s="32"/>
      <c r="P19" s="3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</row>
    <row r="20" spans="1:35" s="44" customFormat="1" ht="15" x14ac:dyDescent="0.25">
      <c r="A20" s="59">
        <v>12</v>
      </c>
      <c r="B20" s="60">
        <v>2.4500000000000002</v>
      </c>
      <c r="C20" s="60">
        <v>3</v>
      </c>
      <c r="D20" s="75">
        <f t="shared" si="0"/>
        <v>864</v>
      </c>
      <c r="E20" s="61">
        <v>864</v>
      </c>
      <c r="F20" s="32">
        <v>0</v>
      </c>
      <c r="G20" s="32">
        <v>0</v>
      </c>
      <c r="H20" s="32">
        <v>0</v>
      </c>
      <c r="I20" s="32">
        <v>0</v>
      </c>
      <c r="J20" s="32"/>
      <c r="K20" s="32"/>
      <c r="L20" s="32"/>
      <c r="M20" s="32"/>
      <c r="N20" s="32"/>
      <c r="O20" s="32"/>
      <c r="P20" s="3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</row>
    <row r="21" spans="1:35" s="44" customFormat="1" ht="15" x14ac:dyDescent="0.25">
      <c r="A21" s="59">
        <v>13</v>
      </c>
      <c r="B21" s="60">
        <v>3</v>
      </c>
      <c r="C21" s="60">
        <v>3.15</v>
      </c>
      <c r="D21" s="75">
        <f t="shared" si="0"/>
        <v>864</v>
      </c>
      <c r="E21" s="61">
        <v>864</v>
      </c>
      <c r="F21" s="32">
        <v>0</v>
      </c>
      <c r="G21" s="32">
        <v>0</v>
      </c>
      <c r="H21" s="32">
        <v>0</v>
      </c>
      <c r="I21" s="32">
        <v>0</v>
      </c>
      <c r="J21" s="32"/>
      <c r="K21" s="32"/>
      <c r="L21" s="32"/>
      <c r="M21" s="32"/>
      <c r="N21" s="32"/>
      <c r="O21" s="32"/>
      <c r="P21" s="3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</row>
    <row r="22" spans="1:35" s="44" customFormat="1" ht="15" x14ac:dyDescent="0.25">
      <c r="A22" s="59">
        <v>14</v>
      </c>
      <c r="B22" s="60">
        <v>3.15</v>
      </c>
      <c r="C22" s="60">
        <v>3.3</v>
      </c>
      <c r="D22" s="75">
        <f t="shared" si="0"/>
        <v>864</v>
      </c>
      <c r="E22" s="61">
        <v>864</v>
      </c>
      <c r="F22" s="32">
        <v>0</v>
      </c>
      <c r="G22" s="32">
        <v>0</v>
      </c>
      <c r="H22" s="32">
        <v>0</v>
      </c>
      <c r="I22" s="32">
        <v>0</v>
      </c>
      <c r="J22" s="32"/>
      <c r="K22" s="32"/>
      <c r="L22" s="32"/>
      <c r="M22" s="32"/>
      <c r="N22" s="32"/>
      <c r="O22" s="32"/>
      <c r="P22" s="3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</row>
    <row r="23" spans="1:35" s="44" customFormat="1" ht="15" x14ac:dyDescent="0.25">
      <c r="A23" s="59">
        <v>15</v>
      </c>
      <c r="B23" s="60">
        <v>3.3</v>
      </c>
      <c r="C23" s="60">
        <v>3.45</v>
      </c>
      <c r="D23" s="75">
        <f t="shared" si="0"/>
        <v>864</v>
      </c>
      <c r="E23" s="61">
        <v>864</v>
      </c>
      <c r="F23" s="32">
        <v>0</v>
      </c>
      <c r="G23" s="32">
        <v>0</v>
      </c>
      <c r="H23" s="32">
        <v>0</v>
      </c>
      <c r="I23" s="32">
        <v>0</v>
      </c>
      <c r="J23" s="32"/>
      <c r="K23" s="32"/>
      <c r="L23" s="32"/>
      <c r="M23" s="32"/>
      <c r="N23" s="32"/>
      <c r="O23" s="32"/>
      <c r="P23" s="3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</row>
    <row r="24" spans="1:35" s="44" customFormat="1" ht="15" x14ac:dyDescent="0.25">
      <c r="A24" s="59">
        <v>16</v>
      </c>
      <c r="B24" s="60">
        <v>3.45</v>
      </c>
      <c r="C24" s="60">
        <v>4</v>
      </c>
      <c r="D24" s="75">
        <f t="shared" si="0"/>
        <v>864</v>
      </c>
      <c r="E24" s="61">
        <v>864</v>
      </c>
      <c r="F24" s="32">
        <v>0</v>
      </c>
      <c r="G24" s="32">
        <v>0</v>
      </c>
      <c r="H24" s="32">
        <v>0</v>
      </c>
      <c r="I24" s="32">
        <v>0</v>
      </c>
      <c r="J24" s="32"/>
      <c r="K24" s="32"/>
      <c r="L24" s="32"/>
      <c r="M24" s="32"/>
      <c r="N24" s="32"/>
      <c r="O24" s="32"/>
      <c r="P24" s="3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</row>
    <row r="25" spans="1:35" s="44" customFormat="1" ht="15" x14ac:dyDescent="0.25">
      <c r="A25" s="59">
        <v>17</v>
      </c>
      <c r="B25" s="60">
        <v>4</v>
      </c>
      <c r="C25" s="60">
        <v>4.1500000000000004</v>
      </c>
      <c r="D25" s="75">
        <f t="shared" si="0"/>
        <v>864</v>
      </c>
      <c r="E25" s="61">
        <v>864</v>
      </c>
      <c r="F25" s="32">
        <v>0</v>
      </c>
      <c r="G25" s="32">
        <v>0</v>
      </c>
      <c r="H25" s="32">
        <v>0</v>
      </c>
      <c r="I25" s="32">
        <v>0</v>
      </c>
      <c r="J25" s="32"/>
      <c r="K25" s="32"/>
      <c r="L25" s="32"/>
      <c r="M25" s="32"/>
      <c r="N25" s="32"/>
      <c r="O25" s="32"/>
      <c r="P25" s="3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</row>
    <row r="26" spans="1:35" s="44" customFormat="1" ht="15" x14ac:dyDescent="0.25">
      <c r="A26" s="59">
        <v>18</v>
      </c>
      <c r="B26" s="60">
        <v>4.1500000000000004</v>
      </c>
      <c r="C26" s="60">
        <v>4.3</v>
      </c>
      <c r="D26" s="75">
        <f t="shared" si="0"/>
        <v>864</v>
      </c>
      <c r="E26" s="61">
        <v>864</v>
      </c>
      <c r="F26" s="32">
        <v>0</v>
      </c>
      <c r="G26" s="32">
        <v>0</v>
      </c>
      <c r="H26" s="32">
        <v>0</v>
      </c>
      <c r="I26" s="32">
        <v>0</v>
      </c>
      <c r="J26" s="32"/>
      <c r="K26" s="32"/>
      <c r="L26" s="32"/>
      <c r="M26" s="32"/>
      <c r="N26" s="32"/>
      <c r="O26" s="32"/>
      <c r="P26" s="3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</row>
    <row r="27" spans="1:35" s="44" customFormat="1" ht="15" x14ac:dyDescent="0.25">
      <c r="A27" s="59">
        <v>19</v>
      </c>
      <c r="B27" s="60">
        <v>4.3</v>
      </c>
      <c r="C27" s="60">
        <v>4.45</v>
      </c>
      <c r="D27" s="75">
        <f t="shared" si="0"/>
        <v>864</v>
      </c>
      <c r="E27" s="61">
        <v>864</v>
      </c>
      <c r="F27" s="32">
        <v>0</v>
      </c>
      <c r="G27" s="32">
        <v>0</v>
      </c>
      <c r="H27" s="32">
        <v>0</v>
      </c>
      <c r="I27" s="32">
        <v>0</v>
      </c>
      <c r="J27" s="32"/>
      <c r="K27" s="32"/>
      <c r="L27" s="32"/>
      <c r="M27" s="32"/>
      <c r="N27" s="32"/>
      <c r="O27" s="32"/>
      <c r="P27" s="3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</row>
    <row r="28" spans="1:35" s="44" customFormat="1" ht="15" x14ac:dyDescent="0.25">
      <c r="A28" s="59">
        <v>20</v>
      </c>
      <c r="B28" s="60">
        <v>4.45</v>
      </c>
      <c r="C28" s="60">
        <v>5</v>
      </c>
      <c r="D28" s="75">
        <f t="shared" si="0"/>
        <v>864</v>
      </c>
      <c r="E28" s="61">
        <v>864</v>
      </c>
      <c r="F28" s="32">
        <v>0</v>
      </c>
      <c r="G28" s="32">
        <v>0</v>
      </c>
      <c r="H28" s="32">
        <v>0</v>
      </c>
      <c r="I28" s="32">
        <v>0</v>
      </c>
      <c r="J28" s="32"/>
      <c r="K28" s="32"/>
      <c r="L28" s="32"/>
      <c r="M28" s="32"/>
      <c r="N28" s="32"/>
      <c r="O28" s="32"/>
      <c r="P28" s="3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</row>
    <row r="29" spans="1:35" s="44" customFormat="1" ht="15" x14ac:dyDescent="0.25">
      <c r="A29" s="59">
        <v>21</v>
      </c>
      <c r="B29" s="60">
        <v>5</v>
      </c>
      <c r="C29" s="60">
        <v>5.15</v>
      </c>
      <c r="D29" s="75">
        <f t="shared" si="0"/>
        <v>964</v>
      </c>
      <c r="E29" s="61">
        <v>964</v>
      </c>
      <c r="F29" s="32">
        <v>0</v>
      </c>
      <c r="G29" s="32">
        <v>0</v>
      </c>
      <c r="H29" s="32">
        <v>0</v>
      </c>
      <c r="I29" s="32">
        <v>0</v>
      </c>
      <c r="J29" s="32"/>
      <c r="K29" s="32"/>
      <c r="L29" s="32"/>
      <c r="M29" s="32"/>
      <c r="N29" s="32"/>
      <c r="O29" s="32"/>
      <c r="P29" s="3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</row>
    <row r="30" spans="1:35" s="44" customFormat="1" ht="15" x14ac:dyDescent="0.25">
      <c r="A30" s="59">
        <v>22</v>
      </c>
      <c r="B30" s="60">
        <v>5.15</v>
      </c>
      <c r="C30" s="60">
        <v>5.3</v>
      </c>
      <c r="D30" s="75">
        <f t="shared" si="0"/>
        <v>1064</v>
      </c>
      <c r="E30" s="61">
        <v>1064</v>
      </c>
      <c r="F30" s="32">
        <v>0</v>
      </c>
      <c r="G30" s="32">
        <v>0</v>
      </c>
      <c r="H30" s="32">
        <v>0</v>
      </c>
      <c r="I30" s="32">
        <v>0</v>
      </c>
      <c r="J30" s="32"/>
      <c r="K30" s="32"/>
      <c r="L30" s="32"/>
      <c r="M30" s="32"/>
      <c r="N30" s="32"/>
      <c r="O30" s="32"/>
      <c r="P30" s="3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</row>
    <row r="31" spans="1:35" s="44" customFormat="1" ht="15" x14ac:dyDescent="0.25">
      <c r="A31" s="59">
        <v>23</v>
      </c>
      <c r="B31" s="60">
        <v>5.3</v>
      </c>
      <c r="C31" s="60">
        <v>5.45</v>
      </c>
      <c r="D31" s="75">
        <f t="shared" si="0"/>
        <v>1164</v>
      </c>
      <c r="E31" s="61">
        <v>1164</v>
      </c>
      <c r="F31" s="32">
        <v>0</v>
      </c>
      <c r="G31" s="32">
        <v>0</v>
      </c>
      <c r="H31" s="32">
        <v>0</v>
      </c>
      <c r="I31" s="32">
        <v>0</v>
      </c>
      <c r="J31" s="32"/>
      <c r="K31" s="32"/>
      <c r="L31" s="32"/>
      <c r="M31" s="32"/>
      <c r="N31" s="32"/>
      <c r="O31" s="32"/>
      <c r="P31" s="3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</row>
    <row r="32" spans="1:35" s="44" customFormat="1" ht="15" x14ac:dyDescent="0.25">
      <c r="A32" s="59">
        <v>24</v>
      </c>
      <c r="B32" s="60">
        <v>5.45</v>
      </c>
      <c r="C32" s="60">
        <v>6</v>
      </c>
      <c r="D32" s="75">
        <f t="shared" si="0"/>
        <v>1200</v>
      </c>
      <c r="E32" s="61">
        <v>1200</v>
      </c>
      <c r="F32" s="32">
        <v>0</v>
      </c>
      <c r="G32" s="32">
        <v>0</v>
      </c>
      <c r="H32" s="32">
        <v>0</v>
      </c>
      <c r="I32" s="32">
        <v>0</v>
      </c>
      <c r="J32" s="32"/>
      <c r="K32" s="32"/>
      <c r="L32" s="32"/>
      <c r="M32" s="32"/>
      <c r="N32" s="32"/>
      <c r="O32" s="32"/>
      <c r="P32" s="3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</row>
    <row r="33" spans="1:35" s="44" customFormat="1" ht="15" x14ac:dyDescent="0.25">
      <c r="A33" s="59">
        <v>25</v>
      </c>
      <c r="B33" s="60">
        <v>6</v>
      </c>
      <c r="C33" s="60">
        <v>6.15</v>
      </c>
      <c r="D33" s="75">
        <f t="shared" si="0"/>
        <v>1200</v>
      </c>
      <c r="E33" s="61">
        <v>1200</v>
      </c>
      <c r="F33" s="32">
        <v>0</v>
      </c>
      <c r="G33" s="32">
        <v>0</v>
      </c>
      <c r="H33" s="32">
        <v>0</v>
      </c>
      <c r="I33" s="32">
        <v>0</v>
      </c>
      <c r="J33" s="32"/>
      <c r="K33" s="32"/>
      <c r="L33" s="32"/>
      <c r="M33" s="32"/>
      <c r="N33" s="32"/>
      <c r="O33" s="32"/>
      <c r="P33" s="3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</row>
    <row r="34" spans="1:35" s="44" customFormat="1" ht="15" x14ac:dyDescent="0.25">
      <c r="A34" s="59">
        <v>26</v>
      </c>
      <c r="B34" s="60">
        <v>6.15</v>
      </c>
      <c r="C34" s="60">
        <v>6.3</v>
      </c>
      <c r="D34" s="75">
        <f t="shared" si="0"/>
        <v>1200</v>
      </c>
      <c r="E34" s="61">
        <v>1200</v>
      </c>
      <c r="F34" s="32">
        <v>0</v>
      </c>
      <c r="G34" s="32">
        <v>0</v>
      </c>
      <c r="H34" s="32">
        <v>0</v>
      </c>
      <c r="I34" s="32">
        <v>0</v>
      </c>
      <c r="J34" s="32"/>
      <c r="K34" s="32"/>
      <c r="L34" s="32"/>
      <c r="M34" s="32"/>
      <c r="N34" s="32"/>
      <c r="O34" s="32"/>
      <c r="P34" s="3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</row>
    <row r="35" spans="1:35" s="44" customFormat="1" ht="18" customHeight="1" x14ac:dyDescent="0.25">
      <c r="A35" s="59">
        <v>27</v>
      </c>
      <c r="B35" s="60">
        <v>6.3</v>
      </c>
      <c r="C35" s="60">
        <v>6.45</v>
      </c>
      <c r="D35" s="75">
        <f t="shared" si="0"/>
        <v>1200</v>
      </c>
      <c r="E35" s="61">
        <v>1200</v>
      </c>
      <c r="F35" s="32">
        <v>0</v>
      </c>
      <c r="G35" s="32">
        <v>0</v>
      </c>
      <c r="H35" s="32">
        <v>0</v>
      </c>
      <c r="I35" s="32">
        <v>0</v>
      </c>
      <c r="J35" s="32"/>
      <c r="K35" s="32"/>
      <c r="L35" s="32"/>
      <c r="M35" s="32"/>
      <c r="N35" s="32"/>
      <c r="O35" s="32"/>
      <c r="P35" s="3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</row>
    <row r="36" spans="1:35" s="44" customFormat="1" ht="15" x14ac:dyDescent="0.25">
      <c r="A36" s="59">
        <v>28</v>
      </c>
      <c r="B36" s="60">
        <v>6.45</v>
      </c>
      <c r="C36" s="60">
        <v>7</v>
      </c>
      <c r="D36" s="75">
        <f t="shared" si="0"/>
        <v>1200</v>
      </c>
      <c r="E36" s="61">
        <v>1200</v>
      </c>
      <c r="F36" s="32">
        <v>0</v>
      </c>
      <c r="G36" s="32">
        <v>0</v>
      </c>
      <c r="H36" s="32">
        <v>0</v>
      </c>
      <c r="I36" s="32">
        <v>0</v>
      </c>
      <c r="J36" s="32"/>
      <c r="K36" s="32"/>
      <c r="L36" s="32"/>
      <c r="M36" s="32"/>
      <c r="N36" s="32"/>
      <c r="O36" s="32"/>
      <c r="P36" s="3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</row>
    <row r="37" spans="1:35" s="44" customFormat="1" ht="15" x14ac:dyDescent="0.25">
      <c r="A37" s="59">
        <v>29</v>
      </c>
      <c r="B37" s="60">
        <v>7</v>
      </c>
      <c r="C37" s="60">
        <v>7.15</v>
      </c>
      <c r="D37" s="75">
        <f t="shared" si="0"/>
        <v>1200</v>
      </c>
      <c r="E37" s="61">
        <v>1200</v>
      </c>
      <c r="F37" s="32">
        <v>0</v>
      </c>
      <c r="G37" s="32">
        <v>0</v>
      </c>
      <c r="H37" s="32">
        <v>0</v>
      </c>
      <c r="I37" s="32">
        <v>0</v>
      </c>
      <c r="J37" s="32"/>
      <c r="K37" s="32"/>
      <c r="L37" s="32"/>
      <c r="M37" s="32"/>
      <c r="N37" s="32"/>
      <c r="O37" s="32"/>
      <c r="P37" s="3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</row>
    <row r="38" spans="1:35" s="44" customFormat="1" ht="15" x14ac:dyDescent="0.25">
      <c r="A38" s="59">
        <v>30</v>
      </c>
      <c r="B38" s="60">
        <v>7.15</v>
      </c>
      <c r="C38" s="60">
        <v>7.3</v>
      </c>
      <c r="D38" s="75">
        <f t="shared" si="0"/>
        <v>1200</v>
      </c>
      <c r="E38" s="61">
        <v>1200</v>
      </c>
      <c r="F38" s="32">
        <v>0</v>
      </c>
      <c r="G38" s="32">
        <v>0</v>
      </c>
      <c r="H38" s="32">
        <v>0</v>
      </c>
      <c r="I38" s="32">
        <v>0</v>
      </c>
      <c r="J38" s="32"/>
      <c r="K38" s="32"/>
      <c r="L38" s="32"/>
      <c r="M38" s="32"/>
      <c r="N38" s="32"/>
      <c r="O38" s="32"/>
      <c r="P38" s="3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</row>
    <row r="39" spans="1:35" s="44" customFormat="1" ht="15" x14ac:dyDescent="0.25">
      <c r="A39" s="59">
        <v>31</v>
      </c>
      <c r="B39" s="60">
        <v>7.3</v>
      </c>
      <c r="C39" s="60">
        <v>7.45</v>
      </c>
      <c r="D39" s="75">
        <f t="shared" si="0"/>
        <v>1200</v>
      </c>
      <c r="E39" s="61">
        <v>1200</v>
      </c>
      <c r="F39" s="32">
        <v>0</v>
      </c>
      <c r="G39" s="32">
        <v>0</v>
      </c>
      <c r="H39" s="32">
        <v>0</v>
      </c>
      <c r="I39" s="32">
        <v>0</v>
      </c>
      <c r="J39" s="32"/>
      <c r="K39" s="32"/>
      <c r="L39" s="32"/>
      <c r="M39" s="32"/>
      <c r="N39" s="32"/>
      <c r="O39" s="32"/>
      <c r="P39" s="3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</row>
    <row r="40" spans="1:35" s="44" customFormat="1" ht="15" x14ac:dyDescent="0.25">
      <c r="A40" s="59">
        <v>32</v>
      </c>
      <c r="B40" s="60">
        <v>7.45</v>
      </c>
      <c r="C40" s="60">
        <v>8</v>
      </c>
      <c r="D40" s="75">
        <f t="shared" si="0"/>
        <v>1233.93</v>
      </c>
      <c r="E40" s="61">
        <v>1200</v>
      </c>
      <c r="F40" s="32">
        <v>0</v>
      </c>
      <c r="G40" s="32">
        <v>0</v>
      </c>
      <c r="H40" s="32">
        <v>0</v>
      </c>
      <c r="I40" s="32">
        <v>33.93</v>
      </c>
      <c r="J40" s="32"/>
      <c r="K40" s="32"/>
      <c r="L40" s="32"/>
      <c r="M40" s="32"/>
      <c r="N40" s="32"/>
      <c r="O40" s="32"/>
      <c r="P40" s="3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</row>
    <row r="41" spans="1:35" ht="15" x14ac:dyDescent="0.25">
      <c r="A41" s="59">
        <v>33</v>
      </c>
      <c r="B41" s="60">
        <v>8</v>
      </c>
      <c r="C41" s="60">
        <v>8.15</v>
      </c>
      <c r="D41" s="75">
        <f t="shared" si="0"/>
        <v>1233.93</v>
      </c>
      <c r="E41" s="61">
        <v>1200</v>
      </c>
      <c r="F41" s="32">
        <v>0</v>
      </c>
      <c r="G41" s="32">
        <v>0</v>
      </c>
      <c r="H41" s="32">
        <v>33.93</v>
      </c>
      <c r="I41" s="32">
        <v>0</v>
      </c>
      <c r="J41" s="32"/>
      <c r="K41" s="32"/>
      <c r="L41" s="32"/>
      <c r="M41" s="32"/>
      <c r="N41" s="32"/>
      <c r="O41" s="32"/>
      <c r="P41" s="3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</row>
    <row r="42" spans="1:35" ht="15" x14ac:dyDescent="0.25">
      <c r="A42" s="59">
        <v>34</v>
      </c>
      <c r="B42" s="60">
        <v>8.15</v>
      </c>
      <c r="C42" s="63">
        <v>8.3000000000000007</v>
      </c>
      <c r="D42" s="75">
        <f t="shared" si="0"/>
        <v>1233.93</v>
      </c>
      <c r="E42" s="61">
        <v>1200</v>
      </c>
      <c r="F42" s="32">
        <v>0</v>
      </c>
      <c r="G42" s="32">
        <v>0</v>
      </c>
      <c r="H42" s="32">
        <v>33.93</v>
      </c>
      <c r="I42" s="32">
        <v>0</v>
      </c>
      <c r="J42" s="32"/>
      <c r="K42" s="32"/>
      <c r="L42" s="32"/>
      <c r="M42" s="32"/>
      <c r="N42" s="32"/>
      <c r="O42" s="32"/>
      <c r="P42" s="3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ht="15" x14ac:dyDescent="0.25">
      <c r="A43" s="59">
        <v>35</v>
      </c>
      <c r="B43" s="60">
        <v>8.3000000000000007</v>
      </c>
      <c r="C43" s="60">
        <v>8.4499999999999993</v>
      </c>
      <c r="D43" s="75">
        <f t="shared" si="0"/>
        <v>1200</v>
      </c>
      <c r="E43" s="61">
        <v>1200</v>
      </c>
      <c r="F43" s="32">
        <v>0</v>
      </c>
      <c r="G43" s="32">
        <v>0</v>
      </c>
      <c r="H43" s="32">
        <v>0</v>
      </c>
      <c r="I43" s="32">
        <v>0</v>
      </c>
      <c r="J43" s="32"/>
      <c r="K43" s="32"/>
      <c r="L43" s="32"/>
      <c r="M43" s="32"/>
      <c r="N43" s="32"/>
      <c r="O43" s="32"/>
      <c r="P43" s="3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ht="15" x14ac:dyDescent="0.25">
      <c r="A44" s="59">
        <v>36</v>
      </c>
      <c r="B44" s="60">
        <v>8.4499999999999993</v>
      </c>
      <c r="C44" s="60">
        <v>9</v>
      </c>
      <c r="D44" s="75">
        <f t="shared" si="0"/>
        <v>1200</v>
      </c>
      <c r="E44" s="61">
        <v>1200</v>
      </c>
      <c r="F44" s="32">
        <v>0</v>
      </c>
      <c r="G44" s="32">
        <v>0</v>
      </c>
      <c r="H44" s="32">
        <v>0</v>
      </c>
      <c r="I44" s="32">
        <v>0</v>
      </c>
      <c r="J44" s="32"/>
      <c r="K44" s="32"/>
      <c r="L44" s="32"/>
      <c r="M44" s="32"/>
      <c r="N44" s="32"/>
      <c r="O44" s="32"/>
      <c r="P44" s="3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ht="15" x14ac:dyDescent="0.25">
      <c r="A45" s="59">
        <v>37</v>
      </c>
      <c r="B45" s="60">
        <v>9</v>
      </c>
      <c r="C45" s="60">
        <v>9.15</v>
      </c>
      <c r="D45" s="75">
        <f t="shared" si="0"/>
        <v>1200</v>
      </c>
      <c r="E45" s="61">
        <v>1200</v>
      </c>
      <c r="F45" s="32">
        <v>0</v>
      </c>
      <c r="G45" s="32">
        <v>0</v>
      </c>
      <c r="H45" s="32">
        <v>0</v>
      </c>
      <c r="I45" s="32">
        <v>0</v>
      </c>
      <c r="J45" s="32"/>
      <c r="K45" s="32"/>
      <c r="L45" s="32"/>
      <c r="M45" s="32"/>
      <c r="N45" s="32"/>
      <c r="O45" s="32"/>
      <c r="P45" s="3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ht="15" x14ac:dyDescent="0.25">
      <c r="A46" s="59">
        <v>38</v>
      </c>
      <c r="B46" s="63">
        <v>9.15</v>
      </c>
      <c r="C46" s="63">
        <v>9.3000000000000007</v>
      </c>
      <c r="D46" s="75">
        <f t="shared" si="0"/>
        <v>1200</v>
      </c>
      <c r="E46" s="61">
        <v>1200</v>
      </c>
      <c r="F46" s="32">
        <v>0</v>
      </c>
      <c r="G46" s="32">
        <v>0</v>
      </c>
      <c r="H46" s="32">
        <v>0</v>
      </c>
      <c r="I46" s="32">
        <v>0</v>
      </c>
      <c r="J46" s="32"/>
      <c r="K46" s="32"/>
      <c r="L46" s="32"/>
      <c r="M46" s="32"/>
      <c r="N46" s="32"/>
      <c r="O46" s="32"/>
      <c r="P46" s="3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ht="15" x14ac:dyDescent="0.25">
      <c r="A47" s="59">
        <v>39</v>
      </c>
      <c r="B47" s="60">
        <v>9.3000000000000007</v>
      </c>
      <c r="C47" s="60">
        <v>9.4499999999999993</v>
      </c>
      <c r="D47" s="75">
        <f t="shared" si="0"/>
        <v>1200</v>
      </c>
      <c r="E47" s="61">
        <v>1200</v>
      </c>
      <c r="F47" s="32">
        <v>0</v>
      </c>
      <c r="G47" s="32">
        <v>0</v>
      </c>
      <c r="H47" s="32">
        <v>0</v>
      </c>
      <c r="I47" s="32">
        <v>0</v>
      </c>
      <c r="J47" s="32"/>
      <c r="K47" s="32"/>
      <c r="L47" s="32"/>
      <c r="M47" s="32"/>
      <c r="N47" s="32"/>
      <c r="O47" s="32"/>
      <c r="P47" s="3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ht="15" x14ac:dyDescent="0.25">
      <c r="A48" s="59">
        <v>40</v>
      </c>
      <c r="B48" s="60">
        <v>9.4499999999999993</v>
      </c>
      <c r="C48" s="60">
        <v>10</v>
      </c>
      <c r="D48" s="75">
        <f t="shared" si="0"/>
        <v>1200</v>
      </c>
      <c r="E48" s="61">
        <v>1200</v>
      </c>
      <c r="F48" s="32">
        <v>0</v>
      </c>
      <c r="G48" s="32">
        <v>0</v>
      </c>
      <c r="H48" s="32">
        <v>0</v>
      </c>
      <c r="I48" s="32">
        <v>0</v>
      </c>
      <c r="J48" s="32"/>
      <c r="K48" s="32"/>
      <c r="L48" s="32"/>
      <c r="M48" s="32"/>
      <c r="N48" s="32"/>
      <c r="O48" s="32"/>
      <c r="P48" s="3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ht="15" x14ac:dyDescent="0.25">
      <c r="A49" s="59">
        <v>41</v>
      </c>
      <c r="B49" s="60">
        <v>10</v>
      </c>
      <c r="C49" s="60">
        <v>10.15</v>
      </c>
      <c r="D49" s="75">
        <f t="shared" si="0"/>
        <v>1200</v>
      </c>
      <c r="E49" s="61">
        <v>1200</v>
      </c>
      <c r="F49" s="32">
        <v>0</v>
      </c>
      <c r="G49" s="32">
        <v>0</v>
      </c>
      <c r="H49" s="32">
        <v>0</v>
      </c>
      <c r="I49" s="32">
        <v>0</v>
      </c>
      <c r="J49" s="32"/>
      <c r="K49" s="32"/>
      <c r="L49" s="32"/>
      <c r="M49" s="32"/>
      <c r="N49" s="32"/>
      <c r="O49" s="32"/>
      <c r="P49" s="3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ht="15" x14ac:dyDescent="0.25">
      <c r="A50" s="59">
        <v>42</v>
      </c>
      <c r="B50" s="60">
        <v>10.15</v>
      </c>
      <c r="C50" s="60">
        <v>10.3</v>
      </c>
      <c r="D50" s="75">
        <f t="shared" si="0"/>
        <v>1200</v>
      </c>
      <c r="E50" s="61">
        <v>1200</v>
      </c>
      <c r="F50" s="32">
        <v>0</v>
      </c>
      <c r="G50" s="32">
        <v>0</v>
      </c>
      <c r="H50" s="32">
        <v>0</v>
      </c>
      <c r="I50" s="32">
        <v>0</v>
      </c>
      <c r="J50" s="32"/>
      <c r="K50" s="32"/>
      <c r="L50" s="32"/>
      <c r="M50" s="32"/>
      <c r="N50" s="32"/>
      <c r="O50" s="32"/>
      <c r="P50" s="3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ht="15" x14ac:dyDescent="0.25">
      <c r="A51" s="59">
        <v>43</v>
      </c>
      <c r="B51" s="60">
        <v>10.3</v>
      </c>
      <c r="C51" s="60">
        <v>10.45</v>
      </c>
      <c r="D51" s="75">
        <f t="shared" si="0"/>
        <v>1200</v>
      </c>
      <c r="E51" s="61">
        <v>1200</v>
      </c>
      <c r="F51" s="32">
        <v>0</v>
      </c>
      <c r="G51" s="32">
        <v>0</v>
      </c>
      <c r="H51" s="32">
        <v>0</v>
      </c>
      <c r="I51" s="32">
        <v>0</v>
      </c>
      <c r="J51" s="32"/>
      <c r="K51" s="32"/>
      <c r="L51" s="32"/>
      <c r="M51" s="32"/>
      <c r="N51" s="32"/>
      <c r="O51" s="32"/>
      <c r="P51" s="3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ht="15" x14ac:dyDescent="0.25">
      <c r="A52" s="59">
        <v>44</v>
      </c>
      <c r="B52" s="60">
        <v>10.45</v>
      </c>
      <c r="C52" s="60">
        <v>11</v>
      </c>
      <c r="D52" s="75">
        <f t="shared" si="0"/>
        <v>1200</v>
      </c>
      <c r="E52" s="61">
        <v>1200</v>
      </c>
      <c r="F52" s="32">
        <v>0</v>
      </c>
      <c r="G52" s="32">
        <v>0</v>
      </c>
      <c r="H52" s="32">
        <v>0</v>
      </c>
      <c r="I52" s="32">
        <v>0</v>
      </c>
      <c r="J52" s="32"/>
      <c r="K52" s="32"/>
      <c r="L52" s="32"/>
      <c r="M52" s="32"/>
      <c r="N52" s="32"/>
      <c r="O52" s="32"/>
      <c r="P52" s="3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ht="15" x14ac:dyDescent="0.25">
      <c r="A53" s="59">
        <v>45</v>
      </c>
      <c r="B53" s="60">
        <v>11</v>
      </c>
      <c r="C53" s="60">
        <v>11.15</v>
      </c>
      <c r="D53" s="75">
        <f t="shared" si="0"/>
        <v>1200</v>
      </c>
      <c r="E53" s="61">
        <v>1200</v>
      </c>
      <c r="F53" s="32">
        <v>0</v>
      </c>
      <c r="G53" s="32">
        <v>0</v>
      </c>
      <c r="H53" s="32">
        <v>0</v>
      </c>
      <c r="I53" s="32">
        <v>0</v>
      </c>
      <c r="J53" s="32"/>
      <c r="K53" s="32"/>
      <c r="L53" s="32"/>
      <c r="M53" s="32"/>
      <c r="N53" s="32"/>
      <c r="O53" s="32"/>
      <c r="P53" s="3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ht="15" x14ac:dyDescent="0.25">
      <c r="A54" s="59">
        <v>46</v>
      </c>
      <c r="B54" s="60">
        <v>11.15</v>
      </c>
      <c r="C54" s="60">
        <v>11.3</v>
      </c>
      <c r="D54" s="75">
        <f t="shared" si="0"/>
        <v>1200</v>
      </c>
      <c r="E54" s="61">
        <v>1200</v>
      </c>
      <c r="F54" s="32">
        <v>0</v>
      </c>
      <c r="G54" s="32">
        <v>0</v>
      </c>
      <c r="H54" s="32">
        <v>0</v>
      </c>
      <c r="I54" s="32">
        <v>0</v>
      </c>
      <c r="J54" s="32"/>
      <c r="K54" s="32"/>
      <c r="L54" s="32"/>
      <c r="M54" s="32"/>
      <c r="N54" s="32"/>
      <c r="O54" s="32"/>
      <c r="P54" s="3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ht="15" x14ac:dyDescent="0.25">
      <c r="A55" s="59">
        <v>47</v>
      </c>
      <c r="B55" s="60">
        <v>11.3</v>
      </c>
      <c r="C55" s="60">
        <v>11.45</v>
      </c>
      <c r="D55" s="75">
        <f t="shared" si="0"/>
        <v>1200</v>
      </c>
      <c r="E55" s="61">
        <v>1200</v>
      </c>
      <c r="F55" s="32">
        <v>0</v>
      </c>
      <c r="G55" s="32">
        <v>0</v>
      </c>
      <c r="H55" s="32">
        <v>0</v>
      </c>
      <c r="I55" s="32">
        <v>0</v>
      </c>
      <c r="J55" s="32"/>
      <c r="K55" s="32"/>
      <c r="L55" s="32"/>
      <c r="M55" s="32"/>
      <c r="N55" s="32"/>
      <c r="O55" s="32"/>
      <c r="P55" s="3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ht="15" x14ac:dyDescent="0.25">
      <c r="A56" s="59">
        <v>48</v>
      </c>
      <c r="B56" s="60">
        <v>11.45</v>
      </c>
      <c r="C56" s="60">
        <v>12</v>
      </c>
      <c r="D56" s="75">
        <f t="shared" si="0"/>
        <v>1200</v>
      </c>
      <c r="E56" s="61">
        <v>1200</v>
      </c>
      <c r="F56" s="32">
        <v>0</v>
      </c>
      <c r="G56" s="32">
        <v>0</v>
      </c>
      <c r="H56" s="32">
        <v>0</v>
      </c>
      <c r="I56" s="32">
        <v>0</v>
      </c>
      <c r="J56" s="32"/>
      <c r="K56" s="32"/>
      <c r="L56" s="32"/>
      <c r="M56" s="32"/>
      <c r="N56" s="32"/>
      <c r="O56" s="32"/>
      <c r="P56" s="3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ht="15" x14ac:dyDescent="0.25">
      <c r="A57" s="59">
        <v>49</v>
      </c>
      <c r="B57" s="60">
        <v>12</v>
      </c>
      <c r="C57" s="60">
        <v>12.15</v>
      </c>
      <c r="D57" s="75">
        <f t="shared" si="0"/>
        <v>1200</v>
      </c>
      <c r="E57" s="61">
        <v>1200</v>
      </c>
      <c r="F57" s="32">
        <v>0</v>
      </c>
      <c r="G57" s="32">
        <v>0</v>
      </c>
      <c r="H57" s="32">
        <v>0</v>
      </c>
      <c r="I57" s="32">
        <v>0</v>
      </c>
      <c r="J57" s="32"/>
      <c r="K57" s="32"/>
      <c r="L57" s="32"/>
      <c r="M57" s="32"/>
      <c r="N57" s="32"/>
      <c r="O57" s="32"/>
      <c r="P57" s="3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ht="15" x14ac:dyDescent="0.25">
      <c r="A58" s="59">
        <v>50</v>
      </c>
      <c r="B58" s="60">
        <v>12.15</v>
      </c>
      <c r="C58" s="60">
        <v>12.3</v>
      </c>
      <c r="D58" s="75">
        <f t="shared" si="0"/>
        <v>1200</v>
      </c>
      <c r="E58" s="61">
        <v>1200</v>
      </c>
      <c r="F58" s="32">
        <v>0</v>
      </c>
      <c r="G58" s="32">
        <v>0</v>
      </c>
      <c r="H58" s="32">
        <v>0</v>
      </c>
      <c r="I58" s="32">
        <v>0</v>
      </c>
      <c r="J58" s="32"/>
      <c r="K58" s="32"/>
      <c r="L58" s="32"/>
      <c r="M58" s="32"/>
      <c r="N58" s="32"/>
      <c r="O58" s="32"/>
      <c r="P58" s="3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5" x14ac:dyDescent="0.25">
      <c r="A59" s="59">
        <v>51</v>
      </c>
      <c r="B59" s="60">
        <v>12.3</v>
      </c>
      <c r="C59" s="60">
        <v>12.45</v>
      </c>
      <c r="D59" s="75">
        <f t="shared" si="0"/>
        <v>1200</v>
      </c>
      <c r="E59" s="61">
        <v>1200</v>
      </c>
      <c r="F59" s="32">
        <v>0</v>
      </c>
      <c r="G59" s="32">
        <v>0</v>
      </c>
      <c r="H59" s="32">
        <v>0</v>
      </c>
      <c r="I59" s="32">
        <v>0</v>
      </c>
      <c r="J59" s="32"/>
      <c r="K59" s="32"/>
      <c r="L59" s="32"/>
      <c r="M59" s="32"/>
      <c r="N59" s="32"/>
      <c r="O59" s="32"/>
      <c r="P59" s="3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</row>
    <row r="60" spans="1:35" ht="15" x14ac:dyDescent="0.25">
      <c r="A60" s="59">
        <v>52</v>
      </c>
      <c r="B60" s="60">
        <v>12.45</v>
      </c>
      <c r="C60" s="60">
        <v>13</v>
      </c>
      <c r="D60" s="75">
        <f t="shared" si="0"/>
        <v>1100</v>
      </c>
      <c r="E60" s="61">
        <v>1100</v>
      </c>
      <c r="F60" s="32">
        <v>0</v>
      </c>
      <c r="G60" s="32">
        <v>0</v>
      </c>
      <c r="H60" s="32">
        <v>0</v>
      </c>
      <c r="I60" s="32">
        <v>0</v>
      </c>
      <c r="J60" s="32"/>
      <c r="K60" s="32"/>
      <c r="L60" s="32"/>
      <c r="M60" s="32"/>
      <c r="N60" s="32"/>
      <c r="O60" s="32"/>
      <c r="P60" s="3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</row>
    <row r="61" spans="1:35" ht="14.25" customHeight="1" x14ac:dyDescent="0.25">
      <c r="A61" s="59">
        <v>53</v>
      </c>
      <c r="B61" s="60">
        <v>13</v>
      </c>
      <c r="C61" s="60">
        <v>13.15</v>
      </c>
      <c r="D61" s="75">
        <f t="shared" si="0"/>
        <v>1000</v>
      </c>
      <c r="E61" s="61">
        <v>1000</v>
      </c>
      <c r="F61" s="32">
        <v>0</v>
      </c>
      <c r="G61" s="32">
        <v>0</v>
      </c>
      <c r="H61" s="32">
        <v>0</v>
      </c>
      <c r="I61" s="32">
        <v>0</v>
      </c>
      <c r="J61" s="32"/>
      <c r="K61" s="32"/>
      <c r="L61" s="32"/>
      <c r="M61" s="32"/>
      <c r="N61" s="32"/>
      <c r="O61" s="32"/>
      <c r="P61" s="3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</row>
    <row r="62" spans="1:35" ht="15" x14ac:dyDescent="0.25">
      <c r="A62" s="59">
        <v>54</v>
      </c>
      <c r="B62" s="60">
        <v>13.15</v>
      </c>
      <c r="C62" s="60">
        <v>13.3</v>
      </c>
      <c r="D62" s="75">
        <f t="shared" si="0"/>
        <v>900</v>
      </c>
      <c r="E62" s="61">
        <v>900</v>
      </c>
      <c r="F62" s="32">
        <v>0</v>
      </c>
      <c r="G62" s="32">
        <v>0</v>
      </c>
      <c r="H62" s="32">
        <v>0</v>
      </c>
      <c r="I62" s="32">
        <v>0</v>
      </c>
      <c r="J62" s="32"/>
      <c r="K62" s="32"/>
      <c r="L62" s="32"/>
      <c r="M62" s="32"/>
      <c r="N62" s="32"/>
      <c r="O62" s="32"/>
      <c r="P62" s="3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</row>
    <row r="63" spans="1:35" ht="15" x14ac:dyDescent="0.25">
      <c r="A63" s="59">
        <v>55</v>
      </c>
      <c r="B63" s="60">
        <v>13.3</v>
      </c>
      <c r="C63" s="60">
        <v>13.45</v>
      </c>
      <c r="D63" s="75">
        <f t="shared" si="0"/>
        <v>864</v>
      </c>
      <c r="E63" s="61">
        <v>864</v>
      </c>
      <c r="F63" s="32">
        <v>0</v>
      </c>
      <c r="G63" s="32">
        <v>0</v>
      </c>
      <c r="H63" s="32">
        <v>0</v>
      </c>
      <c r="I63" s="32">
        <v>0</v>
      </c>
      <c r="J63" s="32"/>
      <c r="K63" s="32"/>
      <c r="L63" s="32"/>
      <c r="M63" s="32"/>
      <c r="N63" s="32"/>
      <c r="O63" s="32"/>
      <c r="P63" s="3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</row>
    <row r="64" spans="1:35" ht="15" x14ac:dyDescent="0.25">
      <c r="A64" s="59">
        <v>56</v>
      </c>
      <c r="B64" s="60">
        <v>13.45</v>
      </c>
      <c r="C64" s="60">
        <v>14</v>
      </c>
      <c r="D64" s="75">
        <f t="shared" si="0"/>
        <v>864</v>
      </c>
      <c r="E64" s="61">
        <v>864</v>
      </c>
      <c r="F64" s="32">
        <v>0</v>
      </c>
      <c r="G64" s="32">
        <v>0</v>
      </c>
      <c r="H64" s="32">
        <v>0</v>
      </c>
      <c r="I64" s="32">
        <v>0</v>
      </c>
      <c r="J64" s="32"/>
      <c r="K64" s="32"/>
      <c r="L64" s="32"/>
      <c r="M64" s="32"/>
      <c r="N64" s="32"/>
      <c r="O64" s="32"/>
      <c r="P64" s="3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</row>
    <row r="65" spans="1:35" ht="15" x14ac:dyDescent="0.25">
      <c r="A65" s="59">
        <v>57</v>
      </c>
      <c r="B65" s="60">
        <v>14</v>
      </c>
      <c r="C65" s="60">
        <v>14.15</v>
      </c>
      <c r="D65" s="75">
        <f t="shared" si="0"/>
        <v>864</v>
      </c>
      <c r="E65" s="61">
        <v>864</v>
      </c>
      <c r="F65" s="32">
        <v>0</v>
      </c>
      <c r="G65" s="32">
        <v>0</v>
      </c>
      <c r="H65" s="32">
        <v>0</v>
      </c>
      <c r="I65" s="32">
        <v>0</v>
      </c>
      <c r="J65" s="32"/>
      <c r="K65" s="32"/>
      <c r="L65" s="32"/>
      <c r="M65" s="32"/>
      <c r="N65" s="32"/>
      <c r="O65" s="32"/>
      <c r="P65" s="3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</row>
    <row r="66" spans="1:35" ht="15" x14ac:dyDescent="0.25">
      <c r="A66" s="59">
        <v>58</v>
      </c>
      <c r="B66" s="60">
        <v>14.15</v>
      </c>
      <c r="C66" s="60">
        <v>14.3</v>
      </c>
      <c r="D66" s="75">
        <f t="shared" si="0"/>
        <v>864</v>
      </c>
      <c r="E66" s="61">
        <v>864</v>
      </c>
      <c r="F66" s="32">
        <v>0</v>
      </c>
      <c r="G66" s="32">
        <v>0</v>
      </c>
      <c r="H66" s="32">
        <v>0</v>
      </c>
      <c r="I66" s="32">
        <v>0</v>
      </c>
      <c r="J66" s="32"/>
      <c r="K66" s="32"/>
      <c r="L66" s="32"/>
      <c r="M66" s="32"/>
      <c r="N66" s="32"/>
      <c r="O66" s="32"/>
      <c r="P66" s="3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</row>
    <row r="67" spans="1:35" ht="15" x14ac:dyDescent="0.25">
      <c r="A67" s="59">
        <v>59</v>
      </c>
      <c r="B67" s="60">
        <v>14.3</v>
      </c>
      <c r="C67" s="60">
        <v>14.45</v>
      </c>
      <c r="D67" s="75">
        <f t="shared" si="0"/>
        <v>964</v>
      </c>
      <c r="E67" s="61">
        <v>964</v>
      </c>
      <c r="F67" s="32">
        <v>0</v>
      </c>
      <c r="G67" s="32">
        <v>0</v>
      </c>
      <c r="H67" s="32">
        <v>0</v>
      </c>
      <c r="I67" s="32">
        <v>0</v>
      </c>
      <c r="J67" s="32"/>
      <c r="K67" s="32"/>
      <c r="L67" s="32"/>
      <c r="M67" s="32"/>
      <c r="N67" s="32"/>
      <c r="O67" s="32"/>
      <c r="P67" s="3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</row>
    <row r="68" spans="1:35" ht="15" x14ac:dyDescent="0.25">
      <c r="A68" s="59">
        <v>60</v>
      </c>
      <c r="B68" s="60">
        <v>14.45</v>
      </c>
      <c r="C68" s="60">
        <v>15</v>
      </c>
      <c r="D68" s="75">
        <f t="shared" si="0"/>
        <v>1064</v>
      </c>
      <c r="E68" s="61">
        <v>1064</v>
      </c>
      <c r="F68" s="32">
        <v>0</v>
      </c>
      <c r="G68" s="32">
        <v>0</v>
      </c>
      <c r="H68" s="32">
        <v>0</v>
      </c>
      <c r="I68" s="32">
        <v>0</v>
      </c>
      <c r="J68" s="32"/>
      <c r="K68" s="32"/>
      <c r="L68" s="32"/>
      <c r="M68" s="32"/>
      <c r="N68" s="32"/>
      <c r="O68" s="32"/>
      <c r="P68" s="3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</row>
    <row r="69" spans="1:35" ht="15" x14ac:dyDescent="0.25">
      <c r="A69" s="59">
        <v>61</v>
      </c>
      <c r="B69" s="60">
        <v>15</v>
      </c>
      <c r="C69" s="60">
        <v>15.15</v>
      </c>
      <c r="D69" s="75">
        <f t="shared" si="0"/>
        <v>1064</v>
      </c>
      <c r="E69" s="61">
        <v>1064</v>
      </c>
      <c r="F69" s="32">
        <v>0</v>
      </c>
      <c r="G69" s="32">
        <v>0</v>
      </c>
      <c r="H69" s="32">
        <v>0</v>
      </c>
      <c r="I69" s="32">
        <v>0</v>
      </c>
      <c r="J69" s="32"/>
      <c r="K69" s="32"/>
      <c r="L69" s="32"/>
      <c r="M69" s="32"/>
      <c r="N69" s="32"/>
      <c r="O69" s="32"/>
      <c r="P69" s="3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</row>
    <row r="70" spans="1:35" ht="15" x14ac:dyDescent="0.25">
      <c r="A70" s="59">
        <v>62</v>
      </c>
      <c r="B70" s="60">
        <v>15.15</v>
      </c>
      <c r="C70" s="60">
        <v>15.3</v>
      </c>
      <c r="D70" s="75">
        <f t="shared" si="0"/>
        <v>1064</v>
      </c>
      <c r="E70" s="61">
        <v>1064</v>
      </c>
      <c r="F70" s="32">
        <v>0</v>
      </c>
      <c r="G70" s="32">
        <v>0</v>
      </c>
      <c r="H70" s="32">
        <v>0</v>
      </c>
      <c r="I70" s="32">
        <v>0</v>
      </c>
      <c r="J70" s="32"/>
      <c r="K70" s="32"/>
      <c r="L70" s="32"/>
      <c r="M70" s="32"/>
      <c r="N70" s="32"/>
      <c r="O70" s="32"/>
      <c r="P70" s="3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</row>
    <row r="71" spans="1:35" ht="15" x14ac:dyDescent="0.25">
      <c r="A71" s="59">
        <v>63</v>
      </c>
      <c r="B71" s="60">
        <v>15.3</v>
      </c>
      <c r="C71" s="60">
        <v>15.45</v>
      </c>
      <c r="D71" s="75">
        <f t="shared" si="0"/>
        <v>1164</v>
      </c>
      <c r="E71" s="61">
        <v>1164</v>
      </c>
      <c r="F71" s="32">
        <v>0</v>
      </c>
      <c r="G71" s="32">
        <v>0</v>
      </c>
      <c r="H71" s="32">
        <v>0</v>
      </c>
      <c r="I71" s="32">
        <v>0</v>
      </c>
      <c r="J71" s="32"/>
      <c r="K71" s="32"/>
      <c r="L71" s="32"/>
      <c r="M71" s="32"/>
      <c r="N71" s="32"/>
      <c r="O71" s="32"/>
      <c r="P71" s="3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</row>
    <row r="72" spans="1:35" ht="15" x14ac:dyDescent="0.25">
      <c r="A72" s="59">
        <v>64</v>
      </c>
      <c r="B72" s="60">
        <v>15.45</v>
      </c>
      <c r="C72" s="60">
        <v>16</v>
      </c>
      <c r="D72" s="75">
        <f t="shared" si="0"/>
        <v>1200</v>
      </c>
      <c r="E72" s="61">
        <v>1200</v>
      </c>
      <c r="F72" s="32">
        <v>0</v>
      </c>
      <c r="G72" s="32">
        <v>0</v>
      </c>
      <c r="H72" s="32">
        <v>0</v>
      </c>
      <c r="I72" s="32">
        <v>0</v>
      </c>
      <c r="J72" s="32"/>
      <c r="K72" s="32"/>
      <c r="L72" s="32"/>
      <c r="M72" s="32"/>
      <c r="N72" s="32"/>
      <c r="O72" s="32"/>
      <c r="P72" s="3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</row>
    <row r="73" spans="1:35" ht="15" x14ac:dyDescent="0.25">
      <c r="A73" s="59">
        <v>65</v>
      </c>
      <c r="B73" s="60">
        <v>16</v>
      </c>
      <c r="C73" s="60">
        <v>16.149999999999999</v>
      </c>
      <c r="D73" s="75">
        <f t="shared" si="0"/>
        <v>1200</v>
      </c>
      <c r="E73" s="61">
        <v>1200</v>
      </c>
      <c r="F73" s="32">
        <v>0</v>
      </c>
      <c r="G73" s="32">
        <v>0</v>
      </c>
      <c r="H73" s="32">
        <v>0</v>
      </c>
      <c r="I73" s="32">
        <v>0</v>
      </c>
      <c r="J73" s="32"/>
      <c r="K73" s="32"/>
      <c r="L73" s="32"/>
      <c r="M73" s="32"/>
      <c r="N73" s="32"/>
      <c r="O73" s="32"/>
      <c r="P73" s="3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35" ht="15" x14ac:dyDescent="0.25">
      <c r="A74" s="59">
        <v>66</v>
      </c>
      <c r="B74" s="60">
        <v>16.149999999999999</v>
      </c>
      <c r="C74" s="60">
        <v>16.3</v>
      </c>
      <c r="D74" s="75">
        <f t="shared" ref="D74:D104" si="1">SUM(E74:AI74)</f>
        <v>1200</v>
      </c>
      <c r="E74" s="61">
        <v>1200</v>
      </c>
      <c r="F74" s="32">
        <v>0</v>
      </c>
      <c r="G74" s="32">
        <v>0</v>
      </c>
      <c r="H74" s="32">
        <v>0</v>
      </c>
      <c r="I74" s="32">
        <v>0</v>
      </c>
      <c r="J74" s="32"/>
      <c r="K74" s="32"/>
      <c r="L74" s="32"/>
      <c r="M74" s="32"/>
      <c r="N74" s="32"/>
      <c r="O74" s="32"/>
      <c r="P74" s="3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</row>
    <row r="75" spans="1:35" ht="15" x14ac:dyDescent="0.25">
      <c r="A75" s="59">
        <v>67</v>
      </c>
      <c r="B75" s="60">
        <v>16.3</v>
      </c>
      <c r="C75" s="60">
        <v>16.45</v>
      </c>
      <c r="D75" s="75">
        <f t="shared" si="1"/>
        <v>1200</v>
      </c>
      <c r="E75" s="61">
        <v>1200</v>
      </c>
      <c r="F75" s="32">
        <v>0</v>
      </c>
      <c r="G75" s="32">
        <v>0</v>
      </c>
      <c r="H75" s="32">
        <v>0</v>
      </c>
      <c r="I75" s="32">
        <v>0</v>
      </c>
      <c r="J75" s="32"/>
      <c r="K75" s="32"/>
      <c r="L75" s="32"/>
      <c r="M75" s="32"/>
      <c r="N75" s="32"/>
      <c r="O75" s="32"/>
      <c r="P75" s="3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</row>
    <row r="76" spans="1:35" ht="15" x14ac:dyDescent="0.25">
      <c r="A76" s="59">
        <v>68</v>
      </c>
      <c r="B76" s="60">
        <v>16.45</v>
      </c>
      <c r="C76" s="60">
        <v>17</v>
      </c>
      <c r="D76" s="75">
        <f t="shared" si="1"/>
        <v>1233.93</v>
      </c>
      <c r="E76" s="61">
        <v>1200</v>
      </c>
      <c r="F76" s="32">
        <v>0</v>
      </c>
      <c r="G76" s="32">
        <v>0</v>
      </c>
      <c r="H76" s="32">
        <v>33.93</v>
      </c>
      <c r="I76" s="32">
        <v>0</v>
      </c>
      <c r="J76" s="32"/>
      <c r="K76" s="32"/>
      <c r="L76" s="32"/>
      <c r="M76" s="32"/>
      <c r="N76" s="32"/>
      <c r="O76" s="32"/>
      <c r="P76" s="3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</row>
    <row r="77" spans="1:35" ht="15" x14ac:dyDescent="0.25">
      <c r="A77" s="59">
        <v>69</v>
      </c>
      <c r="B77" s="60">
        <v>17</v>
      </c>
      <c r="C77" s="60">
        <v>17.149999999999999</v>
      </c>
      <c r="D77" s="75">
        <f t="shared" si="1"/>
        <v>1233.93</v>
      </c>
      <c r="E77" s="61">
        <v>1200</v>
      </c>
      <c r="F77" s="32">
        <v>0</v>
      </c>
      <c r="G77" s="32">
        <v>0</v>
      </c>
      <c r="H77" s="32">
        <v>0</v>
      </c>
      <c r="I77" s="32">
        <v>33.93</v>
      </c>
      <c r="J77" s="32"/>
      <c r="K77" s="32"/>
      <c r="L77" s="32"/>
      <c r="M77" s="32"/>
      <c r="N77" s="32"/>
      <c r="O77" s="32"/>
      <c r="P77" s="3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</row>
    <row r="78" spans="1:35" ht="15" x14ac:dyDescent="0.25">
      <c r="A78" s="59">
        <v>70</v>
      </c>
      <c r="B78" s="60">
        <v>17.149999999999999</v>
      </c>
      <c r="C78" s="60">
        <v>17.3</v>
      </c>
      <c r="D78" s="75">
        <f t="shared" si="1"/>
        <v>1233.93</v>
      </c>
      <c r="E78" s="61">
        <v>1200</v>
      </c>
      <c r="F78" s="32">
        <v>0</v>
      </c>
      <c r="G78" s="32">
        <v>0</v>
      </c>
      <c r="H78" s="32">
        <v>0</v>
      </c>
      <c r="I78" s="32">
        <v>33.93</v>
      </c>
      <c r="J78" s="32"/>
      <c r="K78" s="32"/>
      <c r="L78" s="32"/>
      <c r="M78" s="32"/>
      <c r="N78" s="32"/>
      <c r="O78" s="32"/>
      <c r="P78" s="3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</row>
    <row r="79" spans="1:35" ht="15" x14ac:dyDescent="0.25">
      <c r="A79" s="59">
        <v>71</v>
      </c>
      <c r="B79" s="60">
        <v>17.3</v>
      </c>
      <c r="C79" s="60">
        <v>17.45</v>
      </c>
      <c r="D79" s="75">
        <f t="shared" si="1"/>
        <v>1233.93</v>
      </c>
      <c r="E79" s="61">
        <v>1200</v>
      </c>
      <c r="F79" s="32">
        <v>0</v>
      </c>
      <c r="G79" s="32">
        <v>0</v>
      </c>
      <c r="H79" s="32">
        <v>0</v>
      </c>
      <c r="I79" s="32">
        <v>33.93</v>
      </c>
      <c r="J79" s="32"/>
      <c r="K79" s="32"/>
      <c r="L79" s="32"/>
      <c r="M79" s="32"/>
      <c r="N79" s="32"/>
      <c r="O79" s="32"/>
      <c r="P79" s="3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</row>
    <row r="80" spans="1:35" ht="15" x14ac:dyDescent="0.25">
      <c r="A80" s="59">
        <v>72</v>
      </c>
      <c r="B80" s="60">
        <v>17.45</v>
      </c>
      <c r="C80" s="60">
        <v>18</v>
      </c>
      <c r="D80" s="75">
        <f t="shared" si="1"/>
        <v>1233.93</v>
      </c>
      <c r="E80" s="61">
        <v>1200</v>
      </c>
      <c r="F80" s="32">
        <v>0</v>
      </c>
      <c r="G80" s="32">
        <v>0</v>
      </c>
      <c r="H80" s="32">
        <v>0</v>
      </c>
      <c r="I80" s="32">
        <v>33.93</v>
      </c>
      <c r="J80" s="32"/>
      <c r="K80" s="32"/>
      <c r="L80" s="32"/>
      <c r="M80" s="32"/>
      <c r="N80" s="32"/>
      <c r="O80" s="32"/>
      <c r="P80" s="3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</row>
    <row r="81" spans="1:35" ht="15" x14ac:dyDescent="0.25">
      <c r="A81" s="59">
        <v>73</v>
      </c>
      <c r="B81" s="60">
        <v>18</v>
      </c>
      <c r="C81" s="60">
        <v>18.149999999999999</v>
      </c>
      <c r="D81" s="75">
        <f t="shared" si="1"/>
        <v>1233.93</v>
      </c>
      <c r="E81" s="61">
        <v>1200</v>
      </c>
      <c r="F81" s="32">
        <v>0</v>
      </c>
      <c r="G81" s="32">
        <v>0</v>
      </c>
      <c r="H81" s="32">
        <v>0</v>
      </c>
      <c r="I81" s="32">
        <v>33.93</v>
      </c>
      <c r="J81" s="32"/>
      <c r="K81" s="32"/>
      <c r="L81" s="32"/>
      <c r="M81" s="32"/>
      <c r="N81" s="32"/>
      <c r="O81" s="32"/>
      <c r="P81" s="3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</row>
    <row r="82" spans="1:35" ht="15" x14ac:dyDescent="0.25">
      <c r="A82" s="59">
        <v>74</v>
      </c>
      <c r="B82" s="60">
        <v>18.149999999999999</v>
      </c>
      <c r="C82" s="60">
        <v>18.3</v>
      </c>
      <c r="D82" s="75">
        <f t="shared" si="1"/>
        <v>1233.93</v>
      </c>
      <c r="E82" s="61">
        <v>1200</v>
      </c>
      <c r="F82" s="32">
        <v>0</v>
      </c>
      <c r="G82" s="32">
        <v>0</v>
      </c>
      <c r="H82" s="32">
        <v>0</v>
      </c>
      <c r="I82" s="32">
        <v>33.93</v>
      </c>
      <c r="J82" s="32"/>
      <c r="K82" s="32"/>
      <c r="L82" s="32"/>
      <c r="M82" s="32"/>
      <c r="N82" s="32"/>
      <c r="O82" s="32"/>
      <c r="P82" s="3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</row>
    <row r="83" spans="1:35" ht="15" x14ac:dyDescent="0.25">
      <c r="A83" s="59">
        <v>75</v>
      </c>
      <c r="B83" s="60">
        <v>18.3</v>
      </c>
      <c r="C83" s="60">
        <v>18.45</v>
      </c>
      <c r="D83" s="75">
        <f t="shared" si="1"/>
        <v>1233.93</v>
      </c>
      <c r="E83" s="61">
        <v>1200</v>
      </c>
      <c r="F83" s="32">
        <v>0</v>
      </c>
      <c r="G83" s="32">
        <v>0</v>
      </c>
      <c r="H83" s="32">
        <v>0</v>
      </c>
      <c r="I83" s="32">
        <v>33.93</v>
      </c>
      <c r="J83" s="32"/>
      <c r="K83" s="32"/>
      <c r="L83" s="32"/>
      <c r="M83" s="32"/>
      <c r="N83" s="32"/>
      <c r="O83" s="32"/>
      <c r="P83" s="3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</row>
    <row r="84" spans="1:35" ht="15" x14ac:dyDescent="0.25">
      <c r="A84" s="59">
        <v>76</v>
      </c>
      <c r="B84" s="60">
        <v>18.45</v>
      </c>
      <c r="C84" s="60">
        <v>19</v>
      </c>
      <c r="D84" s="75">
        <f t="shared" si="1"/>
        <v>1233.93</v>
      </c>
      <c r="E84" s="61">
        <v>1200</v>
      </c>
      <c r="F84" s="32">
        <v>0</v>
      </c>
      <c r="G84" s="32">
        <v>0</v>
      </c>
      <c r="H84" s="32">
        <v>0</v>
      </c>
      <c r="I84" s="32">
        <v>33.93</v>
      </c>
      <c r="J84" s="32"/>
      <c r="K84" s="32"/>
      <c r="L84" s="32"/>
      <c r="M84" s="32"/>
      <c r="N84" s="32"/>
      <c r="O84" s="32"/>
      <c r="P84" s="3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</row>
    <row r="85" spans="1:35" ht="15" x14ac:dyDescent="0.25">
      <c r="A85" s="59">
        <v>77</v>
      </c>
      <c r="B85" s="60">
        <v>19</v>
      </c>
      <c r="C85" s="60">
        <v>19.149999999999999</v>
      </c>
      <c r="D85" s="75">
        <f t="shared" si="1"/>
        <v>1233.93</v>
      </c>
      <c r="E85" s="61">
        <v>1200</v>
      </c>
      <c r="F85" s="32">
        <v>0</v>
      </c>
      <c r="G85" s="32">
        <v>0</v>
      </c>
      <c r="H85" s="32">
        <v>0</v>
      </c>
      <c r="I85" s="32">
        <v>33.93</v>
      </c>
      <c r="J85" s="32"/>
      <c r="K85" s="32"/>
      <c r="L85" s="32"/>
      <c r="M85" s="32"/>
      <c r="N85" s="32"/>
      <c r="O85" s="32"/>
      <c r="P85" s="3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</row>
    <row r="86" spans="1:35" ht="15" x14ac:dyDescent="0.25">
      <c r="A86" s="59">
        <v>78</v>
      </c>
      <c r="B86" s="60">
        <v>19.149999999999999</v>
      </c>
      <c r="C86" s="60">
        <v>19.3</v>
      </c>
      <c r="D86" s="75">
        <f t="shared" si="1"/>
        <v>1233.93</v>
      </c>
      <c r="E86" s="61">
        <v>1200</v>
      </c>
      <c r="F86" s="32">
        <v>0</v>
      </c>
      <c r="G86" s="32">
        <v>0</v>
      </c>
      <c r="H86" s="32">
        <v>0</v>
      </c>
      <c r="I86" s="32">
        <v>33.93</v>
      </c>
      <c r="J86" s="32"/>
      <c r="K86" s="32"/>
      <c r="L86" s="32"/>
      <c r="M86" s="32"/>
      <c r="N86" s="32"/>
      <c r="O86" s="32"/>
      <c r="P86" s="3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</row>
    <row r="87" spans="1:35" ht="15" x14ac:dyDescent="0.25">
      <c r="A87" s="59">
        <v>79</v>
      </c>
      <c r="B87" s="60">
        <v>19.3</v>
      </c>
      <c r="C87" s="60">
        <v>19.45</v>
      </c>
      <c r="D87" s="75">
        <f t="shared" si="1"/>
        <v>1233.93</v>
      </c>
      <c r="E87" s="61">
        <v>1200</v>
      </c>
      <c r="F87" s="32">
        <v>0</v>
      </c>
      <c r="G87" s="32">
        <v>0</v>
      </c>
      <c r="H87" s="32">
        <v>0</v>
      </c>
      <c r="I87" s="32">
        <v>33.93</v>
      </c>
      <c r="J87" s="32"/>
      <c r="K87" s="32"/>
      <c r="L87" s="32"/>
      <c r="M87" s="32"/>
      <c r="N87" s="32"/>
      <c r="O87" s="32"/>
      <c r="P87" s="3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</row>
    <row r="88" spans="1:35" ht="15" x14ac:dyDescent="0.25">
      <c r="A88" s="59">
        <v>80</v>
      </c>
      <c r="B88" s="60">
        <v>19.45</v>
      </c>
      <c r="C88" s="60">
        <v>20</v>
      </c>
      <c r="D88" s="75">
        <f t="shared" si="1"/>
        <v>1200</v>
      </c>
      <c r="E88" s="61">
        <v>1200</v>
      </c>
      <c r="F88" s="32">
        <v>0</v>
      </c>
      <c r="G88" s="32">
        <v>0</v>
      </c>
      <c r="H88" s="32">
        <v>0</v>
      </c>
      <c r="I88" s="32">
        <v>0</v>
      </c>
      <c r="J88" s="32"/>
      <c r="K88" s="32"/>
      <c r="L88" s="32"/>
      <c r="M88" s="32"/>
      <c r="N88" s="32"/>
      <c r="O88" s="32"/>
      <c r="P88" s="3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</row>
    <row r="89" spans="1:35" ht="15" x14ac:dyDescent="0.25">
      <c r="A89" s="59">
        <v>81</v>
      </c>
      <c r="B89" s="60">
        <v>20</v>
      </c>
      <c r="C89" s="60">
        <v>20.149999999999999</v>
      </c>
      <c r="D89" s="75">
        <f t="shared" si="1"/>
        <v>1200</v>
      </c>
      <c r="E89" s="61">
        <v>1200</v>
      </c>
      <c r="F89" s="32">
        <v>0</v>
      </c>
      <c r="G89" s="32">
        <v>0</v>
      </c>
      <c r="H89" s="32">
        <v>0</v>
      </c>
      <c r="I89" s="32">
        <v>0</v>
      </c>
      <c r="J89" s="32"/>
      <c r="K89" s="32"/>
      <c r="L89" s="32"/>
      <c r="M89" s="32"/>
      <c r="N89" s="32"/>
      <c r="O89" s="32"/>
      <c r="P89" s="3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</row>
    <row r="90" spans="1:35" ht="15" x14ac:dyDescent="0.25">
      <c r="A90" s="59">
        <v>82</v>
      </c>
      <c r="B90" s="60">
        <v>20.149999999999999</v>
      </c>
      <c r="C90" s="60">
        <v>20.3</v>
      </c>
      <c r="D90" s="75">
        <f t="shared" si="1"/>
        <v>1200</v>
      </c>
      <c r="E90" s="61">
        <v>1200</v>
      </c>
      <c r="F90" s="32">
        <v>0</v>
      </c>
      <c r="G90" s="32">
        <v>0</v>
      </c>
      <c r="H90" s="32">
        <v>0</v>
      </c>
      <c r="I90" s="32">
        <v>0</v>
      </c>
      <c r="J90" s="32"/>
      <c r="K90" s="32"/>
      <c r="L90" s="32"/>
      <c r="M90" s="32"/>
      <c r="N90" s="32"/>
      <c r="O90" s="32"/>
      <c r="P90" s="3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</row>
    <row r="91" spans="1:35" ht="15" x14ac:dyDescent="0.25">
      <c r="A91" s="59">
        <v>83</v>
      </c>
      <c r="B91" s="60">
        <v>20.3</v>
      </c>
      <c r="C91" s="60">
        <v>20.45</v>
      </c>
      <c r="D91" s="75">
        <f t="shared" si="1"/>
        <v>1200</v>
      </c>
      <c r="E91" s="61">
        <v>1200</v>
      </c>
      <c r="F91" s="32">
        <v>0</v>
      </c>
      <c r="G91" s="32">
        <v>0</v>
      </c>
      <c r="H91" s="32">
        <v>0</v>
      </c>
      <c r="I91" s="32">
        <v>0</v>
      </c>
      <c r="J91" s="32"/>
      <c r="K91" s="32"/>
      <c r="L91" s="32"/>
      <c r="M91" s="32"/>
      <c r="N91" s="32"/>
      <c r="O91" s="32"/>
      <c r="P91" s="3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</row>
    <row r="92" spans="1:35" ht="15" x14ac:dyDescent="0.25">
      <c r="A92" s="59">
        <v>84</v>
      </c>
      <c r="B92" s="60">
        <v>20.45</v>
      </c>
      <c r="C92" s="60">
        <v>21</v>
      </c>
      <c r="D92" s="75">
        <f t="shared" si="1"/>
        <v>1200</v>
      </c>
      <c r="E92" s="61">
        <v>1200</v>
      </c>
      <c r="F92" s="32">
        <v>0</v>
      </c>
      <c r="G92" s="32">
        <v>0</v>
      </c>
      <c r="H92" s="32">
        <v>0</v>
      </c>
      <c r="I92" s="32">
        <v>0</v>
      </c>
      <c r="J92" s="32"/>
      <c r="K92" s="32"/>
      <c r="L92" s="32"/>
      <c r="M92" s="32"/>
      <c r="N92" s="32"/>
      <c r="O92" s="32"/>
      <c r="P92" s="3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</row>
    <row r="93" spans="1:35" ht="15" x14ac:dyDescent="0.25">
      <c r="A93" s="59">
        <v>85</v>
      </c>
      <c r="B93" s="60">
        <v>21</v>
      </c>
      <c r="C93" s="60">
        <v>21.15</v>
      </c>
      <c r="D93" s="75">
        <f t="shared" si="1"/>
        <v>1200</v>
      </c>
      <c r="E93" s="61">
        <v>1200</v>
      </c>
      <c r="F93" s="32">
        <v>0</v>
      </c>
      <c r="G93" s="32">
        <v>0</v>
      </c>
      <c r="H93" s="32">
        <v>0</v>
      </c>
      <c r="I93" s="32">
        <v>0</v>
      </c>
      <c r="J93" s="32"/>
      <c r="K93" s="32"/>
      <c r="L93" s="32"/>
      <c r="M93" s="32"/>
      <c r="N93" s="32"/>
      <c r="O93" s="32"/>
      <c r="P93" s="3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</row>
    <row r="94" spans="1:35" ht="15" x14ac:dyDescent="0.25">
      <c r="A94" s="59">
        <v>86</v>
      </c>
      <c r="B94" s="60">
        <v>21.15</v>
      </c>
      <c r="C94" s="60">
        <v>21.3</v>
      </c>
      <c r="D94" s="75">
        <f t="shared" si="1"/>
        <v>1200</v>
      </c>
      <c r="E94" s="61">
        <v>1200</v>
      </c>
      <c r="F94" s="32">
        <v>0</v>
      </c>
      <c r="G94" s="32">
        <v>0</v>
      </c>
      <c r="H94" s="32">
        <v>0</v>
      </c>
      <c r="I94" s="32">
        <v>0</v>
      </c>
      <c r="J94" s="32"/>
      <c r="K94" s="32"/>
      <c r="L94" s="32"/>
      <c r="M94" s="32"/>
      <c r="N94" s="32"/>
      <c r="O94" s="32"/>
      <c r="P94" s="3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</row>
    <row r="95" spans="1:35" ht="15" x14ac:dyDescent="0.25">
      <c r="A95" s="59">
        <v>87</v>
      </c>
      <c r="B95" s="60">
        <v>21.3</v>
      </c>
      <c r="C95" s="60">
        <v>21.45</v>
      </c>
      <c r="D95" s="75">
        <f t="shared" si="1"/>
        <v>1200</v>
      </c>
      <c r="E95" s="61">
        <v>1200</v>
      </c>
      <c r="F95" s="32">
        <v>0</v>
      </c>
      <c r="G95" s="32">
        <v>0</v>
      </c>
      <c r="H95" s="32">
        <v>0</v>
      </c>
      <c r="I95" s="32">
        <v>0</v>
      </c>
      <c r="J95" s="32"/>
      <c r="K95" s="32"/>
      <c r="L95" s="32"/>
      <c r="M95" s="32"/>
      <c r="N95" s="32"/>
      <c r="O95" s="32"/>
      <c r="P95" s="3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</row>
    <row r="96" spans="1:35" ht="15" x14ac:dyDescent="0.25">
      <c r="A96" s="59">
        <v>88</v>
      </c>
      <c r="B96" s="60">
        <v>21.45</v>
      </c>
      <c r="C96" s="60">
        <v>22</v>
      </c>
      <c r="D96" s="75">
        <f t="shared" si="1"/>
        <v>1200</v>
      </c>
      <c r="E96" s="61">
        <v>1200</v>
      </c>
      <c r="F96" s="32">
        <v>0</v>
      </c>
      <c r="G96" s="32">
        <v>0</v>
      </c>
      <c r="H96" s="32">
        <v>0</v>
      </c>
      <c r="I96" s="32">
        <v>0</v>
      </c>
      <c r="J96" s="32"/>
      <c r="K96" s="32"/>
      <c r="L96" s="32"/>
      <c r="M96" s="32"/>
      <c r="N96" s="32"/>
      <c r="O96" s="32"/>
      <c r="P96" s="3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</row>
    <row r="97" spans="1:35" ht="15" x14ac:dyDescent="0.25">
      <c r="A97" s="59">
        <v>89</v>
      </c>
      <c r="B97" s="60">
        <v>22</v>
      </c>
      <c r="C97" s="60">
        <v>22.15</v>
      </c>
      <c r="D97" s="75">
        <f t="shared" si="1"/>
        <v>1200</v>
      </c>
      <c r="E97" s="61">
        <v>1200</v>
      </c>
      <c r="F97" s="32">
        <v>0</v>
      </c>
      <c r="G97" s="32">
        <v>0</v>
      </c>
      <c r="H97" s="32">
        <v>0</v>
      </c>
      <c r="I97" s="32">
        <v>0</v>
      </c>
      <c r="J97" s="32"/>
      <c r="K97" s="32"/>
      <c r="L97" s="32"/>
      <c r="M97" s="32"/>
      <c r="N97" s="32"/>
      <c r="O97" s="32"/>
      <c r="P97" s="3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</row>
    <row r="98" spans="1:35" ht="15" x14ac:dyDescent="0.25">
      <c r="A98" s="59">
        <v>90</v>
      </c>
      <c r="B98" s="60">
        <v>22.15</v>
      </c>
      <c r="C98" s="60">
        <v>22.3</v>
      </c>
      <c r="D98" s="75">
        <f t="shared" si="1"/>
        <v>1200</v>
      </c>
      <c r="E98" s="61">
        <v>1200</v>
      </c>
      <c r="F98" s="32">
        <v>0</v>
      </c>
      <c r="G98" s="32">
        <v>0</v>
      </c>
      <c r="H98" s="32">
        <v>0</v>
      </c>
      <c r="I98" s="32">
        <v>0</v>
      </c>
      <c r="J98" s="32"/>
      <c r="K98" s="32"/>
      <c r="L98" s="32"/>
      <c r="M98" s="32"/>
      <c r="N98" s="32"/>
      <c r="O98" s="32"/>
      <c r="P98" s="3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</row>
    <row r="99" spans="1:35" ht="15" x14ac:dyDescent="0.25">
      <c r="A99" s="59">
        <v>91</v>
      </c>
      <c r="B99" s="60">
        <v>22.3</v>
      </c>
      <c r="C99" s="60">
        <v>22.45</v>
      </c>
      <c r="D99" s="75">
        <f t="shared" si="1"/>
        <v>1200</v>
      </c>
      <c r="E99" s="61">
        <v>1200</v>
      </c>
      <c r="F99" s="32">
        <v>0</v>
      </c>
      <c r="G99" s="32">
        <v>0</v>
      </c>
      <c r="H99" s="32">
        <v>0</v>
      </c>
      <c r="I99" s="32">
        <v>0</v>
      </c>
      <c r="J99" s="32"/>
      <c r="K99" s="32"/>
      <c r="L99" s="32"/>
      <c r="M99" s="32"/>
      <c r="N99" s="32"/>
      <c r="O99" s="32"/>
      <c r="P99" s="3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</row>
    <row r="100" spans="1:35" ht="15" x14ac:dyDescent="0.25">
      <c r="A100" s="59">
        <v>92</v>
      </c>
      <c r="B100" s="60">
        <v>22.45</v>
      </c>
      <c r="C100" s="60">
        <v>23</v>
      </c>
      <c r="D100" s="75">
        <f t="shared" si="1"/>
        <v>1200</v>
      </c>
      <c r="E100" s="61">
        <v>1200</v>
      </c>
      <c r="F100" s="32">
        <v>0</v>
      </c>
      <c r="G100" s="32">
        <v>0</v>
      </c>
      <c r="H100" s="32">
        <v>0</v>
      </c>
      <c r="I100" s="32">
        <v>0</v>
      </c>
      <c r="J100" s="32"/>
      <c r="K100" s="32"/>
      <c r="L100" s="32"/>
      <c r="M100" s="32"/>
      <c r="N100" s="32"/>
      <c r="O100" s="32"/>
      <c r="P100" s="3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</row>
    <row r="101" spans="1:35" ht="15" x14ac:dyDescent="0.25">
      <c r="A101" s="59">
        <v>93</v>
      </c>
      <c r="B101" s="60">
        <v>23</v>
      </c>
      <c r="C101" s="60">
        <v>23.15</v>
      </c>
      <c r="D101" s="75">
        <f t="shared" si="1"/>
        <v>1200</v>
      </c>
      <c r="E101" s="61">
        <v>1200</v>
      </c>
      <c r="F101" s="32">
        <v>0</v>
      </c>
      <c r="G101" s="32">
        <v>0</v>
      </c>
      <c r="H101" s="32">
        <v>0</v>
      </c>
      <c r="I101" s="32">
        <v>0</v>
      </c>
      <c r="J101" s="32"/>
      <c r="K101" s="32"/>
      <c r="L101" s="32"/>
      <c r="M101" s="32"/>
      <c r="N101" s="32"/>
      <c r="O101" s="32"/>
      <c r="P101" s="3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</row>
    <row r="102" spans="1:35" ht="15" x14ac:dyDescent="0.25">
      <c r="A102" s="59">
        <v>94</v>
      </c>
      <c r="B102" s="60">
        <v>23.15</v>
      </c>
      <c r="C102" s="60">
        <v>23.3</v>
      </c>
      <c r="D102" s="75">
        <f t="shared" si="1"/>
        <v>1200</v>
      </c>
      <c r="E102" s="61">
        <v>1200</v>
      </c>
      <c r="F102" s="32">
        <v>0</v>
      </c>
      <c r="G102" s="32">
        <v>0</v>
      </c>
      <c r="H102" s="32">
        <v>0</v>
      </c>
      <c r="I102" s="32">
        <v>0</v>
      </c>
      <c r="J102" s="32"/>
      <c r="K102" s="32"/>
      <c r="L102" s="32"/>
      <c r="M102" s="32"/>
      <c r="N102" s="32"/>
      <c r="O102" s="32"/>
      <c r="P102" s="3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</row>
    <row r="103" spans="1:35" ht="15" x14ac:dyDescent="0.25">
      <c r="A103" s="59">
        <v>95</v>
      </c>
      <c r="B103" s="60">
        <v>23.3</v>
      </c>
      <c r="C103" s="60">
        <v>23.45</v>
      </c>
      <c r="D103" s="75">
        <f t="shared" si="1"/>
        <v>1200</v>
      </c>
      <c r="E103" s="61">
        <v>1200</v>
      </c>
      <c r="F103" s="32">
        <v>0</v>
      </c>
      <c r="G103" s="32">
        <v>0</v>
      </c>
      <c r="H103" s="32">
        <v>0</v>
      </c>
      <c r="I103" s="32">
        <v>0</v>
      </c>
      <c r="J103" s="32"/>
      <c r="K103" s="32"/>
      <c r="L103" s="32"/>
      <c r="M103" s="32"/>
      <c r="N103" s="32"/>
      <c r="O103" s="32"/>
      <c r="P103" s="3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</row>
    <row r="104" spans="1:35" ht="15" x14ac:dyDescent="0.25">
      <c r="A104" s="59">
        <v>96</v>
      </c>
      <c r="B104" s="60">
        <v>23.45</v>
      </c>
      <c r="C104" s="60">
        <v>24</v>
      </c>
      <c r="D104" s="75">
        <f t="shared" si="1"/>
        <v>1200</v>
      </c>
      <c r="E104" s="61">
        <v>1200</v>
      </c>
      <c r="F104" s="32">
        <v>0</v>
      </c>
      <c r="G104" s="32">
        <v>0</v>
      </c>
      <c r="H104" s="32">
        <v>0</v>
      </c>
      <c r="I104" s="32">
        <v>0</v>
      </c>
      <c r="J104" s="32"/>
      <c r="K104" s="32"/>
      <c r="L104" s="32"/>
      <c r="M104" s="32"/>
      <c r="N104" s="32"/>
      <c r="O104" s="32"/>
      <c r="P104" s="3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</row>
    <row r="108" spans="1:35" x14ac:dyDescent="0.25">
      <c r="D108" s="64"/>
      <c r="E108" s="64"/>
    </row>
    <row r="290" spans="1:13" x14ac:dyDescent="0.25">
      <c r="A290" s="40">
        <f>SUM(E9:L104)</f>
        <v>105956.94999999992</v>
      </c>
    </row>
    <row r="291" spans="1:13" x14ac:dyDescent="0.25">
      <c r="A291" s="40">
        <v>1</v>
      </c>
    </row>
    <row r="292" spans="1:13" x14ac:dyDescent="0.25">
      <c r="A292" s="40">
        <v>1</v>
      </c>
      <c r="B292" s="40">
        <v>521</v>
      </c>
      <c r="C292" s="40">
        <v>281</v>
      </c>
      <c r="D292" s="40">
        <v>3</v>
      </c>
      <c r="E292" s="40">
        <v>180</v>
      </c>
      <c r="F292" s="40">
        <v>0</v>
      </c>
      <c r="G292" s="40">
        <v>0</v>
      </c>
      <c r="H292" s="40">
        <v>45</v>
      </c>
      <c r="I292" s="40">
        <v>12</v>
      </c>
      <c r="J292" s="40">
        <v>0</v>
      </c>
    </row>
    <row r="293" spans="1:13" x14ac:dyDescent="0.25">
      <c r="A293" s="40">
        <v>0</v>
      </c>
      <c r="B293" s="65">
        <f>D9</f>
        <v>864</v>
      </c>
      <c r="C293" s="65">
        <f t="shared" ref="C293:M308" si="2">E9</f>
        <v>864</v>
      </c>
      <c r="D293" s="65">
        <f t="shared" si="2"/>
        <v>0</v>
      </c>
      <c r="E293" s="65">
        <f t="shared" si="2"/>
        <v>0</v>
      </c>
      <c r="F293" s="65">
        <f t="shared" si="2"/>
        <v>0</v>
      </c>
      <c r="G293" s="65">
        <f t="shared" si="2"/>
        <v>0</v>
      </c>
      <c r="H293" s="65">
        <f t="shared" si="2"/>
        <v>0</v>
      </c>
      <c r="I293" s="65">
        <f t="shared" ref="I293:J324" si="3">L9</f>
        <v>0</v>
      </c>
      <c r="J293" s="65">
        <f t="shared" si="3"/>
        <v>0</v>
      </c>
      <c r="K293" s="65"/>
      <c r="L293" s="65">
        <f t="shared" si="2"/>
        <v>0</v>
      </c>
      <c r="M293" s="65">
        <f t="shared" si="2"/>
        <v>0</v>
      </c>
    </row>
    <row r="294" spans="1:13" x14ac:dyDescent="0.25">
      <c r="A294" s="40">
        <v>0</v>
      </c>
      <c r="B294" s="65">
        <f t="shared" ref="B294:M330" si="4">D10</f>
        <v>864</v>
      </c>
      <c r="C294" s="65">
        <f t="shared" si="2"/>
        <v>864</v>
      </c>
      <c r="D294" s="65">
        <f t="shared" si="2"/>
        <v>0</v>
      </c>
      <c r="E294" s="65">
        <f t="shared" si="2"/>
        <v>0</v>
      </c>
      <c r="F294" s="65">
        <f t="shared" si="2"/>
        <v>0</v>
      </c>
      <c r="G294" s="65">
        <f t="shared" si="2"/>
        <v>0</v>
      </c>
      <c r="H294" s="65">
        <f t="shared" si="2"/>
        <v>0</v>
      </c>
      <c r="I294" s="65">
        <f t="shared" si="3"/>
        <v>0</v>
      </c>
      <c r="J294" s="65">
        <f t="shared" si="3"/>
        <v>0</v>
      </c>
      <c r="K294" s="65"/>
      <c r="L294" s="65">
        <f t="shared" si="2"/>
        <v>0</v>
      </c>
      <c r="M294" s="65">
        <f t="shared" si="2"/>
        <v>0</v>
      </c>
    </row>
    <row r="295" spans="1:13" x14ac:dyDescent="0.25">
      <c r="A295" s="40">
        <v>0</v>
      </c>
      <c r="B295" s="65">
        <f t="shared" si="4"/>
        <v>864</v>
      </c>
      <c r="C295" s="65">
        <f t="shared" si="2"/>
        <v>864</v>
      </c>
      <c r="D295" s="65">
        <f t="shared" si="2"/>
        <v>0</v>
      </c>
      <c r="E295" s="65">
        <f t="shared" si="2"/>
        <v>0</v>
      </c>
      <c r="F295" s="65">
        <f t="shared" si="2"/>
        <v>0</v>
      </c>
      <c r="G295" s="65">
        <f t="shared" si="2"/>
        <v>0</v>
      </c>
      <c r="H295" s="65">
        <f t="shared" si="2"/>
        <v>0</v>
      </c>
      <c r="I295" s="65">
        <f t="shared" si="3"/>
        <v>0</v>
      </c>
      <c r="J295" s="65">
        <f t="shared" si="3"/>
        <v>0</v>
      </c>
      <c r="K295" s="65"/>
      <c r="L295" s="65">
        <f t="shared" si="2"/>
        <v>0</v>
      </c>
      <c r="M295" s="65">
        <f t="shared" si="2"/>
        <v>0</v>
      </c>
    </row>
    <row r="296" spans="1:13" x14ac:dyDescent="0.25">
      <c r="A296" s="40">
        <v>0</v>
      </c>
      <c r="B296" s="65">
        <f t="shared" si="4"/>
        <v>864</v>
      </c>
      <c r="C296" s="65">
        <f t="shared" si="2"/>
        <v>864</v>
      </c>
      <c r="D296" s="65">
        <f t="shared" si="2"/>
        <v>0</v>
      </c>
      <c r="E296" s="65">
        <f t="shared" si="2"/>
        <v>0</v>
      </c>
      <c r="F296" s="65">
        <f t="shared" si="2"/>
        <v>0</v>
      </c>
      <c r="G296" s="65">
        <f t="shared" si="2"/>
        <v>0</v>
      </c>
      <c r="H296" s="65">
        <f t="shared" si="2"/>
        <v>0</v>
      </c>
      <c r="I296" s="65">
        <f t="shared" si="3"/>
        <v>0</v>
      </c>
      <c r="J296" s="65">
        <f t="shared" si="3"/>
        <v>0</v>
      </c>
      <c r="K296" s="65"/>
      <c r="L296" s="65">
        <f t="shared" si="2"/>
        <v>0</v>
      </c>
      <c r="M296" s="65">
        <f t="shared" si="2"/>
        <v>0</v>
      </c>
    </row>
    <row r="297" spans="1:13" x14ac:dyDescent="0.25">
      <c r="A297" s="40">
        <v>0</v>
      </c>
      <c r="B297" s="65">
        <f t="shared" si="4"/>
        <v>864</v>
      </c>
      <c r="C297" s="65">
        <f t="shared" si="2"/>
        <v>864</v>
      </c>
      <c r="D297" s="65">
        <f t="shared" si="2"/>
        <v>0</v>
      </c>
      <c r="E297" s="65">
        <f t="shared" si="2"/>
        <v>0</v>
      </c>
      <c r="F297" s="65">
        <f t="shared" si="2"/>
        <v>0</v>
      </c>
      <c r="G297" s="65">
        <f t="shared" si="2"/>
        <v>0</v>
      </c>
      <c r="H297" s="65">
        <f t="shared" si="2"/>
        <v>0</v>
      </c>
      <c r="I297" s="65">
        <f t="shared" si="3"/>
        <v>0</v>
      </c>
      <c r="J297" s="65">
        <f t="shared" si="3"/>
        <v>0</v>
      </c>
      <c r="K297" s="65"/>
      <c r="L297" s="65">
        <f t="shared" si="2"/>
        <v>0</v>
      </c>
      <c r="M297" s="65">
        <f t="shared" si="2"/>
        <v>0</v>
      </c>
    </row>
    <row r="298" spans="1:13" x14ac:dyDescent="0.25">
      <c r="A298" s="40">
        <v>0</v>
      </c>
      <c r="B298" s="65">
        <f t="shared" si="4"/>
        <v>864</v>
      </c>
      <c r="C298" s="65">
        <f t="shared" si="2"/>
        <v>864</v>
      </c>
      <c r="D298" s="65">
        <f t="shared" si="2"/>
        <v>0</v>
      </c>
      <c r="E298" s="65">
        <f t="shared" si="2"/>
        <v>0</v>
      </c>
      <c r="F298" s="65">
        <f t="shared" si="2"/>
        <v>0</v>
      </c>
      <c r="G298" s="65">
        <f t="shared" si="2"/>
        <v>0</v>
      </c>
      <c r="H298" s="65">
        <f t="shared" si="2"/>
        <v>0</v>
      </c>
      <c r="I298" s="65">
        <f t="shared" si="3"/>
        <v>0</v>
      </c>
      <c r="J298" s="65">
        <f t="shared" si="3"/>
        <v>0</v>
      </c>
      <c r="K298" s="65"/>
      <c r="L298" s="65">
        <f t="shared" si="2"/>
        <v>0</v>
      </c>
      <c r="M298" s="65">
        <f t="shared" si="2"/>
        <v>0</v>
      </c>
    </row>
    <row r="299" spans="1:13" x14ac:dyDescent="0.25">
      <c r="A299" s="40">
        <v>0</v>
      </c>
      <c r="B299" s="65">
        <f t="shared" si="4"/>
        <v>864</v>
      </c>
      <c r="C299" s="65">
        <f t="shared" si="2"/>
        <v>864</v>
      </c>
      <c r="D299" s="65">
        <f t="shared" si="2"/>
        <v>0</v>
      </c>
      <c r="E299" s="65">
        <f t="shared" si="2"/>
        <v>0</v>
      </c>
      <c r="F299" s="65">
        <f t="shared" si="2"/>
        <v>0</v>
      </c>
      <c r="G299" s="65">
        <f t="shared" si="2"/>
        <v>0</v>
      </c>
      <c r="H299" s="65">
        <f t="shared" si="2"/>
        <v>0</v>
      </c>
      <c r="I299" s="65">
        <f t="shared" si="3"/>
        <v>0</v>
      </c>
      <c r="J299" s="65">
        <f t="shared" si="3"/>
        <v>0</v>
      </c>
      <c r="K299" s="65"/>
      <c r="L299" s="65">
        <f t="shared" si="2"/>
        <v>0</v>
      </c>
      <c r="M299" s="65">
        <f t="shared" si="2"/>
        <v>0</v>
      </c>
    </row>
    <row r="300" spans="1:13" x14ac:dyDescent="0.25">
      <c r="A300" s="40">
        <v>0</v>
      </c>
      <c r="B300" s="65">
        <f t="shared" si="4"/>
        <v>864</v>
      </c>
      <c r="C300" s="65">
        <f t="shared" si="2"/>
        <v>864</v>
      </c>
      <c r="D300" s="65">
        <f t="shared" si="2"/>
        <v>0</v>
      </c>
      <c r="E300" s="65">
        <f t="shared" si="2"/>
        <v>0</v>
      </c>
      <c r="F300" s="65">
        <f t="shared" si="2"/>
        <v>0</v>
      </c>
      <c r="G300" s="65">
        <f t="shared" si="2"/>
        <v>0</v>
      </c>
      <c r="H300" s="65">
        <f t="shared" si="2"/>
        <v>0</v>
      </c>
      <c r="I300" s="65">
        <f t="shared" si="3"/>
        <v>0</v>
      </c>
      <c r="J300" s="65">
        <f t="shared" si="3"/>
        <v>0</v>
      </c>
      <c r="K300" s="65"/>
      <c r="L300" s="65">
        <f t="shared" si="2"/>
        <v>0</v>
      </c>
      <c r="M300" s="65">
        <f t="shared" si="2"/>
        <v>0</v>
      </c>
    </row>
    <row r="301" spans="1:13" x14ac:dyDescent="0.25">
      <c r="A301" s="40">
        <v>0</v>
      </c>
      <c r="B301" s="65">
        <f t="shared" si="4"/>
        <v>864</v>
      </c>
      <c r="C301" s="65">
        <f t="shared" si="2"/>
        <v>864</v>
      </c>
      <c r="D301" s="65">
        <f t="shared" si="2"/>
        <v>0</v>
      </c>
      <c r="E301" s="65">
        <f t="shared" si="2"/>
        <v>0</v>
      </c>
      <c r="F301" s="65">
        <f t="shared" si="2"/>
        <v>0</v>
      </c>
      <c r="G301" s="65">
        <f t="shared" si="2"/>
        <v>0</v>
      </c>
      <c r="H301" s="65">
        <f t="shared" si="2"/>
        <v>0</v>
      </c>
      <c r="I301" s="65">
        <f t="shared" si="3"/>
        <v>0</v>
      </c>
      <c r="J301" s="65">
        <f t="shared" si="3"/>
        <v>0</v>
      </c>
      <c r="K301" s="65"/>
      <c r="L301" s="65">
        <f t="shared" si="2"/>
        <v>0</v>
      </c>
      <c r="M301" s="65">
        <f t="shared" si="2"/>
        <v>0</v>
      </c>
    </row>
    <row r="302" spans="1:13" x14ac:dyDescent="0.25">
      <c r="A302" s="40">
        <v>0</v>
      </c>
      <c r="B302" s="65">
        <f t="shared" si="4"/>
        <v>864</v>
      </c>
      <c r="C302" s="65">
        <f t="shared" si="2"/>
        <v>864</v>
      </c>
      <c r="D302" s="65">
        <f t="shared" si="2"/>
        <v>0</v>
      </c>
      <c r="E302" s="65">
        <f t="shared" si="2"/>
        <v>0</v>
      </c>
      <c r="F302" s="65">
        <f t="shared" si="2"/>
        <v>0</v>
      </c>
      <c r="G302" s="65">
        <f t="shared" si="2"/>
        <v>0</v>
      </c>
      <c r="H302" s="65">
        <f t="shared" si="2"/>
        <v>0</v>
      </c>
      <c r="I302" s="65">
        <f t="shared" si="3"/>
        <v>0</v>
      </c>
      <c r="J302" s="65">
        <f t="shared" si="3"/>
        <v>0</v>
      </c>
      <c r="K302" s="65"/>
      <c r="L302" s="65">
        <f t="shared" si="2"/>
        <v>0</v>
      </c>
      <c r="M302" s="65">
        <f t="shared" si="2"/>
        <v>0</v>
      </c>
    </row>
    <row r="303" spans="1:13" x14ac:dyDescent="0.25">
      <c r="A303" s="40">
        <v>0</v>
      </c>
      <c r="B303" s="65">
        <f t="shared" si="4"/>
        <v>864</v>
      </c>
      <c r="C303" s="65">
        <f t="shared" si="2"/>
        <v>864</v>
      </c>
      <c r="D303" s="65">
        <f t="shared" si="2"/>
        <v>0</v>
      </c>
      <c r="E303" s="65">
        <f t="shared" si="2"/>
        <v>0</v>
      </c>
      <c r="F303" s="65">
        <f t="shared" si="2"/>
        <v>0</v>
      </c>
      <c r="G303" s="65">
        <f t="shared" si="2"/>
        <v>0</v>
      </c>
      <c r="H303" s="65">
        <f t="shared" si="2"/>
        <v>0</v>
      </c>
      <c r="I303" s="65">
        <f t="shared" si="3"/>
        <v>0</v>
      </c>
      <c r="J303" s="65">
        <f t="shared" si="3"/>
        <v>0</v>
      </c>
      <c r="K303" s="65"/>
      <c r="L303" s="65">
        <f t="shared" si="2"/>
        <v>0</v>
      </c>
      <c r="M303" s="65">
        <f t="shared" si="2"/>
        <v>0</v>
      </c>
    </row>
    <row r="304" spans="1:13" x14ac:dyDescent="0.25">
      <c r="A304" s="40">
        <v>0</v>
      </c>
      <c r="B304" s="65">
        <f t="shared" si="4"/>
        <v>864</v>
      </c>
      <c r="C304" s="65">
        <f t="shared" si="2"/>
        <v>864</v>
      </c>
      <c r="D304" s="65">
        <f t="shared" si="2"/>
        <v>0</v>
      </c>
      <c r="E304" s="65">
        <f t="shared" si="2"/>
        <v>0</v>
      </c>
      <c r="F304" s="65">
        <f t="shared" si="2"/>
        <v>0</v>
      </c>
      <c r="G304" s="65">
        <f t="shared" si="2"/>
        <v>0</v>
      </c>
      <c r="H304" s="65">
        <f t="shared" si="2"/>
        <v>0</v>
      </c>
      <c r="I304" s="65">
        <f t="shared" si="3"/>
        <v>0</v>
      </c>
      <c r="J304" s="65">
        <f t="shared" si="3"/>
        <v>0</v>
      </c>
      <c r="K304" s="65"/>
      <c r="L304" s="65">
        <f t="shared" si="2"/>
        <v>0</v>
      </c>
      <c r="M304" s="65">
        <f t="shared" si="2"/>
        <v>0</v>
      </c>
    </row>
    <row r="305" spans="1:13" x14ac:dyDescent="0.25">
      <c r="A305" s="40">
        <v>0</v>
      </c>
      <c r="B305" s="65">
        <f t="shared" si="4"/>
        <v>864</v>
      </c>
      <c r="C305" s="65">
        <f t="shared" si="2"/>
        <v>864</v>
      </c>
      <c r="D305" s="65">
        <f t="shared" si="2"/>
        <v>0</v>
      </c>
      <c r="E305" s="65">
        <f t="shared" si="2"/>
        <v>0</v>
      </c>
      <c r="F305" s="65">
        <f t="shared" si="2"/>
        <v>0</v>
      </c>
      <c r="G305" s="65">
        <f t="shared" si="2"/>
        <v>0</v>
      </c>
      <c r="H305" s="65">
        <f t="shared" si="2"/>
        <v>0</v>
      </c>
      <c r="I305" s="65">
        <f t="shared" si="3"/>
        <v>0</v>
      </c>
      <c r="J305" s="65">
        <f t="shared" si="3"/>
        <v>0</v>
      </c>
      <c r="K305" s="65"/>
      <c r="L305" s="65">
        <f t="shared" si="2"/>
        <v>0</v>
      </c>
      <c r="M305" s="65">
        <f t="shared" si="2"/>
        <v>0</v>
      </c>
    </row>
    <row r="306" spans="1:13" x14ac:dyDescent="0.25">
      <c r="A306" s="40">
        <v>0</v>
      </c>
      <c r="B306" s="65">
        <f t="shared" si="4"/>
        <v>864</v>
      </c>
      <c r="C306" s="65">
        <f t="shared" si="2"/>
        <v>864</v>
      </c>
      <c r="D306" s="65">
        <f t="shared" si="2"/>
        <v>0</v>
      </c>
      <c r="E306" s="65">
        <f t="shared" si="2"/>
        <v>0</v>
      </c>
      <c r="F306" s="65">
        <f t="shared" si="2"/>
        <v>0</v>
      </c>
      <c r="G306" s="65">
        <f t="shared" si="2"/>
        <v>0</v>
      </c>
      <c r="H306" s="65">
        <f t="shared" si="2"/>
        <v>0</v>
      </c>
      <c r="I306" s="65">
        <f t="shared" si="3"/>
        <v>0</v>
      </c>
      <c r="J306" s="65">
        <f t="shared" si="3"/>
        <v>0</v>
      </c>
      <c r="K306" s="65"/>
      <c r="L306" s="65">
        <f t="shared" si="2"/>
        <v>0</v>
      </c>
      <c r="M306" s="65">
        <f t="shared" si="2"/>
        <v>0</v>
      </c>
    </row>
    <row r="307" spans="1:13" x14ac:dyDescent="0.25">
      <c r="A307" s="40">
        <v>0</v>
      </c>
      <c r="B307" s="65">
        <f t="shared" si="4"/>
        <v>864</v>
      </c>
      <c r="C307" s="65">
        <f t="shared" si="2"/>
        <v>864</v>
      </c>
      <c r="D307" s="65">
        <f t="shared" si="2"/>
        <v>0</v>
      </c>
      <c r="E307" s="65">
        <f t="shared" si="2"/>
        <v>0</v>
      </c>
      <c r="F307" s="65">
        <f t="shared" si="2"/>
        <v>0</v>
      </c>
      <c r="G307" s="65">
        <f t="shared" si="2"/>
        <v>0</v>
      </c>
      <c r="H307" s="65">
        <f t="shared" si="2"/>
        <v>0</v>
      </c>
      <c r="I307" s="65">
        <f t="shared" si="3"/>
        <v>0</v>
      </c>
      <c r="J307" s="65">
        <f t="shared" si="3"/>
        <v>0</v>
      </c>
      <c r="K307" s="65"/>
      <c r="L307" s="65">
        <f t="shared" si="2"/>
        <v>0</v>
      </c>
      <c r="M307" s="65">
        <f t="shared" si="2"/>
        <v>0</v>
      </c>
    </row>
    <row r="308" spans="1:13" x14ac:dyDescent="0.25">
      <c r="A308" s="40">
        <v>0</v>
      </c>
      <c r="B308" s="65">
        <f t="shared" si="4"/>
        <v>864</v>
      </c>
      <c r="C308" s="65">
        <f t="shared" si="2"/>
        <v>864</v>
      </c>
      <c r="D308" s="65">
        <f t="shared" si="2"/>
        <v>0</v>
      </c>
      <c r="E308" s="65">
        <f t="shared" si="2"/>
        <v>0</v>
      </c>
      <c r="F308" s="65">
        <f t="shared" si="2"/>
        <v>0</v>
      </c>
      <c r="G308" s="65">
        <f t="shared" si="2"/>
        <v>0</v>
      </c>
      <c r="H308" s="65">
        <f t="shared" si="2"/>
        <v>0</v>
      </c>
      <c r="I308" s="65">
        <f t="shared" si="3"/>
        <v>0</v>
      </c>
      <c r="J308" s="65">
        <f t="shared" si="3"/>
        <v>0</v>
      </c>
      <c r="K308" s="65"/>
      <c r="L308" s="65">
        <f t="shared" si="2"/>
        <v>0</v>
      </c>
      <c r="M308" s="65">
        <f t="shared" si="2"/>
        <v>0</v>
      </c>
    </row>
    <row r="309" spans="1:13" x14ac:dyDescent="0.25">
      <c r="A309" s="40">
        <v>0</v>
      </c>
      <c r="B309" s="65">
        <f t="shared" si="4"/>
        <v>864</v>
      </c>
      <c r="C309" s="65">
        <f t="shared" si="4"/>
        <v>864</v>
      </c>
      <c r="D309" s="65">
        <f t="shared" si="4"/>
        <v>0</v>
      </c>
      <c r="E309" s="65">
        <f t="shared" si="4"/>
        <v>0</v>
      </c>
      <c r="F309" s="65">
        <f t="shared" si="4"/>
        <v>0</v>
      </c>
      <c r="G309" s="65">
        <f t="shared" si="4"/>
        <v>0</v>
      </c>
      <c r="H309" s="65">
        <f t="shared" si="4"/>
        <v>0</v>
      </c>
      <c r="I309" s="65">
        <f t="shared" si="3"/>
        <v>0</v>
      </c>
      <c r="J309" s="65">
        <f t="shared" si="3"/>
        <v>0</v>
      </c>
      <c r="K309" s="65"/>
      <c r="L309" s="65">
        <f t="shared" si="4"/>
        <v>0</v>
      </c>
      <c r="M309" s="65">
        <f t="shared" si="4"/>
        <v>0</v>
      </c>
    </row>
    <row r="310" spans="1:13" x14ac:dyDescent="0.25">
      <c r="A310" s="40">
        <v>0</v>
      </c>
      <c r="B310" s="65">
        <f t="shared" si="4"/>
        <v>864</v>
      </c>
      <c r="C310" s="65">
        <f t="shared" si="4"/>
        <v>864</v>
      </c>
      <c r="D310" s="65">
        <f t="shared" si="4"/>
        <v>0</v>
      </c>
      <c r="E310" s="65">
        <f t="shared" si="4"/>
        <v>0</v>
      </c>
      <c r="F310" s="65">
        <f t="shared" si="4"/>
        <v>0</v>
      </c>
      <c r="G310" s="65">
        <f t="shared" si="4"/>
        <v>0</v>
      </c>
      <c r="H310" s="65">
        <f t="shared" si="4"/>
        <v>0</v>
      </c>
      <c r="I310" s="65">
        <f t="shared" si="3"/>
        <v>0</v>
      </c>
      <c r="J310" s="65">
        <f t="shared" si="3"/>
        <v>0</v>
      </c>
      <c r="K310" s="65"/>
      <c r="L310" s="65">
        <f t="shared" si="4"/>
        <v>0</v>
      </c>
      <c r="M310" s="65">
        <f t="shared" si="4"/>
        <v>0</v>
      </c>
    </row>
    <row r="311" spans="1:13" x14ac:dyDescent="0.25">
      <c r="A311" s="40">
        <v>0</v>
      </c>
      <c r="B311" s="65">
        <f t="shared" si="4"/>
        <v>864</v>
      </c>
      <c r="C311" s="65">
        <f t="shared" si="4"/>
        <v>864</v>
      </c>
      <c r="D311" s="65">
        <f t="shared" si="4"/>
        <v>0</v>
      </c>
      <c r="E311" s="65">
        <f t="shared" si="4"/>
        <v>0</v>
      </c>
      <c r="F311" s="65">
        <f t="shared" si="4"/>
        <v>0</v>
      </c>
      <c r="G311" s="65">
        <f t="shared" si="4"/>
        <v>0</v>
      </c>
      <c r="H311" s="65">
        <f t="shared" si="4"/>
        <v>0</v>
      </c>
      <c r="I311" s="65">
        <f t="shared" si="3"/>
        <v>0</v>
      </c>
      <c r="J311" s="65">
        <f t="shared" si="3"/>
        <v>0</v>
      </c>
      <c r="K311" s="65"/>
      <c r="L311" s="65">
        <f t="shared" si="4"/>
        <v>0</v>
      </c>
      <c r="M311" s="65">
        <f t="shared" si="4"/>
        <v>0</v>
      </c>
    </row>
    <row r="312" spans="1:13" x14ac:dyDescent="0.25">
      <c r="A312" s="40">
        <v>0</v>
      </c>
      <c r="B312" s="65">
        <f t="shared" si="4"/>
        <v>864</v>
      </c>
      <c r="C312" s="65">
        <f t="shared" si="4"/>
        <v>864</v>
      </c>
      <c r="D312" s="65">
        <f t="shared" si="4"/>
        <v>0</v>
      </c>
      <c r="E312" s="65">
        <f t="shared" si="4"/>
        <v>0</v>
      </c>
      <c r="F312" s="65">
        <f t="shared" si="4"/>
        <v>0</v>
      </c>
      <c r="G312" s="65">
        <f t="shared" si="4"/>
        <v>0</v>
      </c>
      <c r="H312" s="65">
        <f t="shared" si="4"/>
        <v>0</v>
      </c>
      <c r="I312" s="65">
        <f t="shared" si="3"/>
        <v>0</v>
      </c>
      <c r="J312" s="65">
        <f t="shared" si="3"/>
        <v>0</v>
      </c>
      <c r="K312" s="65"/>
      <c r="L312" s="65">
        <f t="shared" si="4"/>
        <v>0</v>
      </c>
      <c r="M312" s="65">
        <f t="shared" si="4"/>
        <v>0</v>
      </c>
    </row>
    <row r="313" spans="1:13" x14ac:dyDescent="0.25">
      <c r="A313" s="40">
        <v>0</v>
      </c>
      <c r="B313" s="65">
        <f t="shared" si="4"/>
        <v>964</v>
      </c>
      <c r="C313" s="65">
        <f t="shared" si="4"/>
        <v>964</v>
      </c>
      <c r="D313" s="65">
        <f t="shared" si="4"/>
        <v>0</v>
      </c>
      <c r="E313" s="65">
        <f t="shared" si="4"/>
        <v>0</v>
      </c>
      <c r="F313" s="65">
        <f t="shared" si="4"/>
        <v>0</v>
      </c>
      <c r="G313" s="65">
        <f t="shared" si="4"/>
        <v>0</v>
      </c>
      <c r="H313" s="65">
        <f t="shared" si="4"/>
        <v>0</v>
      </c>
      <c r="I313" s="65">
        <f t="shared" si="3"/>
        <v>0</v>
      </c>
      <c r="J313" s="65">
        <f t="shared" si="3"/>
        <v>0</v>
      </c>
      <c r="K313" s="65"/>
      <c r="L313" s="65">
        <f t="shared" si="4"/>
        <v>0</v>
      </c>
      <c r="M313" s="65">
        <f t="shared" si="4"/>
        <v>0</v>
      </c>
    </row>
    <row r="314" spans="1:13" x14ac:dyDescent="0.25">
      <c r="A314" s="40">
        <v>0</v>
      </c>
      <c r="B314" s="65">
        <f t="shared" si="4"/>
        <v>1064</v>
      </c>
      <c r="C314" s="65">
        <f t="shared" si="4"/>
        <v>1064</v>
      </c>
      <c r="D314" s="65">
        <f t="shared" si="4"/>
        <v>0</v>
      </c>
      <c r="E314" s="65">
        <f t="shared" si="4"/>
        <v>0</v>
      </c>
      <c r="F314" s="65">
        <f t="shared" si="4"/>
        <v>0</v>
      </c>
      <c r="G314" s="65">
        <f t="shared" si="4"/>
        <v>0</v>
      </c>
      <c r="H314" s="65">
        <f t="shared" si="4"/>
        <v>0</v>
      </c>
      <c r="I314" s="65">
        <f t="shared" si="3"/>
        <v>0</v>
      </c>
      <c r="J314" s="65">
        <f t="shared" si="3"/>
        <v>0</v>
      </c>
      <c r="K314" s="65"/>
      <c r="L314" s="65">
        <f t="shared" si="4"/>
        <v>0</v>
      </c>
      <c r="M314" s="65">
        <f t="shared" si="4"/>
        <v>0</v>
      </c>
    </row>
    <row r="315" spans="1:13" x14ac:dyDescent="0.25">
      <c r="A315" s="40">
        <v>0</v>
      </c>
      <c r="B315" s="65">
        <f t="shared" si="4"/>
        <v>1164</v>
      </c>
      <c r="C315" s="65">
        <f t="shared" si="4"/>
        <v>1164</v>
      </c>
      <c r="D315" s="65">
        <f t="shared" si="4"/>
        <v>0</v>
      </c>
      <c r="E315" s="65">
        <f t="shared" si="4"/>
        <v>0</v>
      </c>
      <c r="F315" s="65">
        <f t="shared" si="4"/>
        <v>0</v>
      </c>
      <c r="G315" s="65">
        <f t="shared" si="4"/>
        <v>0</v>
      </c>
      <c r="H315" s="65">
        <f t="shared" si="4"/>
        <v>0</v>
      </c>
      <c r="I315" s="65">
        <f t="shared" si="3"/>
        <v>0</v>
      </c>
      <c r="J315" s="65">
        <f t="shared" si="3"/>
        <v>0</v>
      </c>
      <c r="K315" s="65"/>
      <c r="L315" s="65">
        <f t="shared" si="4"/>
        <v>0</v>
      </c>
      <c r="M315" s="65">
        <f t="shared" si="4"/>
        <v>0</v>
      </c>
    </row>
    <row r="316" spans="1:13" x14ac:dyDescent="0.25">
      <c r="A316" s="40">
        <v>0</v>
      </c>
      <c r="B316" s="65">
        <f t="shared" si="4"/>
        <v>1200</v>
      </c>
      <c r="C316" s="65">
        <f t="shared" si="4"/>
        <v>1200</v>
      </c>
      <c r="D316" s="65">
        <f t="shared" si="4"/>
        <v>0</v>
      </c>
      <c r="E316" s="65">
        <f t="shared" si="4"/>
        <v>0</v>
      </c>
      <c r="F316" s="65">
        <f t="shared" si="4"/>
        <v>0</v>
      </c>
      <c r="G316" s="65">
        <f t="shared" si="4"/>
        <v>0</v>
      </c>
      <c r="H316" s="65">
        <f t="shared" si="4"/>
        <v>0</v>
      </c>
      <c r="I316" s="65">
        <f t="shared" si="3"/>
        <v>0</v>
      </c>
      <c r="J316" s="65">
        <f t="shared" si="3"/>
        <v>0</v>
      </c>
      <c r="K316" s="65"/>
      <c r="L316" s="65">
        <f t="shared" si="4"/>
        <v>0</v>
      </c>
      <c r="M316" s="65">
        <f t="shared" si="4"/>
        <v>0</v>
      </c>
    </row>
    <row r="317" spans="1:13" x14ac:dyDescent="0.25">
      <c r="A317" s="40">
        <v>0</v>
      </c>
      <c r="B317" s="65">
        <f t="shared" si="4"/>
        <v>1200</v>
      </c>
      <c r="C317" s="65">
        <f t="shared" si="4"/>
        <v>1200</v>
      </c>
      <c r="D317" s="65">
        <f t="shared" si="4"/>
        <v>0</v>
      </c>
      <c r="E317" s="65">
        <f t="shared" si="4"/>
        <v>0</v>
      </c>
      <c r="F317" s="65">
        <f t="shared" si="4"/>
        <v>0</v>
      </c>
      <c r="G317" s="65">
        <f t="shared" si="4"/>
        <v>0</v>
      </c>
      <c r="H317" s="65">
        <f t="shared" si="4"/>
        <v>0</v>
      </c>
      <c r="I317" s="65">
        <f t="shared" si="3"/>
        <v>0</v>
      </c>
      <c r="J317" s="65">
        <f t="shared" si="3"/>
        <v>0</v>
      </c>
      <c r="K317" s="65"/>
      <c r="L317" s="65">
        <f t="shared" si="4"/>
        <v>0</v>
      </c>
      <c r="M317" s="65">
        <f t="shared" si="4"/>
        <v>0</v>
      </c>
    </row>
    <row r="318" spans="1:13" x14ac:dyDescent="0.25">
      <c r="A318" s="40">
        <v>0</v>
      </c>
      <c r="B318" s="65">
        <f t="shared" si="4"/>
        <v>1200</v>
      </c>
      <c r="C318" s="65">
        <f t="shared" si="4"/>
        <v>1200</v>
      </c>
      <c r="D318" s="65">
        <f t="shared" si="4"/>
        <v>0</v>
      </c>
      <c r="E318" s="65">
        <f t="shared" si="4"/>
        <v>0</v>
      </c>
      <c r="F318" s="65">
        <f t="shared" si="4"/>
        <v>0</v>
      </c>
      <c r="G318" s="65">
        <f t="shared" si="4"/>
        <v>0</v>
      </c>
      <c r="H318" s="65">
        <f t="shared" si="4"/>
        <v>0</v>
      </c>
      <c r="I318" s="65">
        <f t="shared" si="3"/>
        <v>0</v>
      </c>
      <c r="J318" s="65">
        <f t="shared" si="3"/>
        <v>0</v>
      </c>
      <c r="K318" s="65"/>
      <c r="L318" s="65">
        <f t="shared" si="4"/>
        <v>0</v>
      </c>
      <c r="M318" s="65">
        <f t="shared" si="4"/>
        <v>0</v>
      </c>
    </row>
    <row r="319" spans="1:13" x14ac:dyDescent="0.25">
      <c r="A319" s="40">
        <v>0</v>
      </c>
      <c r="B319" s="65">
        <f t="shared" si="4"/>
        <v>1200</v>
      </c>
      <c r="C319" s="65">
        <f t="shared" si="4"/>
        <v>1200</v>
      </c>
      <c r="D319" s="65">
        <f t="shared" si="4"/>
        <v>0</v>
      </c>
      <c r="E319" s="65">
        <f t="shared" si="4"/>
        <v>0</v>
      </c>
      <c r="F319" s="65">
        <f t="shared" si="4"/>
        <v>0</v>
      </c>
      <c r="G319" s="65">
        <f t="shared" si="4"/>
        <v>0</v>
      </c>
      <c r="H319" s="65">
        <f t="shared" si="4"/>
        <v>0</v>
      </c>
      <c r="I319" s="65">
        <f t="shared" si="3"/>
        <v>0</v>
      </c>
      <c r="J319" s="65">
        <f t="shared" si="3"/>
        <v>0</v>
      </c>
      <c r="K319" s="65"/>
      <c r="L319" s="65">
        <f t="shared" si="4"/>
        <v>0</v>
      </c>
      <c r="M319" s="65">
        <f t="shared" si="4"/>
        <v>0</v>
      </c>
    </row>
    <row r="320" spans="1:13" x14ac:dyDescent="0.25">
      <c r="A320" s="40">
        <v>0</v>
      </c>
      <c r="B320" s="65">
        <f t="shared" si="4"/>
        <v>1200</v>
      </c>
      <c r="C320" s="65">
        <f t="shared" si="4"/>
        <v>1200</v>
      </c>
      <c r="D320" s="65">
        <f t="shared" si="4"/>
        <v>0</v>
      </c>
      <c r="E320" s="65">
        <f t="shared" si="4"/>
        <v>0</v>
      </c>
      <c r="F320" s="65">
        <f t="shared" si="4"/>
        <v>0</v>
      </c>
      <c r="G320" s="65">
        <f t="shared" si="4"/>
        <v>0</v>
      </c>
      <c r="H320" s="65">
        <f t="shared" si="4"/>
        <v>0</v>
      </c>
      <c r="I320" s="65">
        <f t="shared" si="3"/>
        <v>0</v>
      </c>
      <c r="J320" s="65">
        <f t="shared" si="3"/>
        <v>0</v>
      </c>
      <c r="K320" s="65"/>
      <c r="L320" s="65">
        <f t="shared" si="4"/>
        <v>0</v>
      </c>
      <c r="M320" s="65">
        <f t="shared" si="4"/>
        <v>0</v>
      </c>
    </row>
    <row r="321" spans="1:13" x14ac:dyDescent="0.25">
      <c r="A321" s="40">
        <v>0</v>
      </c>
      <c r="B321" s="65">
        <f t="shared" si="4"/>
        <v>1200</v>
      </c>
      <c r="C321" s="65">
        <f t="shared" si="4"/>
        <v>1200</v>
      </c>
      <c r="D321" s="65">
        <f t="shared" si="4"/>
        <v>0</v>
      </c>
      <c r="E321" s="65">
        <f t="shared" si="4"/>
        <v>0</v>
      </c>
      <c r="F321" s="65">
        <f t="shared" si="4"/>
        <v>0</v>
      </c>
      <c r="G321" s="65">
        <f t="shared" si="4"/>
        <v>0</v>
      </c>
      <c r="H321" s="65">
        <f t="shared" si="4"/>
        <v>0</v>
      </c>
      <c r="I321" s="65">
        <f t="shared" si="3"/>
        <v>0</v>
      </c>
      <c r="J321" s="65">
        <f t="shared" si="3"/>
        <v>0</v>
      </c>
      <c r="K321" s="65"/>
      <c r="L321" s="65">
        <f t="shared" si="4"/>
        <v>0</v>
      </c>
      <c r="M321" s="65">
        <f t="shared" si="4"/>
        <v>0</v>
      </c>
    </row>
    <row r="322" spans="1:13" x14ac:dyDescent="0.25">
      <c r="A322" s="40">
        <v>0</v>
      </c>
      <c r="B322" s="65">
        <f t="shared" si="4"/>
        <v>1200</v>
      </c>
      <c r="C322" s="65">
        <f t="shared" si="4"/>
        <v>1200</v>
      </c>
      <c r="D322" s="65">
        <f t="shared" si="4"/>
        <v>0</v>
      </c>
      <c r="E322" s="65">
        <f t="shared" si="4"/>
        <v>0</v>
      </c>
      <c r="F322" s="65">
        <f t="shared" si="4"/>
        <v>0</v>
      </c>
      <c r="G322" s="65">
        <f t="shared" si="4"/>
        <v>0</v>
      </c>
      <c r="H322" s="65">
        <f t="shared" si="4"/>
        <v>0</v>
      </c>
      <c r="I322" s="65">
        <f t="shared" si="3"/>
        <v>0</v>
      </c>
      <c r="J322" s="65">
        <f t="shared" si="3"/>
        <v>0</v>
      </c>
      <c r="K322" s="65"/>
      <c r="L322" s="65">
        <f t="shared" si="4"/>
        <v>0</v>
      </c>
      <c r="M322" s="65">
        <f t="shared" si="4"/>
        <v>0</v>
      </c>
    </row>
    <row r="323" spans="1:13" x14ac:dyDescent="0.25">
      <c r="A323" s="40">
        <v>0</v>
      </c>
      <c r="B323" s="65">
        <f t="shared" si="4"/>
        <v>1200</v>
      </c>
      <c r="C323" s="65">
        <f t="shared" si="4"/>
        <v>1200</v>
      </c>
      <c r="D323" s="65">
        <f t="shared" si="4"/>
        <v>0</v>
      </c>
      <c r="E323" s="65">
        <f t="shared" si="4"/>
        <v>0</v>
      </c>
      <c r="F323" s="65">
        <f t="shared" si="4"/>
        <v>0</v>
      </c>
      <c r="G323" s="65">
        <f t="shared" si="4"/>
        <v>0</v>
      </c>
      <c r="H323" s="65">
        <f t="shared" si="4"/>
        <v>0</v>
      </c>
      <c r="I323" s="65">
        <f t="shared" si="3"/>
        <v>0</v>
      </c>
      <c r="J323" s="65">
        <f t="shared" si="3"/>
        <v>0</v>
      </c>
      <c r="K323" s="65"/>
      <c r="L323" s="65">
        <f t="shared" si="4"/>
        <v>0</v>
      </c>
      <c r="M323" s="65">
        <f t="shared" si="4"/>
        <v>0</v>
      </c>
    </row>
    <row r="324" spans="1:13" x14ac:dyDescent="0.25">
      <c r="A324" s="40">
        <v>0</v>
      </c>
      <c r="B324" s="65">
        <f t="shared" si="4"/>
        <v>1233.93</v>
      </c>
      <c r="C324" s="65">
        <f t="shared" si="4"/>
        <v>1200</v>
      </c>
      <c r="D324" s="65">
        <f t="shared" si="4"/>
        <v>0</v>
      </c>
      <c r="E324" s="65">
        <f t="shared" si="4"/>
        <v>0</v>
      </c>
      <c r="F324" s="65">
        <f t="shared" si="4"/>
        <v>0</v>
      </c>
      <c r="G324" s="65">
        <f t="shared" si="4"/>
        <v>33.93</v>
      </c>
      <c r="H324" s="65">
        <f t="shared" si="4"/>
        <v>0</v>
      </c>
      <c r="I324" s="65">
        <f t="shared" si="3"/>
        <v>0</v>
      </c>
      <c r="J324" s="65">
        <f t="shared" si="3"/>
        <v>0</v>
      </c>
      <c r="K324" s="65"/>
      <c r="L324" s="65">
        <f t="shared" si="4"/>
        <v>0</v>
      </c>
      <c r="M324" s="65">
        <f t="shared" si="4"/>
        <v>0</v>
      </c>
    </row>
    <row r="325" spans="1:13" x14ac:dyDescent="0.25">
      <c r="A325" s="40">
        <v>0</v>
      </c>
      <c r="B325" s="65">
        <f t="shared" si="4"/>
        <v>1233.93</v>
      </c>
      <c r="C325" s="65">
        <f t="shared" si="4"/>
        <v>1200</v>
      </c>
      <c r="D325" s="65">
        <f t="shared" si="4"/>
        <v>0</v>
      </c>
      <c r="E325" s="65">
        <f t="shared" si="4"/>
        <v>0</v>
      </c>
      <c r="F325" s="65">
        <f t="shared" si="4"/>
        <v>33.93</v>
      </c>
      <c r="G325" s="65">
        <f t="shared" si="4"/>
        <v>0</v>
      </c>
      <c r="H325" s="65">
        <f t="shared" si="4"/>
        <v>0</v>
      </c>
      <c r="I325" s="65">
        <f t="shared" ref="I325:J356" si="5">L41</f>
        <v>0</v>
      </c>
      <c r="J325" s="65">
        <f t="shared" si="5"/>
        <v>0</v>
      </c>
      <c r="K325" s="65"/>
      <c r="L325" s="65">
        <f t="shared" si="4"/>
        <v>0</v>
      </c>
      <c r="M325" s="65">
        <f t="shared" si="4"/>
        <v>0</v>
      </c>
    </row>
    <row r="326" spans="1:13" x14ac:dyDescent="0.25">
      <c r="A326" s="40">
        <v>0</v>
      </c>
      <c r="B326" s="65">
        <f t="shared" si="4"/>
        <v>1233.93</v>
      </c>
      <c r="C326" s="65">
        <f t="shared" si="4"/>
        <v>1200</v>
      </c>
      <c r="D326" s="65">
        <f t="shared" si="4"/>
        <v>0</v>
      </c>
      <c r="E326" s="65">
        <f t="shared" si="4"/>
        <v>0</v>
      </c>
      <c r="F326" s="65">
        <f t="shared" si="4"/>
        <v>33.93</v>
      </c>
      <c r="G326" s="65">
        <f t="shared" si="4"/>
        <v>0</v>
      </c>
      <c r="H326" s="65">
        <f t="shared" si="4"/>
        <v>0</v>
      </c>
      <c r="I326" s="65">
        <f t="shared" si="5"/>
        <v>0</v>
      </c>
      <c r="J326" s="65">
        <f t="shared" si="5"/>
        <v>0</v>
      </c>
      <c r="K326" s="65"/>
      <c r="L326" s="65">
        <f t="shared" si="4"/>
        <v>0</v>
      </c>
      <c r="M326" s="65">
        <f t="shared" si="4"/>
        <v>0</v>
      </c>
    </row>
    <row r="327" spans="1:13" x14ac:dyDescent="0.25">
      <c r="A327" s="40">
        <v>0</v>
      </c>
      <c r="B327" s="65">
        <f t="shared" si="4"/>
        <v>1200</v>
      </c>
      <c r="C327" s="65">
        <f t="shared" si="4"/>
        <v>1200</v>
      </c>
      <c r="D327" s="65">
        <f t="shared" si="4"/>
        <v>0</v>
      </c>
      <c r="E327" s="65">
        <f t="shared" si="4"/>
        <v>0</v>
      </c>
      <c r="F327" s="65">
        <f t="shared" si="4"/>
        <v>0</v>
      </c>
      <c r="G327" s="65">
        <f t="shared" si="4"/>
        <v>0</v>
      </c>
      <c r="H327" s="65">
        <f t="shared" si="4"/>
        <v>0</v>
      </c>
      <c r="I327" s="65">
        <f t="shared" si="5"/>
        <v>0</v>
      </c>
      <c r="J327" s="65">
        <f t="shared" si="5"/>
        <v>0</v>
      </c>
      <c r="K327" s="65"/>
      <c r="L327" s="65">
        <f t="shared" si="4"/>
        <v>0</v>
      </c>
      <c r="M327" s="65">
        <f t="shared" si="4"/>
        <v>0</v>
      </c>
    </row>
    <row r="328" spans="1:13" x14ac:dyDescent="0.25">
      <c r="A328" s="40">
        <v>0</v>
      </c>
      <c r="B328" s="65">
        <f t="shared" si="4"/>
        <v>1200</v>
      </c>
      <c r="C328" s="65">
        <f t="shared" si="4"/>
        <v>1200</v>
      </c>
      <c r="D328" s="65">
        <f t="shared" si="4"/>
        <v>0</v>
      </c>
      <c r="E328" s="65">
        <f t="shared" si="4"/>
        <v>0</v>
      </c>
      <c r="F328" s="65">
        <f t="shared" si="4"/>
        <v>0</v>
      </c>
      <c r="G328" s="65">
        <f t="shared" si="4"/>
        <v>0</v>
      </c>
      <c r="H328" s="65">
        <f t="shared" si="4"/>
        <v>0</v>
      </c>
      <c r="I328" s="65">
        <f t="shared" si="5"/>
        <v>0</v>
      </c>
      <c r="J328" s="65">
        <f t="shared" si="5"/>
        <v>0</v>
      </c>
      <c r="K328" s="65"/>
      <c r="L328" s="65">
        <f t="shared" si="4"/>
        <v>0</v>
      </c>
      <c r="M328" s="65">
        <f t="shared" si="4"/>
        <v>0</v>
      </c>
    </row>
    <row r="329" spans="1:13" x14ac:dyDescent="0.25">
      <c r="A329" s="40">
        <v>0</v>
      </c>
      <c r="B329" s="65">
        <f t="shared" si="4"/>
        <v>1200</v>
      </c>
      <c r="C329" s="65">
        <f t="shared" si="4"/>
        <v>1200</v>
      </c>
      <c r="D329" s="65">
        <f t="shared" si="4"/>
        <v>0</v>
      </c>
      <c r="E329" s="65">
        <f t="shared" si="4"/>
        <v>0</v>
      </c>
      <c r="F329" s="65">
        <f t="shared" si="4"/>
        <v>0</v>
      </c>
      <c r="G329" s="65">
        <f t="shared" si="4"/>
        <v>0</v>
      </c>
      <c r="H329" s="65">
        <f t="shared" si="4"/>
        <v>0</v>
      </c>
      <c r="I329" s="65">
        <f t="shared" si="5"/>
        <v>0</v>
      </c>
      <c r="J329" s="65">
        <f t="shared" si="5"/>
        <v>0</v>
      </c>
      <c r="K329" s="65"/>
      <c r="L329" s="65">
        <f t="shared" si="4"/>
        <v>0</v>
      </c>
      <c r="M329" s="65">
        <f t="shared" si="4"/>
        <v>0</v>
      </c>
    </row>
    <row r="330" spans="1:13" x14ac:dyDescent="0.25">
      <c r="A330" s="40">
        <v>0</v>
      </c>
      <c r="B330" s="65">
        <f t="shared" si="4"/>
        <v>1200</v>
      </c>
      <c r="C330" s="65">
        <f t="shared" si="4"/>
        <v>1200</v>
      </c>
      <c r="D330" s="65">
        <f t="shared" si="4"/>
        <v>0</v>
      </c>
      <c r="E330" s="65">
        <f t="shared" si="4"/>
        <v>0</v>
      </c>
      <c r="F330" s="65">
        <f t="shared" si="4"/>
        <v>0</v>
      </c>
      <c r="G330" s="65">
        <f t="shared" si="4"/>
        <v>0</v>
      </c>
      <c r="H330" s="65">
        <f t="shared" si="4"/>
        <v>0</v>
      </c>
      <c r="I330" s="65">
        <f t="shared" si="5"/>
        <v>0</v>
      </c>
      <c r="J330" s="65">
        <f t="shared" si="5"/>
        <v>0</v>
      </c>
      <c r="K330" s="65"/>
      <c r="L330" s="65">
        <f t="shared" si="4"/>
        <v>0</v>
      </c>
      <c r="M330" s="65">
        <f t="shared" si="4"/>
        <v>0</v>
      </c>
    </row>
    <row r="331" spans="1:13" x14ac:dyDescent="0.25">
      <c r="A331" s="40">
        <v>0</v>
      </c>
      <c r="B331" s="65">
        <f t="shared" ref="B331:H359" si="6">D47</f>
        <v>1200</v>
      </c>
      <c r="C331" s="65">
        <f t="shared" si="6"/>
        <v>1200</v>
      </c>
      <c r="D331" s="65">
        <f t="shared" si="6"/>
        <v>0</v>
      </c>
      <c r="E331" s="65">
        <f t="shared" si="6"/>
        <v>0</v>
      </c>
      <c r="F331" s="65">
        <f t="shared" si="6"/>
        <v>0</v>
      </c>
      <c r="G331" s="65">
        <f t="shared" si="6"/>
        <v>0</v>
      </c>
      <c r="H331" s="65">
        <f t="shared" si="6"/>
        <v>0</v>
      </c>
      <c r="I331" s="65">
        <f t="shared" si="5"/>
        <v>0</v>
      </c>
      <c r="J331" s="65">
        <f t="shared" si="5"/>
        <v>0</v>
      </c>
      <c r="K331" s="65"/>
      <c r="L331" s="65">
        <f t="shared" ref="L331:M388" si="7">N47</f>
        <v>0</v>
      </c>
      <c r="M331" s="65">
        <f t="shared" si="7"/>
        <v>0</v>
      </c>
    </row>
    <row r="332" spans="1:13" x14ac:dyDescent="0.25">
      <c r="A332" s="40">
        <v>0</v>
      </c>
      <c r="B332" s="65">
        <f t="shared" si="6"/>
        <v>1200</v>
      </c>
      <c r="C332" s="65">
        <f t="shared" si="6"/>
        <v>1200</v>
      </c>
      <c r="D332" s="65">
        <f t="shared" si="6"/>
        <v>0</v>
      </c>
      <c r="E332" s="65">
        <f t="shared" si="6"/>
        <v>0</v>
      </c>
      <c r="F332" s="65">
        <f t="shared" si="6"/>
        <v>0</v>
      </c>
      <c r="G332" s="65">
        <f t="shared" si="6"/>
        <v>0</v>
      </c>
      <c r="H332" s="65">
        <f t="shared" si="6"/>
        <v>0</v>
      </c>
      <c r="I332" s="65">
        <f t="shared" si="5"/>
        <v>0</v>
      </c>
      <c r="J332" s="65">
        <f t="shared" si="5"/>
        <v>0</v>
      </c>
      <c r="K332" s="65"/>
      <c r="L332" s="65">
        <f t="shared" si="7"/>
        <v>0</v>
      </c>
      <c r="M332" s="65">
        <f t="shared" si="7"/>
        <v>0</v>
      </c>
    </row>
    <row r="333" spans="1:13" x14ac:dyDescent="0.25">
      <c r="A333" s="40">
        <v>0</v>
      </c>
      <c r="B333" s="65">
        <f t="shared" si="6"/>
        <v>1200</v>
      </c>
      <c r="C333" s="65">
        <f t="shared" si="6"/>
        <v>1200</v>
      </c>
      <c r="D333" s="65">
        <f t="shared" si="6"/>
        <v>0</v>
      </c>
      <c r="E333" s="65">
        <f t="shared" si="6"/>
        <v>0</v>
      </c>
      <c r="F333" s="65">
        <f t="shared" si="6"/>
        <v>0</v>
      </c>
      <c r="G333" s="65">
        <f t="shared" si="6"/>
        <v>0</v>
      </c>
      <c r="H333" s="65">
        <f t="shared" si="6"/>
        <v>0</v>
      </c>
      <c r="I333" s="65">
        <f t="shared" si="5"/>
        <v>0</v>
      </c>
      <c r="J333" s="65">
        <f t="shared" si="5"/>
        <v>0</v>
      </c>
      <c r="K333" s="65"/>
      <c r="L333" s="65">
        <f t="shared" si="7"/>
        <v>0</v>
      </c>
      <c r="M333" s="65">
        <f t="shared" si="7"/>
        <v>0</v>
      </c>
    </row>
    <row r="334" spans="1:13" x14ac:dyDescent="0.25">
      <c r="A334" s="40">
        <v>0</v>
      </c>
      <c r="B334" s="65">
        <f t="shared" si="6"/>
        <v>1200</v>
      </c>
      <c r="C334" s="65">
        <f t="shared" si="6"/>
        <v>1200</v>
      </c>
      <c r="D334" s="65">
        <f t="shared" si="6"/>
        <v>0</v>
      </c>
      <c r="E334" s="65">
        <f t="shared" si="6"/>
        <v>0</v>
      </c>
      <c r="F334" s="65">
        <f t="shared" si="6"/>
        <v>0</v>
      </c>
      <c r="G334" s="65">
        <f t="shared" si="6"/>
        <v>0</v>
      </c>
      <c r="H334" s="65">
        <f t="shared" si="6"/>
        <v>0</v>
      </c>
      <c r="I334" s="65">
        <f t="shared" si="5"/>
        <v>0</v>
      </c>
      <c r="J334" s="65">
        <f t="shared" si="5"/>
        <v>0</v>
      </c>
      <c r="K334" s="65"/>
      <c r="L334" s="65">
        <f t="shared" si="7"/>
        <v>0</v>
      </c>
      <c r="M334" s="65">
        <f t="shared" si="7"/>
        <v>0</v>
      </c>
    </row>
    <row r="335" spans="1:13" x14ac:dyDescent="0.25">
      <c r="A335" s="40">
        <v>0</v>
      </c>
      <c r="B335" s="65">
        <f t="shared" si="6"/>
        <v>1200</v>
      </c>
      <c r="C335" s="65">
        <f t="shared" si="6"/>
        <v>1200</v>
      </c>
      <c r="D335" s="65">
        <f t="shared" si="6"/>
        <v>0</v>
      </c>
      <c r="E335" s="65">
        <f t="shared" si="6"/>
        <v>0</v>
      </c>
      <c r="F335" s="65">
        <f t="shared" si="6"/>
        <v>0</v>
      </c>
      <c r="G335" s="65">
        <f t="shared" si="6"/>
        <v>0</v>
      </c>
      <c r="H335" s="65">
        <f t="shared" si="6"/>
        <v>0</v>
      </c>
      <c r="I335" s="65">
        <f t="shared" si="5"/>
        <v>0</v>
      </c>
      <c r="J335" s="65">
        <f t="shared" si="5"/>
        <v>0</v>
      </c>
      <c r="K335" s="65"/>
      <c r="L335" s="65">
        <f t="shared" si="7"/>
        <v>0</v>
      </c>
      <c r="M335" s="65">
        <f t="shared" si="7"/>
        <v>0</v>
      </c>
    </row>
    <row r="336" spans="1:13" x14ac:dyDescent="0.25">
      <c r="A336" s="40">
        <v>0</v>
      </c>
      <c r="B336" s="65">
        <f t="shared" si="6"/>
        <v>1200</v>
      </c>
      <c r="C336" s="65">
        <f t="shared" si="6"/>
        <v>1200</v>
      </c>
      <c r="D336" s="65">
        <f t="shared" si="6"/>
        <v>0</v>
      </c>
      <c r="E336" s="65">
        <f t="shared" si="6"/>
        <v>0</v>
      </c>
      <c r="F336" s="65">
        <f t="shared" si="6"/>
        <v>0</v>
      </c>
      <c r="G336" s="65">
        <f t="shared" si="6"/>
        <v>0</v>
      </c>
      <c r="H336" s="65">
        <f t="shared" si="6"/>
        <v>0</v>
      </c>
      <c r="I336" s="65">
        <f t="shared" si="5"/>
        <v>0</v>
      </c>
      <c r="J336" s="65">
        <f t="shared" si="5"/>
        <v>0</v>
      </c>
      <c r="K336" s="65"/>
      <c r="L336" s="65">
        <f t="shared" si="7"/>
        <v>0</v>
      </c>
      <c r="M336" s="65">
        <f t="shared" si="7"/>
        <v>0</v>
      </c>
    </row>
    <row r="337" spans="1:13" x14ac:dyDescent="0.25">
      <c r="A337" s="40">
        <v>0</v>
      </c>
      <c r="B337" s="65">
        <f t="shared" si="6"/>
        <v>1200</v>
      </c>
      <c r="C337" s="65">
        <f t="shared" si="6"/>
        <v>1200</v>
      </c>
      <c r="D337" s="65">
        <f>F53</f>
        <v>0</v>
      </c>
      <c r="E337" s="65">
        <f t="shared" si="6"/>
        <v>0</v>
      </c>
      <c r="F337" s="65">
        <f t="shared" si="6"/>
        <v>0</v>
      </c>
      <c r="G337" s="65">
        <f t="shared" si="6"/>
        <v>0</v>
      </c>
      <c r="H337" s="65">
        <f t="shared" si="6"/>
        <v>0</v>
      </c>
      <c r="I337" s="65">
        <f t="shared" si="5"/>
        <v>0</v>
      </c>
      <c r="J337" s="65">
        <f t="shared" si="5"/>
        <v>0</v>
      </c>
      <c r="K337" s="65"/>
      <c r="L337" s="65">
        <f t="shared" si="7"/>
        <v>0</v>
      </c>
      <c r="M337" s="65">
        <f t="shared" si="7"/>
        <v>0</v>
      </c>
    </row>
    <row r="338" spans="1:13" x14ac:dyDescent="0.25">
      <c r="A338" s="40">
        <v>0</v>
      </c>
      <c r="B338" s="65">
        <f t="shared" si="6"/>
        <v>1200</v>
      </c>
      <c r="C338" s="65">
        <f t="shared" si="6"/>
        <v>1200</v>
      </c>
      <c r="D338" s="65">
        <f t="shared" si="6"/>
        <v>0</v>
      </c>
      <c r="E338" s="65">
        <f t="shared" si="6"/>
        <v>0</v>
      </c>
      <c r="F338" s="65">
        <f t="shared" si="6"/>
        <v>0</v>
      </c>
      <c r="G338" s="65">
        <f t="shared" si="6"/>
        <v>0</v>
      </c>
      <c r="H338" s="65">
        <f t="shared" si="6"/>
        <v>0</v>
      </c>
      <c r="I338" s="65">
        <f t="shared" si="5"/>
        <v>0</v>
      </c>
      <c r="J338" s="65">
        <f t="shared" si="5"/>
        <v>0</v>
      </c>
      <c r="K338" s="65"/>
      <c r="L338" s="65">
        <f t="shared" si="7"/>
        <v>0</v>
      </c>
      <c r="M338" s="65">
        <f t="shared" si="7"/>
        <v>0</v>
      </c>
    </row>
    <row r="339" spans="1:13" x14ac:dyDescent="0.25">
      <c r="A339" s="40">
        <v>0</v>
      </c>
      <c r="B339" s="65">
        <f t="shared" si="6"/>
        <v>1200</v>
      </c>
      <c r="C339" s="65">
        <f>E55</f>
        <v>1200</v>
      </c>
      <c r="D339" s="65">
        <f t="shared" si="6"/>
        <v>0</v>
      </c>
      <c r="E339" s="65">
        <f t="shared" si="6"/>
        <v>0</v>
      </c>
      <c r="F339" s="65">
        <f t="shared" si="6"/>
        <v>0</v>
      </c>
      <c r="G339" s="65">
        <f t="shared" si="6"/>
        <v>0</v>
      </c>
      <c r="H339" s="65">
        <f t="shared" si="6"/>
        <v>0</v>
      </c>
      <c r="I339" s="65">
        <f t="shared" si="5"/>
        <v>0</v>
      </c>
      <c r="J339" s="65">
        <f t="shared" si="5"/>
        <v>0</v>
      </c>
      <c r="K339" s="65"/>
      <c r="L339" s="65">
        <f t="shared" si="7"/>
        <v>0</v>
      </c>
      <c r="M339" s="65">
        <f t="shared" si="7"/>
        <v>0</v>
      </c>
    </row>
    <row r="340" spans="1:13" x14ac:dyDescent="0.25">
      <c r="A340" s="40">
        <v>0</v>
      </c>
      <c r="B340" s="65">
        <f t="shared" si="6"/>
        <v>1200</v>
      </c>
      <c r="C340" s="65">
        <f t="shared" si="6"/>
        <v>1200</v>
      </c>
      <c r="D340" s="65">
        <f t="shared" si="6"/>
        <v>0</v>
      </c>
      <c r="E340" s="65">
        <f t="shared" si="6"/>
        <v>0</v>
      </c>
      <c r="F340" s="65">
        <f t="shared" si="6"/>
        <v>0</v>
      </c>
      <c r="G340" s="65">
        <f t="shared" si="6"/>
        <v>0</v>
      </c>
      <c r="H340" s="65">
        <f t="shared" si="6"/>
        <v>0</v>
      </c>
      <c r="I340" s="65">
        <f t="shared" si="5"/>
        <v>0</v>
      </c>
      <c r="J340" s="65">
        <f t="shared" si="5"/>
        <v>0</v>
      </c>
      <c r="K340" s="65"/>
      <c r="L340" s="65">
        <f t="shared" si="7"/>
        <v>0</v>
      </c>
      <c r="M340" s="65">
        <f t="shared" si="7"/>
        <v>0</v>
      </c>
    </row>
    <row r="341" spans="1:13" x14ac:dyDescent="0.25">
      <c r="A341" s="40">
        <v>0</v>
      </c>
      <c r="B341" s="65">
        <f t="shared" si="6"/>
        <v>1200</v>
      </c>
      <c r="C341" s="65">
        <f t="shared" si="6"/>
        <v>1200</v>
      </c>
      <c r="D341" s="65">
        <f t="shared" si="6"/>
        <v>0</v>
      </c>
      <c r="E341" s="65">
        <f t="shared" si="6"/>
        <v>0</v>
      </c>
      <c r="F341" s="65">
        <f t="shared" si="6"/>
        <v>0</v>
      </c>
      <c r="G341" s="65">
        <f t="shared" si="6"/>
        <v>0</v>
      </c>
      <c r="H341" s="65">
        <f t="shared" si="6"/>
        <v>0</v>
      </c>
      <c r="I341" s="65">
        <f t="shared" si="5"/>
        <v>0</v>
      </c>
      <c r="J341" s="65">
        <f t="shared" si="5"/>
        <v>0</v>
      </c>
      <c r="K341" s="65"/>
      <c r="L341" s="65">
        <f t="shared" si="7"/>
        <v>0</v>
      </c>
      <c r="M341" s="65">
        <f t="shared" si="7"/>
        <v>0</v>
      </c>
    </row>
    <row r="342" spans="1:13" x14ac:dyDescent="0.25">
      <c r="A342" s="40">
        <v>0</v>
      </c>
      <c r="B342" s="65">
        <f t="shared" si="6"/>
        <v>1200</v>
      </c>
      <c r="C342" s="65">
        <f t="shared" si="6"/>
        <v>1200</v>
      </c>
      <c r="D342" s="65">
        <f t="shared" si="6"/>
        <v>0</v>
      </c>
      <c r="E342" s="65">
        <f t="shared" si="6"/>
        <v>0</v>
      </c>
      <c r="F342" s="65">
        <f t="shared" si="6"/>
        <v>0</v>
      </c>
      <c r="G342" s="65">
        <f t="shared" si="6"/>
        <v>0</v>
      </c>
      <c r="H342" s="65">
        <f t="shared" si="6"/>
        <v>0</v>
      </c>
      <c r="I342" s="65">
        <f t="shared" si="5"/>
        <v>0</v>
      </c>
      <c r="J342" s="65">
        <f t="shared" si="5"/>
        <v>0</v>
      </c>
      <c r="K342" s="65"/>
      <c r="L342" s="65">
        <f t="shared" si="7"/>
        <v>0</v>
      </c>
      <c r="M342" s="65">
        <f t="shared" si="7"/>
        <v>0</v>
      </c>
    </row>
    <row r="343" spans="1:13" x14ac:dyDescent="0.25">
      <c r="A343" s="40">
        <v>0</v>
      </c>
      <c r="B343" s="65">
        <f t="shared" si="6"/>
        <v>1200</v>
      </c>
      <c r="C343" s="65">
        <f t="shared" si="6"/>
        <v>1200</v>
      </c>
      <c r="D343" s="65">
        <f t="shared" si="6"/>
        <v>0</v>
      </c>
      <c r="E343" s="65">
        <f t="shared" si="6"/>
        <v>0</v>
      </c>
      <c r="F343" s="65">
        <f t="shared" si="6"/>
        <v>0</v>
      </c>
      <c r="G343" s="65">
        <f t="shared" si="6"/>
        <v>0</v>
      </c>
      <c r="H343" s="65">
        <f t="shared" si="6"/>
        <v>0</v>
      </c>
      <c r="I343" s="65">
        <f t="shared" si="5"/>
        <v>0</v>
      </c>
      <c r="J343" s="65">
        <f t="shared" si="5"/>
        <v>0</v>
      </c>
      <c r="K343" s="65"/>
      <c r="L343" s="65">
        <f t="shared" si="7"/>
        <v>0</v>
      </c>
      <c r="M343" s="65">
        <f t="shared" si="7"/>
        <v>0</v>
      </c>
    </row>
    <row r="344" spans="1:13" x14ac:dyDescent="0.25">
      <c r="A344" s="40">
        <v>0</v>
      </c>
      <c r="B344" s="65">
        <f t="shared" si="6"/>
        <v>1100</v>
      </c>
      <c r="C344" s="65">
        <f t="shared" si="6"/>
        <v>1100</v>
      </c>
      <c r="D344" s="65">
        <f t="shared" si="6"/>
        <v>0</v>
      </c>
      <c r="E344" s="65">
        <f t="shared" si="6"/>
        <v>0</v>
      </c>
      <c r="F344" s="65">
        <f t="shared" si="6"/>
        <v>0</v>
      </c>
      <c r="G344" s="65">
        <f t="shared" si="6"/>
        <v>0</v>
      </c>
      <c r="H344" s="65">
        <f t="shared" si="6"/>
        <v>0</v>
      </c>
      <c r="I344" s="65">
        <f t="shared" si="5"/>
        <v>0</v>
      </c>
      <c r="J344" s="65">
        <f t="shared" si="5"/>
        <v>0</v>
      </c>
      <c r="K344" s="65"/>
      <c r="L344" s="65">
        <f t="shared" si="7"/>
        <v>0</v>
      </c>
      <c r="M344" s="65">
        <f t="shared" si="7"/>
        <v>0</v>
      </c>
    </row>
    <row r="345" spans="1:13" x14ac:dyDescent="0.25">
      <c r="A345" s="40">
        <v>0</v>
      </c>
      <c r="B345" s="65">
        <f t="shared" si="6"/>
        <v>1000</v>
      </c>
      <c r="C345" s="65">
        <f t="shared" si="6"/>
        <v>1000</v>
      </c>
      <c r="D345" s="65">
        <f t="shared" si="6"/>
        <v>0</v>
      </c>
      <c r="E345" s="65">
        <f t="shared" si="6"/>
        <v>0</v>
      </c>
      <c r="F345" s="65">
        <f t="shared" si="6"/>
        <v>0</v>
      </c>
      <c r="G345" s="65">
        <f t="shared" si="6"/>
        <v>0</v>
      </c>
      <c r="H345" s="65">
        <f t="shared" si="6"/>
        <v>0</v>
      </c>
      <c r="I345" s="65">
        <f t="shared" si="5"/>
        <v>0</v>
      </c>
      <c r="J345" s="65">
        <f t="shared" si="5"/>
        <v>0</v>
      </c>
      <c r="K345" s="65"/>
      <c r="L345" s="65">
        <f t="shared" si="7"/>
        <v>0</v>
      </c>
      <c r="M345" s="65">
        <f t="shared" si="7"/>
        <v>0</v>
      </c>
    </row>
    <row r="346" spans="1:13" x14ac:dyDescent="0.25">
      <c r="A346" s="40">
        <v>0</v>
      </c>
      <c r="B346" s="65">
        <f t="shared" si="6"/>
        <v>900</v>
      </c>
      <c r="C346" s="65">
        <f t="shared" si="6"/>
        <v>900</v>
      </c>
      <c r="D346" s="65">
        <f t="shared" si="6"/>
        <v>0</v>
      </c>
      <c r="E346" s="65">
        <f t="shared" si="6"/>
        <v>0</v>
      </c>
      <c r="F346" s="65">
        <f t="shared" si="6"/>
        <v>0</v>
      </c>
      <c r="G346" s="65">
        <f t="shared" si="6"/>
        <v>0</v>
      </c>
      <c r="H346" s="65">
        <f t="shared" si="6"/>
        <v>0</v>
      </c>
      <c r="I346" s="65">
        <f t="shared" si="5"/>
        <v>0</v>
      </c>
      <c r="J346" s="65">
        <f t="shared" si="5"/>
        <v>0</v>
      </c>
      <c r="K346" s="65"/>
      <c r="L346" s="65">
        <f t="shared" si="7"/>
        <v>0</v>
      </c>
      <c r="M346" s="65">
        <f t="shared" si="7"/>
        <v>0</v>
      </c>
    </row>
    <row r="347" spans="1:13" x14ac:dyDescent="0.25">
      <c r="A347" s="40">
        <v>0</v>
      </c>
      <c r="B347" s="65">
        <f t="shared" si="6"/>
        <v>864</v>
      </c>
      <c r="C347" s="65">
        <f t="shared" si="6"/>
        <v>864</v>
      </c>
      <c r="D347" s="65">
        <f t="shared" si="6"/>
        <v>0</v>
      </c>
      <c r="E347" s="65">
        <f t="shared" si="6"/>
        <v>0</v>
      </c>
      <c r="F347" s="65">
        <f t="shared" si="6"/>
        <v>0</v>
      </c>
      <c r="G347" s="65">
        <f t="shared" si="6"/>
        <v>0</v>
      </c>
      <c r="H347" s="65">
        <f t="shared" si="6"/>
        <v>0</v>
      </c>
      <c r="I347" s="65">
        <f t="shared" si="5"/>
        <v>0</v>
      </c>
      <c r="J347" s="65">
        <f t="shared" si="5"/>
        <v>0</v>
      </c>
      <c r="K347" s="65"/>
      <c r="L347" s="65">
        <f t="shared" si="7"/>
        <v>0</v>
      </c>
      <c r="M347" s="65">
        <f t="shared" si="7"/>
        <v>0</v>
      </c>
    </row>
    <row r="348" spans="1:13" x14ac:dyDescent="0.25">
      <c r="A348" s="40">
        <v>0</v>
      </c>
      <c r="B348" s="65">
        <f t="shared" si="6"/>
        <v>864</v>
      </c>
      <c r="C348" s="65">
        <f t="shared" si="6"/>
        <v>864</v>
      </c>
      <c r="D348" s="65">
        <f t="shared" si="6"/>
        <v>0</v>
      </c>
      <c r="E348" s="65">
        <f t="shared" si="6"/>
        <v>0</v>
      </c>
      <c r="F348" s="65">
        <f t="shared" si="6"/>
        <v>0</v>
      </c>
      <c r="G348" s="65">
        <f t="shared" si="6"/>
        <v>0</v>
      </c>
      <c r="H348" s="65">
        <f t="shared" si="6"/>
        <v>0</v>
      </c>
      <c r="I348" s="65">
        <f t="shared" si="5"/>
        <v>0</v>
      </c>
      <c r="J348" s="65">
        <f t="shared" si="5"/>
        <v>0</v>
      </c>
      <c r="K348" s="65"/>
      <c r="L348" s="65">
        <f t="shared" si="7"/>
        <v>0</v>
      </c>
      <c r="M348" s="65">
        <f t="shared" si="7"/>
        <v>0</v>
      </c>
    </row>
    <row r="349" spans="1:13" x14ac:dyDescent="0.25">
      <c r="A349" s="40">
        <v>0</v>
      </c>
      <c r="B349" s="65">
        <f t="shared" si="6"/>
        <v>864</v>
      </c>
      <c r="C349" s="65">
        <f t="shared" si="6"/>
        <v>864</v>
      </c>
      <c r="D349" s="65">
        <f t="shared" si="6"/>
        <v>0</v>
      </c>
      <c r="E349" s="65">
        <f t="shared" si="6"/>
        <v>0</v>
      </c>
      <c r="F349" s="65">
        <f t="shared" si="6"/>
        <v>0</v>
      </c>
      <c r="G349" s="65">
        <f t="shared" si="6"/>
        <v>0</v>
      </c>
      <c r="H349" s="65">
        <f t="shared" si="6"/>
        <v>0</v>
      </c>
      <c r="I349" s="65">
        <f t="shared" si="5"/>
        <v>0</v>
      </c>
      <c r="J349" s="65">
        <f t="shared" si="5"/>
        <v>0</v>
      </c>
      <c r="K349" s="65"/>
      <c r="L349" s="65">
        <f t="shared" si="7"/>
        <v>0</v>
      </c>
      <c r="M349" s="65">
        <f t="shared" si="7"/>
        <v>0</v>
      </c>
    </row>
    <row r="350" spans="1:13" x14ac:dyDescent="0.25">
      <c r="A350" s="40">
        <v>0</v>
      </c>
      <c r="B350" s="65">
        <f t="shared" si="6"/>
        <v>864</v>
      </c>
      <c r="C350" s="65">
        <f t="shared" si="6"/>
        <v>864</v>
      </c>
      <c r="D350" s="65">
        <f t="shared" si="6"/>
        <v>0</v>
      </c>
      <c r="E350" s="65">
        <f t="shared" si="6"/>
        <v>0</v>
      </c>
      <c r="F350" s="65">
        <f t="shared" si="6"/>
        <v>0</v>
      </c>
      <c r="G350" s="65">
        <f t="shared" si="6"/>
        <v>0</v>
      </c>
      <c r="H350" s="65">
        <f t="shared" si="6"/>
        <v>0</v>
      </c>
      <c r="I350" s="65">
        <f t="shared" si="5"/>
        <v>0</v>
      </c>
      <c r="J350" s="65">
        <f t="shared" si="5"/>
        <v>0</v>
      </c>
      <c r="K350" s="65"/>
      <c r="L350" s="65">
        <f t="shared" si="7"/>
        <v>0</v>
      </c>
      <c r="M350" s="65">
        <f t="shared" si="7"/>
        <v>0</v>
      </c>
    </row>
    <row r="351" spans="1:13" x14ac:dyDescent="0.25">
      <c r="A351" s="40">
        <v>0</v>
      </c>
      <c r="B351" s="65">
        <f t="shared" si="6"/>
        <v>964</v>
      </c>
      <c r="C351" s="65">
        <f t="shared" si="6"/>
        <v>964</v>
      </c>
      <c r="D351" s="65">
        <f t="shared" si="6"/>
        <v>0</v>
      </c>
      <c r="E351" s="65">
        <f t="shared" si="6"/>
        <v>0</v>
      </c>
      <c r="F351" s="65">
        <f t="shared" si="6"/>
        <v>0</v>
      </c>
      <c r="G351" s="65">
        <f t="shared" si="6"/>
        <v>0</v>
      </c>
      <c r="H351" s="65">
        <f t="shared" si="6"/>
        <v>0</v>
      </c>
      <c r="I351" s="65">
        <f t="shared" si="5"/>
        <v>0</v>
      </c>
      <c r="J351" s="65">
        <f t="shared" si="5"/>
        <v>0</v>
      </c>
      <c r="K351" s="65"/>
      <c r="L351" s="65">
        <f t="shared" si="7"/>
        <v>0</v>
      </c>
      <c r="M351" s="65">
        <f t="shared" si="7"/>
        <v>0</v>
      </c>
    </row>
    <row r="352" spans="1:13" x14ac:dyDescent="0.25">
      <c r="A352" s="40">
        <v>0</v>
      </c>
      <c r="B352" s="65">
        <f t="shared" si="6"/>
        <v>1064</v>
      </c>
      <c r="C352" s="65">
        <f t="shared" si="6"/>
        <v>1064</v>
      </c>
      <c r="D352" s="65">
        <f t="shared" si="6"/>
        <v>0</v>
      </c>
      <c r="E352" s="65">
        <f t="shared" si="6"/>
        <v>0</v>
      </c>
      <c r="F352" s="65">
        <f t="shared" si="6"/>
        <v>0</v>
      </c>
      <c r="G352" s="65">
        <f t="shared" si="6"/>
        <v>0</v>
      </c>
      <c r="H352" s="65">
        <f t="shared" si="6"/>
        <v>0</v>
      </c>
      <c r="I352" s="65">
        <f t="shared" si="5"/>
        <v>0</v>
      </c>
      <c r="J352" s="65">
        <f t="shared" si="5"/>
        <v>0</v>
      </c>
      <c r="K352" s="65"/>
      <c r="L352" s="65">
        <f t="shared" si="7"/>
        <v>0</v>
      </c>
      <c r="M352" s="65">
        <f t="shared" si="7"/>
        <v>0</v>
      </c>
    </row>
    <row r="353" spans="1:13" x14ac:dyDescent="0.25">
      <c r="A353" s="40">
        <v>0</v>
      </c>
      <c r="B353" s="65">
        <f t="shared" si="6"/>
        <v>1064</v>
      </c>
      <c r="C353" s="65">
        <f t="shared" si="6"/>
        <v>1064</v>
      </c>
      <c r="D353" s="65">
        <f t="shared" si="6"/>
        <v>0</v>
      </c>
      <c r="E353" s="65">
        <f t="shared" si="6"/>
        <v>0</v>
      </c>
      <c r="F353" s="65">
        <f t="shared" si="6"/>
        <v>0</v>
      </c>
      <c r="G353" s="65">
        <f t="shared" si="6"/>
        <v>0</v>
      </c>
      <c r="H353" s="65">
        <f t="shared" si="6"/>
        <v>0</v>
      </c>
      <c r="I353" s="65">
        <f t="shared" si="5"/>
        <v>0</v>
      </c>
      <c r="J353" s="65">
        <f t="shared" si="5"/>
        <v>0</v>
      </c>
      <c r="K353" s="65"/>
      <c r="L353" s="65">
        <f t="shared" si="7"/>
        <v>0</v>
      </c>
      <c r="M353" s="65">
        <f t="shared" si="7"/>
        <v>0</v>
      </c>
    </row>
    <row r="354" spans="1:13" x14ac:dyDescent="0.25">
      <c r="A354" s="40">
        <v>0</v>
      </c>
      <c r="B354" s="65">
        <f t="shared" si="6"/>
        <v>1064</v>
      </c>
      <c r="C354" s="65">
        <f t="shared" si="6"/>
        <v>1064</v>
      </c>
      <c r="D354" s="65">
        <f t="shared" si="6"/>
        <v>0</v>
      </c>
      <c r="E354" s="65">
        <f t="shared" si="6"/>
        <v>0</v>
      </c>
      <c r="F354" s="65">
        <f t="shared" si="6"/>
        <v>0</v>
      </c>
      <c r="G354" s="65">
        <f t="shared" si="6"/>
        <v>0</v>
      </c>
      <c r="H354" s="65">
        <f t="shared" si="6"/>
        <v>0</v>
      </c>
      <c r="I354" s="65">
        <f t="shared" si="5"/>
        <v>0</v>
      </c>
      <c r="J354" s="65">
        <f t="shared" si="5"/>
        <v>0</v>
      </c>
      <c r="K354" s="65"/>
      <c r="L354" s="65">
        <f t="shared" si="7"/>
        <v>0</v>
      </c>
      <c r="M354" s="65">
        <f t="shared" si="7"/>
        <v>0</v>
      </c>
    </row>
    <row r="355" spans="1:13" x14ac:dyDescent="0.25">
      <c r="A355" s="40">
        <v>0</v>
      </c>
      <c r="B355" s="65">
        <f t="shared" si="6"/>
        <v>1164</v>
      </c>
      <c r="C355" s="65">
        <f t="shared" si="6"/>
        <v>1164</v>
      </c>
      <c r="D355" s="65">
        <f t="shared" si="6"/>
        <v>0</v>
      </c>
      <c r="E355" s="65">
        <f t="shared" si="6"/>
        <v>0</v>
      </c>
      <c r="F355" s="65">
        <f t="shared" si="6"/>
        <v>0</v>
      </c>
      <c r="G355" s="65">
        <f t="shared" si="6"/>
        <v>0</v>
      </c>
      <c r="H355" s="65">
        <f t="shared" si="6"/>
        <v>0</v>
      </c>
      <c r="I355" s="65">
        <f t="shared" si="5"/>
        <v>0</v>
      </c>
      <c r="J355" s="65">
        <f t="shared" si="5"/>
        <v>0</v>
      </c>
      <c r="K355" s="65"/>
      <c r="L355" s="65">
        <f t="shared" si="7"/>
        <v>0</v>
      </c>
      <c r="M355" s="65">
        <f t="shared" si="7"/>
        <v>0</v>
      </c>
    </row>
    <row r="356" spans="1:13" x14ac:dyDescent="0.25">
      <c r="A356" s="40">
        <v>0</v>
      </c>
      <c r="B356" s="65">
        <f t="shared" si="6"/>
        <v>1200</v>
      </c>
      <c r="C356" s="65">
        <f t="shared" si="6"/>
        <v>1200</v>
      </c>
      <c r="D356" s="65">
        <f t="shared" si="6"/>
        <v>0</v>
      </c>
      <c r="E356" s="65">
        <f t="shared" si="6"/>
        <v>0</v>
      </c>
      <c r="F356" s="65">
        <f t="shared" si="6"/>
        <v>0</v>
      </c>
      <c r="G356" s="65">
        <f t="shared" si="6"/>
        <v>0</v>
      </c>
      <c r="H356" s="65">
        <f t="shared" si="6"/>
        <v>0</v>
      </c>
      <c r="I356" s="65">
        <f t="shared" si="5"/>
        <v>0</v>
      </c>
      <c r="J356" s="65">
        <f t="shared" si="5"/>
        <v>0</v>
      </c>
      <c r="K356" s="65"/>
      <c r="L356" s="65">
        <f t="shared" si="7"/>
        <v>0</v>
      </c>
      <c r="M356" s="65">
        <f t="shared" si="7"/>
        <v>0</v>
      </c>
    </row>
    <row r="357" spans="1:13" x14ac:dyDescent="0.25">
      <c r="A357" s="40">
        <v>0</v>
      </c>
      <c r="B357" s="65">
        <f t="shared" si="6"/>
        <v>1200</v>
      </c>
      <c r="C357" s="65">
        <f t="shared" si="6"/>
        <v>1200</v>
      </c>
      <c r="D357" s="65">
        <f t="shared" si="6"/>
        <v>0</v>
      </c>
      <c r="E357" s="65">
        <f t="shared" si="6"/>
        <v>0</v>
      </c>
      <c r="F357" s="65">
        <f t="shared" si="6"/>
        <v>0</v>
      </c>
      <c r="G357" s="65">
        <f t="shared" si="6"/>
        <v>0</v>
      </c>
      <c r="H357" s="65">
        <f t="shared" si="6"/>
        <v>0</v>
      </c>
      <c r="I357" s="65">
        <f t="shared" ref="I357:J388" si="8">L73</f>
        <v>0</v>
      </c>
      <c r="J357" s="65">
        <f t="shared" si="8"/>
        <v>0</v>
      </c>
      <c r="K357" s="65"/>
      <c r="L357" s="65">
        <f t="shared" si="7"/>
        <v>0</v>
      </c>
      <c r="M357" s="65">
        <f t="shared" si="7"/>
        <v>0</v>
      </c>
    </row>
    <row r="358" spans="1:13" x14ac:dyDescent="0.25">
      <c r="A358" s="40">
        <v>0</v>
      </c>
      <c r="B358" s="65">
        <f t="shared" si="6"/>
        <v>1200</v>
      </c>
      <c r="C358" s="65">
        <f t="shared" si="6"/>
        <v>1200</v>
      </c>
      <c r="D358" s="65">
        <f t="shared" si="6"/>
        <v>0</v>
      </c>
      <c r="E358" s="65">
        <f t="shared" si="6"/>
        <v>0</v>
      </c>
      <c r="F358" s="65">
        <f t="shared" si="6"/>
        <v>0</v>
      </c>
      <c r="G358" s="65">
        <f t="shared" si="6"/>
        <v>0</v>
      </c>
      <c r="H358" s="65">
        <f t="shared" si="6"/>
        <v>0</v>
      </c>
      <c r="I358" s="65">
        <f t="shared" si="8"/>
        <v>0</v>
      </c>
      <c r="J358" s="65">
        <f t="shared" si="8"/>
        <v>0</v>
      </c>
      <c r="K358" s="65"/>
      <c r="L358" s="65">
        <f t="shared" si="7"/>
        <v>0</v>
      </c>
      <c r="M358" s="65">
        <f t="shared" si="7"/>
        <v>0</v>
      </c>
    </row>
    <row r="359" spans="1:13" x14ac:dyDescent="0.25">
      <c r="A359" s="40">
        <v>0</v>
      </c>
      <c r="B359" s="65">
        <f t="shared" si="6"/>
        <v>1200</v>
      </c>
      <c r="C359" s="65">
        <f t="shared" si="6"/>
        <v>1200</v>
      </c>
      <c r="D359" s="65">
        <f t="shared" si="6"/>
        <v>0</v>
      </c>
      <c r="E359" s="65">
        <f t="shared" si="6"/>
        <v>0</v>
      </c>
      <c r="F359" s="65">
        <f t="shared" si="6"/>
        <v>0</v>
      </c>
      <c r="G359" s="65">
        <f t="shared" si="6"/>
        <v>0</v>
      </c>
      <c r="H359" s="65">
        <f t="shared" si="6"/>
        <v>0</v>
      </c>
      <c r="I359" s="65">
        <f t="shared" si="8"/>
        <v>0</v>
      </c>
      <c r="J359" s="65">
        <f t="shared" si="8"/>
        <v>0</v>
      </c>
      <c r="K359" s="65"/>
      <c r="L359" s="65">
        <f t="shared" si="7"/>
        <v>0</v>
      </c>
      <c r="M359" s="65">
        <f t="shared" si="7"/>
        <v>0</v>
      </c>
    </row>
    <row r="360" spans="1:13" x14ac:dyDescent="0.25">
      <c r="A360" s="40">
        <v>0</v>
      </c>
      <c r="B360" s="65">
        <f t="shared" ref="B360:H388" si="9">D76</f>
        <v>1233.93</v>
      </c>
      <c r="C360" s="65">
        <f t="shared" si="9"/>
        <v>1200</v>
      </c>
      <c r="D360" s="65">
        <f t="shared" si="9"/>
        <v>0</v>
      </c>
      <c r="E360" s="65">
        <f t="shared" si="9"/>
        <v>0</v>
      </c>
      <c r="F360" s="65">
        <f t="shared" si="9"/>
        <v>33.93</v>
      </c>
      <c r="G360" s="65">
        <f t="shared" si="9"/>
        <v>0</v>
      </c>
      <c r="H360" s="65">
        <f t="shared" si="9"/>
        <v>0</v>
      </c>
      <c r="I360" s="65">
        <f t="shared" si="8"/>
        <v>0</v>
      </c>
      <c r="J360" s="65">
        <f t="shared" si="8"/>
        <v>0</v>
      </c>
      <c r="K360" s="65"/>
      <c r="L360" s="65">
        <f t="shared" si="7"/>
        <v>0</v>
      </c>
      <c r="M360" s="65">
        <f t="shared" si="7"/>
        <v>0</v>
      </c>
    </row>
    <row r="361" spans="1:13" x14ac:dyDescent="0.25">
      <c r="A361" s="40">
        <v>0</v>
      </c>
      <c r="B361" s="65">
        <f t="shared" si="9"/>
        <v>1233.93</v>
      </c>
      <c r="C361" s="65">
        <f t="shared" si="9"/>
        <v>1200</v>
      </c>
      <c r="D361" s="65">
        <f t="shared" si="9"/>
        <v>0</v>
      </c>
      <c r="E361" s="65">
        <f t="shared" si="9"/>
        <v>0</v>
      </c>
      <c r="F361" s="65">
        <f t="shared" si="9"/>
        <v>0</v>
      </c>
      <c r="G361" s="65">
        <f t="shared" si="9"/>
        <v>33.93</v>
      </c>
      <c r="H361" s="65">
        <f t="shared" si="9"/>
        <v>0</v>
      </c>
      <c r="I361" s="65">
        <f t="shared" si="8"/>
        <v>0</v>
      </c>
      <c r="J361" s="65">
        <f t="shared" si="8"/>
        <v>0</v>
      </c>
      <c r="K361" s="65"/>
      <c r="L361" s="65">
        <f t="shared" si="7"/>
        <v>0</v>
      </c>
      <c r="M361" s="65">
        <f t="shared" si="7"/>
        <v>0</v>
      </c>
    </row>
    <row r="362" spans="1:13" x14ac:dyDescent="0.25">
      <c r="A362" s="40">
        <v>0</v>
      </c>
      <c r="B362" s="65">
        <f t="shared" si="9"/>
        <v>1233.93</v>
      </c>
      <c r="C362" s="65">
        <f t="shared" si="9"/>
        <v>1200</v>
      </c>
      <c r="D362" s="65">
        <f t="shared" si="9"/>
        <v>0</v>
      </c>
      <c r="E362" s="65">
        <f t="shared" si="9"/>
        <v>0</v>
      </c>
      <c r="F362" s="65">
        <f t="shared" si="9"/>
        <v>0</v>
      </c>
      <c r="G362" s="65">
        <f t="shared" si="9"/>
        <v>33.93</v>
      </c>
      <c r="H362" s="65">
        <f t="shared" si="9"/>
        <v>0</v>
      </c>
      <c r="I362" s="65">
        <f t="shared" si="8"/>
        <v>0</v>
      </c>
      <c r="J362" s="65">
        <f t="shared" si="8"/>
        <v>0</v>
      </c>
      <c r="K362" s="65"/>
      <c r="L362" s="65">
        <f t="shared" si="7"/>
        <v>0</v>
      </c>
      <c r="M362" s="65">
        <f t="shared" si="7"/>
        <v>0</v>
      </c>
    </row>
    <row r="363" spans="1:13" x14ac:dyDescent="0.25">
      <c r="A363" s="40">
        <v>0</v>
      </c>
      <c r="B363" s="65">
        <f t="shared" si="9"/>
        <v>1233.93</v>
      </c>
      <c r="C363" s="65">
        <f t="shared" si="9"/>
        <v>1200</v>
      </c>
      <c r="D363" s="65">
        <f t="shared" si="9"/>
        <v>0</v>
      </c>
      <c r="E363" s="65">
        <f t="shared" si="9"/>
        <v>0</v>
      </c>
      <c r="F363" s="65">
        <f t="shared" si="9"/>
        <v>0</v>
      </c>
      <c r="G363" s="65">
        <f t="shared" si="9"/>
        <v>33.93</v>
      </c>
      <c r="H363" s="65">
        <f t="shared" si="9"/>
        <v>0</v>
      </c>
      <c r="I363" s="65">
        <f t="shared" si="8"/>
        <v>0</v>
      </c>
      <c r="J363" s="65">
        <f t="shared" si="8"/>
        <v>0</v>
      </c>
      <c r="K363" s="65"/>
      <c r="L363" s="65">
        <f t="shared" si="7"/>
        <v>0</v>
      </c>
      <c r="M363" s="65">
        <f t="shared" si="7"/>
        <v>0</v>
      </c>
    </row>
    <row r="364" spans="1:13" x14ac:dyDescent="0.25">
      <c r="A364" s="40">
        <v>0</v>
      </c>
      <c r="B364" s="65">
        <f t="shared" si="9"/>
        <v>1233.93</v>
      </c>
      <c r="C364" s="65">
        <f t="shared" si="9"/>
        <v>1200</v>
      </c>
      <c r="D364" s="65">
        <f t="shared" si="9"/>
        <v>0</v>
      </c>
      <c r="E364" s="65">
        <f t="shared" si="9"/>
        <v>0</v>
      </c>
      <c r="F364" s="65">
        <f t="shared" si="9"/>
        <v>0</v>
      </c>
      <c r="G364" s="65">
        <f t="shared" si="9"/>
        <v>33.93</v>
      </c>
      <c r="H364" s="65">
        <f t="shared" si="9"/>
        <v>0</v>
      </c>
      <c r="I364" s="65">
        <f t="shared" si="8"/>
        <v>0</v>
      </c>
      <c r="J364" s="65">
        <f t="shared" si="8"/>
        <v>0</v>
      </c>
      <c r="K364" s="65"/>
      <c r="L364" s="65">
        <f t="shared" si="7"/>
        <v>0</v>
      </c>
      <c r="M364" s="65">
        <f t="shared" si="7"/>
        <v>0</v>
      </c>
    </row>
    <row r="365" spans="1:13" x14ac:dyDescent="0.25">
      <c r="A365" s="40">
        <v>0</v>
      </c>
      <c r="B365" s="65">
        <f t="shared" si="9"/>
        <v>1233.93</v>
      </c>
      <c r="C365" s="65">
        <f t="shared" si="9"/>
        <v>1200</v>
      </c>
      <c r="D365" s="65">
        <f t="shared" si="9"/>
        <v>0</v>
      </c>
      <c r="E365" s="65">
        <f t="shared" si="9"/>
        <v>0</v>
      </c>
      <c r="F365" s="65">
        <f t="shared" si="9"/>
        <v>0</v>
      </c>
      <c r="G365" s="65">
        <f t="shared" si="9"/>
        <v>33.93</v>
      </c>
      <c r="H365" s="65">
        <f t="shared" si="9"/>
        <v>0</v>
      </c>
      <c r="I365" s="65">
        <f t="shared" si="8"/>
        <v>0</v>
      </c>
      <c r="J365" s="65">
        <f t="shared" si="8"/>
        <v>0</v>
      </c>
      <c r="K365" s="65"/>
      <c r="L365" s="65">
        <f t="shared" si="7"/>
        <v>0</v>
      </c>
      <c r="M365" s="65">
        <f t="shared" si="7"/>
        <v>0</v>
      </c>
    </row>
    <row r="366" spans="1:13" x14ac:dyDescent="0.25">
      <c r="A366" s="40">
        <v>0</v>
      </c>
      <c r="B366" s="65">
        <f t="shared" si="9"/>
        <v>1233.93</v>
      </c>
      <c r="C366" s="65">
        <f t="shared" si="9"/>
        <v>1200</v>
      </c>
      <c r="D366" s="65">
        <f t="shared" si="9"/>
        <v>0</v>
      </c>
      <c r="E366" s="65">
        <f t="shared" si="9"/>
        <v>0</v>
      </c>
      <c r="F366" s="65">
        <f t="shared" si="9"/>
        <v>0</v>
      </c>
      <c r="G366" s="65">
        <f t="shared" si="9"/>
        <v>33.93</v>
      </c>
      <c r="H366" s="65">
        <f t="shared" si="9"/>
        <v>0</v>
      </c>
      <c r="I366" s="65">
        <f t="shared" si="8"/>
        <v>0</v>
      </c>
      <c r="J366" s="65">
        <f t="shared" si="8"/>
        <v>0</v>
      </c>
      <c r="K366" s="65"/>
      <c r="L366" s="65">
        <f t="shared" si="7"/>
        <v>0</v>
      </c>
      <c r="M366" s="65">
        <f t="shared" si="7"/>
        <v>0</v>
      </c>
    </row>
    <row r="367" spans="1:13" x14ac:dyDescent="0.25">
      <c r="A367" s="40">
        <v>0</v>
      </c>
      <c r="B367" s="65">
        <f t="shared" si="9"/>
        <v>1233.93</v>
      </c>
      <c r="C367" s="65">
        <f t="shared" si="9"/>
        <v>1200</v>
      </c>
      <c r="D367" s="65">
        <f t="shared" si="9"/>
        <v>0</v>
      </c>
      <c r="E367" s="65">
        <f t="shared" si="9"/>
        <v>0</v>
      </c>
      <c r="F367" s="65">
        <f t="shared" si="9"/>
        <v>0</v>
      </c>
      <c r="G367" s="65">
        <f t="shared" si="9"/>
        <v>33.93</v>
      </c>
      <c r="H367" s="65">
        <f t="shared" si="9"/>
        <v>0</v>
      </c>
      <c r="I367" s="65">
        <f t="shared" si="8"/>
        <v>0</v>
      </c>
      <c r="J367" s="65">
        <f t="shared" si="8"/>
        <v>0</v>
      </c>
      <c r="K367" s="65"/>
      <c r="L367" s="65">
        <f t="shared" si="7"/>
        <v>0</v>
      </c>
      <c r="M367" s="65">
        <f t="shared" si="7"/>
        <v>0</v>
      </c>
    </row>
    <row r="368" spans="1:13" x14ac:dyDescent="0.25">
      <c r="A368" s="40">
        <v>0</v>
      </c>
      <c r="B368" s="65">
        <f t="shared" si="9"/>
        <v>1233.93</v>
      </c>
      <c r="C368" s="65">
        <f t="shared" si="9"/>
        <v>1200</v>
      </c>
      <c r="D368" s="65">
        <f t="shared" si="9"/>
        <v>0</v>
      </c>
      <c r="E368" s="65">
        <f t="shared" si="9"/>
        <v>0</v>
      </c>
      <c r="F368" s="65">
        <f t="shared" si="9"/>
        <v>0</v>
      </c>
      <c r="G368" s="65">
        <f t="shared" si="9"/>
        <v>33.93</v>
      </c>
      <c r="H368" s="65">
        <f t="shared" si="9"/>
        <v>0</v>
      </c>
      <c r="I368" s="65">
        <f t="shared" si="8"/>
        <v>0</v>
      </c>
      <c r="J368" s="65">
        <f t="shared" si="8"/>
        <v>0</v>
      </c>
      <c r="K368" s="65"/>
      <c r="L368" s="65">
        <f t="shared" si="7"/>
        <v>0</v>
      </c>
      <c r="M368" s="65">
        <f t="shared" si="7"/>
        <v>0</v>
      </c>
    </row>
    <row r="369" spans="1:13" x14ac:dyDescent="0.25">
      <c r="A369" s="40">
        <v>0</v>
      </c>
      <c r="B369" s="65">
        <f t="shared" si="9"/>
        <v>1233.93</v>
      </c>
      <c r="C369" s="65">
        <f t="shared" si="9"/>
        <v>1200</v>
      </c>
      <c r="D369" s="65">
        <f t="shared" si="9"/>
        <v>0</v>
      </c>
      <c r="E369" s="65">
        <f t="shared" si="9"/>
        <v>0</v>
      </c>
      <c r="F369" s="65">
        <f t="shared" si="9"/>
        <v>0</v>
      </c>
      <c r="G369" s="65">
        <f t="shared" si="9"/>
        <v>33.93</v>
      </c>
      <c r="H369" s="65">
        <f t="shared" si="9"/>
        <v>0</v>
      </c>
      <c r="I369" s="65">
        <f t="shared" si="8"/>
        <v>0</v>
      </c>
      <c r="J369" s="65">
        <f t="shared" si="8"/>
        <v>0</v>
      </c>
      <c r="K369" s="65"/>
      <c r="L369" s="65">
        <f t="shared" si="7"/>
        <v>0</v>
      </c>
      <c r="M369" s="65">
        <f t="shared" si="7"/>
        <v>0</v>
      </c>
    </row>
    <row r="370" spans="1:13" x14ac:dyDescent="0.25">
      <c r="A370" s="40">
        <v>0</v>
      </c>
      <c r="B370" s="65">
        <f t="shared" si="9"/>
        <v>1233.93</v>
      </c>
      <c r="C370" s="65">
        <f t="shared" si="9"/>
        <v>1200</v>
      </c>
      <c r="D370" s="65">
        <f t="shared" si="9"/>
        <v>0</v>
      </c>
      <c r="E370" s="65">
        <f t="shared" si="9"/>
        <v>0</v>
      </c>
      <c r="F370" s="65">
        <f t="shared" si="9"/>
        <v>0</v>
      </c>
      <c r="G370" s="65">
        <f t="shared" si="9"/>
        <v>33.93</v>
      </c>
      <c r="H370" s="65">
        <f t="shared" si="9"/>
        <v>0</v>
      </c>
      <c r="I370" s="65">
        <f t="shared" si="8"/>
        <v>0</v>
      </c>
      <c r="J370" s="65">
        <f t="shared" si="8"/>
        <v>0</v>
      </c>
      <c r="K370" s="65"/>
      <c r="L370" s="65">
        <f t="shared" si="7"/>
        <v>0</v>
      </c>
      <c r="M370" s="65">
        <f t="shared" si="7"/>
        <v>0</v>
      </c>
    </row>
    <row r="371" spans="1:13" x14ac:dyDescent="0.25">
      <c r="A371" s="40">
        <v>0</v>
      </c>
      <c r="B371" s="65">
        <f t="shared" si="9"/>
        <v>1233.93</v>
      </c>
      <c r="C371" s="65">
        <f t="shared" si="9"/>
        <v>1200</v>
      </c>
      <c r="D371" s="65">
        <f t="shared" si="9"/>
        <v>0</v>
      </c>
      <c r="E371" s="65">
        <f t="shared" si="9"/>
        <v>0</v>
      </c>
      <c r="F371" s="65">
        <f t="shared" si="9"/>
        <v>0</v>
      </c>
      <c r="G371" s="65">
        <f t="shared" si="9"/>
        <v>33.93</v>
      </c>
      <c r="H371" s="65">
        <f t="shared" si="9"/>
        <v>0</v>
      </c>
      <c r="I371" s="65">
        <f t="shared" si="8"/>
        <v>0</v>
      </c>
      <c r="J371" s="65">
        <f t="shared" si="8"/>
        <v>0</v>
      </c>
      <c r="K371" s="65"/>
      <c r="L371" s="65">
        <f t="shared" si="7"/>
        <v>0</v>
      </c>
      <c r="M371" s="65">
        <f t="shared" si="7"/>
        <v>0</v>
      </c>
    </row>
    <row r="372" spans="1:13" x14ac:dyDescent="0.25">
      <c r="A372" s="40">
        <v>0</v>
      </c>
      <c r="B372" s="65">
        <f t="shared" si="9"/>
        <v>1200</v>
      </c>
      <c r="C372" s="65">
        <f t="shared" si="9"/>
        <v>1200</v>
      </c>
      <c r="D372" s="65">
        <f t="shared" si="9"/>
        <v>0</v>
      </c>
      <c r="E372" s="65">
        <f t="shared" si="9"/>
        <v>0</v>
      </c>
      <c r="F372" s="65">
        <f t="shared" si="9"/>
        <v>0</v>
      </c>
      <c r="G372" s="65">
        <f t="shared" si="9"/>
        <v>0</v>
      </c>
      <c r="H372" s="65">
        <f t="shared" si="9"/>
        <v>0</v>
      </c>
      <c r="I372" s="65">
        <f t="shared" si="8"/>
        <v>0</v>
      </c>
      <c r="J372" s="65">
        <f t="shared" si="8"/>
        <v>0</v>
      </c>
      <c r="K372" s="65"/>
      <c r="L372" s="65">
        <f t="shared" si="7"/>
        <v>0</v>
      </c>
      <c r="M372" s="65">
        <f t="shared" si="7"/>
        <v>0</v>
      </c>
    </row>
    <row r="373" spans="1:13" x14ac:dyDescent="0.25">
      <c r="A373" s="40">
        <v>0</v>
      </c>
      <c r="B373" s="65">
        <f t="shared" si="9"/>
        <v>1200</v>
      </c>
      <c r="C373" s="65">
        <f t="shared" si="9"/>
        <v>1200</v>
      </c>
      <c r="D373" s="65">
        <f t="shared" si="9"/>
        <v>0</v>
      </c>
      <c r="E373" s="65">
        <f t="shared" si="9"/>
        <v>0</v>
      </c>
      <c r="F373" s="65">
        <f t="shared" si="9"/>
        <v>0</v>
      </c>
      <c r="G373" s="65">
        <f t="shared" si="9"/>
        <v>0</v>
      </c>
      <c r="H373" s="65">
        <f t="shared" si="9"/>
        <v>0</v>
      </c>
      <c r="I373" s="65">
        <f t="shared" si="8"/>
        <v>0</v>
      </c>
      <c r="J373" s="65">
        <f t="shared" si="8"/>
        <v>0</v>
      </c>
      <c r="K373" s="65"/>
      <c r="L373" s="65">
        <f t="shared" si="7"/>
        <v>0</v>
      </c>
      <c r="M373" s="65">
        <f t="shared" si="7"/>
        <v>0</v>
      </c>
    </row>
    <row r="374" spans="1:13" x14ac:dyDescent="0.25">
      <c r="A374" s="40">
        <v>0</v>
      </c>
      <c r="B374" s="65">
        <f t="shared" si="9"/>
        <v>1200</v>
      </c>
      <c r="C374" s="65">
        <f t="shared" si="9"/>
        <v>1200</v>
      </c>
      <c r="D374" s="65">
        <f t="shared" si="9"/>
        <v>0</v>
      </c>
      <c r="E374" s="65">
        <f t="shared" si="9"/>
        <v>0</v>
      </c>
      <c r="F374" s="65">
        <f t="shared" si="9"/>
        <v>0</v>
      </c>
      <c r="G374" s="65">
        <f t="shared" si="9"/>
        <v>0</v>
      </c>
      <c r="H374" s="65">
        <f t="shared" si="9"/>
        <v>0</v>
      </c>
      <c r="I374" s="65">
        <f t="shared" si="8"/>
        <v>0</v>
      </c>
      <c r="J374" s="65">
        <f t="shared" si="8"/>
        <v>0</v>
      </c>
      <c r="K374" s="65"/>
      <c r="L374" s="65">
        <f t="shared" si="7"/>
        <v>0</v>
      </c>
      <c r="M374" s="65">
        <f t="shared" si="7"/>
        <v>0</v>
      </c>
    </row>
    <row r="375" spans="1:13" x14ac:dyDescent="0.25">
      <c r="A375" s="40">
        <v>0</v>
      </c>
      <c r="B375" s="65">
        <f t="shared" si="9"/>
        <v>1200</v>
      </c>
      <c r="C375" s="65">
        <f t="shared" si="9"/>
        <v>1200</v>
      </c>
      <c r="D375" s="65">
        <f t="shared" si="9"/>
        <v>0</v>
      </c>
      <c r="E375" s="65">
        <f t="shared" si="9"/>
        <v>0</v>
      </c>
      <c r="F375" s="65">
        <f t="shared" si="9"/>
        <v>0</v>
      </c>
      <c r="G375" s="65">
        <f t="shared" si="9"/>
        <v>0</v>
      </c>
      <c r="H375" s="65">
        <f t="shared" si="9"/>
        <v>0</v>
      </c>
      <c r="I375" s="65">
        <f t="shared" si="8"/>
        <v>0</v>
      </c>
      <c r="J375" s="65">
        <f t="shared" si="8"/>
        <v>0</v>
      </c>
      <c r="K375" s="65"/>
      <c r="L375" s="65">
        <f t="shared" si="7"/>
        <v>0</v>
      </c>
      <c r="M375" s="65">
        <f t="shared" si="7"/>
        <v>0</v>
      </c>
    </row>
    <row r="376" spans="1:13" x14ac:dyDescent="0.25">
      <c r="A376" s="40">
        <v>0</v>
      </c>
      <c r="B376" s="65">
        <f t="shared" si="9"/>
        <v>1200</v>
      </c>
      <c r="C376" s="65">
        <f t="shared" si="9"/>
        <v>1200</v>
      </c>
      <c r="D376" s="65">
        <f t="shared" si="9"/>
        <v>0</v>
      </c>
      <c r="E376" s="65">
        <f t="shared" si="9"/>
        <v>0</v>
      </c>
      <c r="F376" s="65">
        <f t="shared" si="9"/>
        <v>0</v>
      </c>
      <c r="G376" s="65">
        <f t="shared" si="9"/>
        <v>0</v>
      </c>
      <c r="H376" s="65">
        <f t="shared" si="9"/>
        <v>0</v>
      </c>
      <c r="I376" s="65">
        <f t="shared" si="8"/>
        <v>0</v>
      </c>
      <c r="J376" s="65">
        <f t="shared" si="8"/>
        <v>0</v>
      </c>
      <c r="K376" s="65"/>
      <c r="L376" s="65">
        <f t="shared" si="7"/>
        <v>0</v>
      </c>
      <c r="M376" s="65">
        <f t="shared" si="7"/>
        <v>0</v>
      </c>
    </row>
    <row r="377" spans="1:13" x14ac:dyDescent="0.25">
      <c r="A377" s="40">
        <v>0</v>
      </c>
      <c r="B377" s="65">
        <f t="shared" si="9"/>
        <v>1200</v>
      </c>
      <c r="C377" s="65">
        <f t="shared" si="9"/>
        <v>1200</v>
      </c>
      <c r="D377" s="65">
        <f t="shared" si="9"/>
        <v>0</v>
      </c>
      <c r="E377" s="65">
        <f t="shared" si="9"/>
        <v>0</v>
      </c>
      <c r="F377" s="65">
        <f t="shared" si="9"/>
        <v>0</v>
      </c>
      <c r="G377" s="65">
        <f t="shared" si="9"/>
        <v>0</v>
      </c>
      <c r="H377" s="65">
        <f t="shared" si="9"/>
        <v>0</v>
      </c>
      <c r="I377" s="65">
        <f t="shared" si="8"/>
        <v>0</v>
      </c>
      <c r="J377" s="65">
        <f t="shared" si="8"/>
        <v>0</v>
      </c>
      <c r="K377" s="65"/>
      <c r="L377" s="65">
        <f t="shared" si="7"/>
        <v>0</v>
      </c>
      <c r="M377" s="65">
        <f t="shared" si="7"/>
        <v>0</v>
      </c>
    </row>
    <row r="378" spans="1:13" x14ac:dyDescent="0.25">
      <c r="A378" s="40">
        <v>0</v>
      </c>
      <c r="B378" s="65">
        <f t="shared" si="9"/>
        <v>1200</v>
      </c>
      <c r="C378" s="65">
        <f t="shared" si="9"/>
        <v>1200</v>
      </c>
      <c r="D378" s="65">
        <f t="shared" si="9"/>
        <v>0</v>
      </c>
      <c r="E378" s="65">
        <f t="shared" si="9"/>
        <v>0</v>
      </c>
      <c r="F378" s="65">
        <f t="shared" si="9"/>
        <v>0</v>
      </c>
      <c r="G378" s="65">
        <f t="shared" si="9"/>
        <v>0</v>
      </c>
      <c r="H378" s="65">
        <f t="shared" si="9"/>
        <v>0</v>
      </c>
      <c r="I378" s="65">
        <f t="shared" si="8"/>
        <v>0</v>
      </c>
      <c r="J378" s="65">
        <f t="shared" si="8"/>
        <v>0</v>
      </c>
      <c r="K378" s="65"/>
      <c r="L378" s="65">
        <f t="shared" si="7"/>
        <v>0</v>
      </c>
      <c r="M378" s="65">
        <f t="shared" si="7"/>
        <v>0</v>
      </c>
    </row>
    <row r="379" spans="1:13" x14ac:dyDescent="0.25">
      <c r="A379" s="40">
        <v>0</v>
      </c>
      <c r="B379" s="65">
        <f t="shared" si="9"/>
        <v>1200</v>
      </c>
      <c r="C379" s="65">
        <f t="shared" si="9"/>
        <v>1200</v>
      </c>
      <c r="D379" s="65">
        <f t="shared" si="9"/>
        <v>0</v>
      </c>
      <c r="E379" s="65">
        <f t="shared" si="9"/>
        <v>0</v>
      </c>
      <c r="F379" s="65">
        <f t="shared" si="9"/>
        <v>0</v>
      </c>
      <c r="G379" s="65">
        <f t="shared" si="9"/>
        <v>0</v>
      </c>
      <c r="H379" s="65">
        <f t="shared" si="9"/>
        <v>0</v>
      </c>
      <c r="I379" s="65">
        <f t="shared" si="8"/>
        <v>0</v>
      </c>
      <c r="J379" s="65">
        <f t="shared" si="8"/>
        <v>0</v>
      </c>
      <c r="K379" s="65"/>
      <c r="L379" s="65">
        <f t="shared" si="7"/>
        <v>0</v>
      </c>
      <c r="M379" s="65">
        <f t="shared" si="7"/>
        <v>0</v>
      </c>
    </row>
    <row r="380" spans="1:13" x14ac:dyDescent="0.25">
      <c r="A380" s="40">
        <v>0</v>
      </c>
      <c r="B380" s="65">
        <f t="shared" si="9"/>
        <v>1200</v>
      </c>
      <c r="C380" s="65">
        <f t="shared" si="9"/>
        <v>1200</v>
      </c>
      <c r="D380" s="65">
        <f t="shared" si="9"/>
        <v>0</v>
      </c>
      <c r="E380" s="65">
        <f t="shared" si="9"/>
        <v>0</v>
      </c>
      <c r="F380" s="65">
        <f t="shared" si="9"/>
        <v>0</v>
      </c>
      <c r="G380" s="65">
        <f t="shared" si="9"/>
        <v>0</v>
      </c>
      <c r="H380" s="65">
        <f t="shared" si="9"/>
        <v>0</v>
      </c>
      <c r="I380" s="65">
        <f t="shared" si="8"/>
        <v>0</v>
      </c>
      <c r="J380" s="65">
        <f t="shared" si="8"/>
        <v>0</v>
      </c>
      <c r="K380" s="65"/>
      <c r="L380" s="65">
        <f t="shared" si="7"/>
        <v>0</v>
      </c>
      <c r="M380" s="65">
        <f t="shared" si="7"/>
        <v>0</v>
      </c>
    </row>
    <row r="381" spans="1:13" x14ac:dyDescent="0.25">
      <c r="A381" s="40">
        <v>0</v>
      </c>
      <c r="B381" s="65">
        <f t="shared" si="9"/>
        <v>1200</v>
      </c>
      <c r="C381" s="65">
        <f t="shared" si="9"/>
        <v>1200</v>
      </c>
      <c r="D381" s="65">
        <f t="shared" si="9"/>
        <v>0</v>
      </c>
      <c r="E381" s="65">
        <f t="shared" si="9"/>
        <v>0</v>
      </c>
      <c r="F381" s="65">
        <f t="shared" si="9"/>
        <v>0</v>
      </c>
      <c r="G381" s="65">
        <f t="shared" si="9"/>
        <v>0</v>
      </c>
      <c r="H381" s="65">
        <f t="shared" si="9"/>
        <v>0</v>
      </c>
      <c r="I381" s="65">
        <f t="shared" si="8"/>
        <v>0</v>
      </c>
      <c r="J381" s="65">
        <f t="shared" si="8"/>
        <v>0</v>
      </c>
      <c r="K381" s="65"/>
      <c r="L381" s="65">
        <f t="shared" si="7"/>
        <v>0</v>
      </c>
      <c r="M381" s="65">
        <f t="shared" si="7"/>
        <v>0</v>
      </c>
    </row>
    <row r="382" spans="1:13" x14ac:dyDescent="0.25">
      <c r="A382" s="40">
        <v>0</v>
      </c>
      <c r="B382" s="65">
        <f t="shared" si="9"/>
        <v>1200</v>
      </c>
      <c r="C382" s="65">
        <f t="shared" si="9"/>
        <v>1200</v>
      </c>
      <c r="D382" s="65">
        <f t="shared" si="9"/>
        <v>0</v>
      </c>
      <c r="E382" s="65">
        <f t="shared" si="9"/>
        <v>0</v>
      </c>
      <c r="F382" s="65">
        <f t="shared" si="9"/>
        <v>0</v>
      </c>
      <c r="G382" s="65">
        <f t="shared" si="9"/>
        <v>0</v>
      </c>
      <c r="H382" s="65">
        <f t="shared" si="9"/>
        <v>0</v>
      </c>
      <c r="I382" s="65">
        <f t="shared" si="8"/>
        <v>0</v>
      </c>
      <c r="J382" s="65">
        <f t="shared" si="8"/>
        <v>0</v>
      </c>
      <c r="K382" s="65"/>
      <c r="L382" s="65">
        <f t="shared" si="7"/>
        <v>0</v>
      </c>
      <c r="M382" s="65">
        <f t="shared" si="7"/>
        <v>0</v>
      </c>
    </row>
    <row r="383" spans="1:13" x14ac:dyDescent="0.25">
      <c r="A383" s="40">
        <v>0</v>
      </c>
      <c r="B383" s="65">
        <f t="shared" si="9"/>
        <v>1200</v>
      </c>
      <c r="C383" s="65">
        <f t="shared" si="9"/>
        <v>1200</v>
      </c>
      <c r="D383" s="65">
        <f t="shared" si="9"/>
        <v>0</v>
      </c>
      <c r="E383" s="65">
        <f t="shared" si="9"/>
        <v>0</v>
      </c>
      <c r="F383" s="65">
        <f t="shared" si="9"/>
        <v>0</v>
      </c>
      <c r="G383" s="65">
        <f t="shared" si="9"/>
        <v>0</v>
      </c>
      <c r="H383" s="65">
        <f t="shared" si="9"/>
        <v>0</v>
      </c>
      <c r="I383" s="65">
        <f t="shared" si="8"/>
        <v>0</v>
      </c>
      <c r="J383" s="65">
        <f t="shared" si="8"/>
        <v>0</v>
      </c>
      <c r="K383" s="65"/>
      <c r="L383" s="65">
        <f t="shared" si="7"/>
        <v>0</v>
      </c>
      <c r="M383" s="65">
        <f t="shared" si="7"/>
        <v>0</v>
      </c>
    </row>
    <row r="384" spans="1:13" x14ac:dyDescent="0.25">
      <c r="A384" s="40">
        <v>0</v>
      </c>
      <c r="B384" s="65">
        <f t="shared" si="9"/>
        <v>1200</v>
      </c>
      <c r="C384" s="65">
        <f t="shared" si="9"/>
        <v>1200</v>
      </c>
      <c r="D384" s="65">
        <f t="shared" si="9"/>
        <v>0</v>
      </c>
      <c r="E384" s="65">
        <f t="shared" si="9"/>
        <v>0</v>
      </c>
      <c r="F384" s="65">
        <f t="shared" si="9"/>
        <v>0</v>
      </c>
      <c r="G384" s="65">
        <f t="shared" si="9"/>
        <v>0</v>
      </c>
      <c r="H384" s="65">
        <f t="shared" si="9"/>
        <v>0</v>
      </c>
      <c r="I384" s="65">
        <f t="shared" si="8"/>
        <v>0</v>
      </c>
      <c r="J384" s="65">
        <f t="shared" si="8"/>
        <v>0</v>
      </c>
      <c r="K384" s="65"/>
      <c r="L384" s="65">
        <f t="shared" si="7"/>
        <v>0</v>
      </c>
      <c r="M384" s="65">
        <f t="shared" si="7"/>
        <v>0</v>
      </c>
    </row>
    <row r="385" spans="1:13" x14ac:dyDescent="0.25">
      <c r="A385" s="40">
        <v>0</v>
      </c>
      <c r="B385" s="65">
        <f t="shared" si="9"/>
        <v>1200</v>
      </c>
      <c r="C385" s="65">
        <f t="shared" si="9"/>
        <v>1200</v>
      </c>
      <c r="D385" s="65">
        <f t="shared" si="9"/>
        <v>0</v>
      </c>
      <c r="E385" s="65">
        <f t="shared" si="9"/>
        <v>0</v>
      </c>
      <c r="F385" s="65">
        <f t="shared" si="9"/>
        <v>0</v>
      </c>
      <c r="G385" s="65">
        <f t="shared" si="9"/>
        <v>0</v>
      </c>
      <c r="H385" s="65">
        <f t="shared" si="9"/>
        <v>0</v>
      </c>
      <c r="I385" s="65">
        <f t="shared" si="8"/>
        <v>0</v>
      </c>
      <c r="J385" s="65">
        <f t="shared" si="8"/>
        <v>0</v>
      </c>
      <c r="K385" s="65"/>
      <c r="L385" s="65">
        <f t="shared" si="7"/>
        <v>0</v>
      </c>
      <c r="M385" s="65">
        <f t="shared" si="7"/>
        <v>0</v>
      </c>
    </row>
    <row r="386" spans="1:13" x14ac:dyDescent="0.25">
      <c r="A386" s="40">
        <v>0</v>
      </c>
      <c r="B386" s="65">
        <f t="shared" si="9"/>
        <v>1200</v>
      </c>
      <c r="C386" s="65">
        <f t="shared" si="9"/>
        <v>1200</v>
      </c>
      <c r="D386" s="65">
        <f t="shared" si="9"/>
        <v>0</v>
      </c>
      <c r="E386" s="65">
        <f t="shared" si="9"/>
        <v>0</v>
      </c>
      <c r="F386" s="65">
        <f t="shared" si="9"/>
        <v>0</v>
      </c>
      <c r="G386" s="65">
        <f t="shared" si="9"/>
        <v>0</v>
      </c>
      <c r="H386" s="65">
        <f t="shared" si="9"/>
        <v>0</v>
      </c>
      <c r="I386" s="65">
        <f t="shared" si="8"/>
        <v>0</v>
      </c>
      <c r="J386" s="65">
        <f t="shared" si="8"/>
        <v>0</v>
      </c>
      <c r="K386" s="65"/>
      <c r="L386" s="65">
        <f t="shared" si="7"/>
        <v>0</v>
      </c>
      <c r="M386" s="65">
        <f t="shared" si="7"/>
        <v>0</v>
      </c>
    </row>
    <row r="387" spans="1:13" x14ac:dyDescent="0.25">
      <c r="A387" s="40">
        <v>0</v>
      </c>
      <c r="B387" s="65">
        <f t="shared" si="9"/>
        <v>1200</v>
      </c>
      <c r="C387" s="65">
        <f t="shared" si="9"/>
        <v>1200</v>
      </c>
      <c r="D387" s="65">
        <f t="shared" si="9"/>
        <v>0</v>
      </c>
      <c r="E387" s="65">
        <f t="shared" si="9"/>
        <v>0</v>
      </c>
      <c r="F387" s="65">
        <f t="shared" si="9"/>
        <v>0</v>
      </c>
      <c r="G387" s="65">
        <f t="shared" si="9"/>
        <v>0</v>
      </c>
      <c r="H387" s="65">
        <f t="shared" si="9"/>
        <v>0</v>
      </c>
      <c r="I387" s="65">
        <f t="shared" si="8"/>
        <v>0</v>
      </c>
      <c r="J387" s="65">
        <f t="shared" si="8"/>
        <v>0</v>
      </c>
      <c r="K387" s="65"/>
      <c r="L387" s="65">
        <f t="shared" si="7"/>
        <v>0</v>
      </c>
      <c r="M387" s="65">
        <f t="shared" si="7"/>
        <v>0</v>
      </c>
    </row>
    <row r="388" spans="1:13" x14ac:dyDescent="0.25">
      <c r="A388" s="40">
        <v>0</v>
      </c>
      <c r="B388" s="65">
        <f t="shared" si="9"/>
        <v>1200</v>
      </c>
      <c r="C388" s="65">
        <f t="shared" si="9"/>
        <v>1200</v>
      </c>
      <c r="D388" s="65">
        <f t="shared" si="9"/>
        <v>0</v>
      </c>
      <c r="E388" s="65">
        <f t="shared" si="9"/>
        <v>0</v>
      </c>
      <c r="F388" s="65">
        <f t="shared" si="9"/>
        <v>0</v>
      </c>
      <c r="G388" s="65">
        <f t="shared" si="9"/>
        <v>0</v>
      </c>
      <c r="H388" s="65">
        <f t="shared" si="9"/>
        <v>0</v>
      </c>
      <c r="I388" s="65">
        <f t="shared" si="8"/>
        <v>0</v>
      </c>
      <c r="J388" s="65">
        <f t="shared" si="8"/>
        <v>0</v>
      </c>
      <c r="K388" s="65"/>
      <c r="L388" s="65">
        <f t="shared" si="7"/>
        <v>0</v>
      </c>
      <c r="M388" s="65">
        <f t="shared" si="7"/>
        <v>0</v>
      </c>
    </row>
    <row r="492" spans="1:1" x14ac:dyDescent="0.25">
      <c r="A492" s="40" t="s">
        <v>60</v>
      </c>
    </row>
    <row r="493" spans="1:1" x14ac:dyDescent="0.25">
      <c r="A493" s="40" t="s">
        <v>61</v>
      </c>
    </row>
    <row r="494" spans="1:1" x14ac:dyDescent="0.25">
      <c r="A494" s="40" t="s">
        <v>62</v>
      </c>
    </row>
    <row r="495" spans="1:1" x14ac:dyDescent="0.25">
      <c r="A495" s="40" t="s">
        <v>63</v>
      </c>
    </row>
    <row r="496" spans="1:1" x14ac:dyDescent="0.25">
      <c r="A496" s="40" t="s">
        <v>64</v>
      </c>
    </row>
    <row r="497" spans="1:1" x14ac:dyDescent="0.25">
      <c r="A497" s="40" t="s">
        <v>65</v>
      </c>
    </row>
    <row r="498" spans="1:1" x14ac:dyDescent="0.25">
      <c r="A498" s="40" t="s">
        <v>66</v>
      </c>
    </row>
    <row r="499" spans="1:1" x14ac:dyDescent="0.25">
      <c r="A499" s="40" t="s">
        <v>67</v>
      </c>
    </row>
    <row r="500" spans="1:1" x14ac:dyDescent="0.25">
      <c r="A500" s="40" t="s">
        <v>68</v>
      </c>
    </row>
    <row r="501" spans="1:1" x14ac:dyDescent="0.25">
      <c r="A501" s="40" t="s">
        <v>69</v>
      </c>
    </row>
    <row r="953" spans="9:9" x14ac:dyDescent="0.25">
      <c r="I953" s="40" t="s">
        <v>18</v>
      </c>
    </row>
    <row r="954" spans="9:9" x14ac:dyDescent="0.25">
      <c r="I954" s="40" t="s">
        <v>19</v>
      </c>
    </row>
    <row r="955" spans="9:9" x14ac:dyDescent="0.25">
      <c r="I955" s="40" t="s">
        <v>20</v>
      </c>
    </row>
    <row r="956" spans="9:9" x14ac:dyDescent="0.25">
      <c r="I956" s="40" t="s">
        <v>21</v>
      </c>
    </row>
    <row r="957" spans="9:9" x14ac:dyDescent="0.25">
      <c r="I957" s="40" t="s">
        <v>22</v>
      </c>
    </row>
    <row r="958" spans="9:9" x14ac:dyDescent="0.25">
      <c r="I958" s="40" t="s">
        <v>23</v>
      </c>
    </row>
    <row r="959" spans="9:9" x14ac:dyDescent="0.25">
      <c r="I959" s="40" t="s">
        <v>24</v>
      </c>
    </row>
    <row r="960" spans="9:9" x14ac:dyDescent="0.25">
      <c r="I960" s="40" t="s">
        <v>25</v>
      </c>
    </row>
    <row r="961" spans="9:9" x14ac:dyDescent="0.25">
      <c r="I961" s="40" t="s">
        <v>26</v>
      </c>
    </row>
    <row r="962" spans="9:9" x14ac:dyDescent="0.25">
      <c r="I962" s="40" t="s">
        <v>27</v>
      </c>
    </row>
    <row r="963" spans="9:9" x14ac:dyDescent="0.25">
      <c r="I963" s="40" t="s">
        <v>28</v>
      </c>
    </row>
    <row r="964" spans="9:9" x14ac:dyDescent="0.25">
      <c r="I964" s="40" t="s">
        <v>29</v>
      </c>
    </row>
    <row r="965" spans="9:9" x14ac:dyDescent="0.25">
      <c r="I965" s="40" t="s">
        <v>30</v>
      </c>
    </row>
    <row r="966" spans="9:9" x14ac:dyDescent="0.25">
      <c r="I966" s="40" t="s">
        <v>31</v>
      </c>
    </row>
    <row r="967" spans="9:9" x14ac:dyDescent="0.25">
      <c r="I967" s="40" t="s">
        <v>32</v>
      </c>
    </row>
    <row r="968" spans="9:9" x14ac:dyDescent="0.25">
      <c r="I968" s="40" t="s">
        <v>33</v>
      </c>
    </row>
    <row r="969" spans="9:9" x14ac:dyDescent="0.25">
      <c r="I969" s="40" t="s">
        <v>34</v>
      </c>
    </row>
    <row r="970" spans="9:9" x14ac:dyDescent="0.25">
      <c r="I970" s="40" t="s">
        <v>35</v>
      </c>
    </row>
    <row r="971" spans="9:9" x14ac:dyDescent="0.25">
      <c r="I971" s="40" t="s">
        <v>36</v>
      </c>
    </row>
    <row r="972" spans="9:9" x14ac:dyDescent="0.25">
      <c r="I972" s="40" t="s">
        <v>37</v>
      </c>
    </row>
    <row r="973" spans="9:9" x14ac:dyDescent="0.25">
      <c r="I973" s="40" t="s">
        <v>38</v>
      </c>
    </row>
    <row r="974" spans="9:9" x14ac:dyDescent="0.25">
      <c r="I974" s="40" t="s">
        <v>39</v>
      </c>
    </row>
    <row r="975" spans="9:9" x14ac:dyDescent="0.25">
      <c r="I975" s="40" t="s">
        <v>40</v>
      </c>
    </row>
    <row r="976" spans="9:9" x14ac:dyDescent="0.25">
      <c r="I976" s="40" t="s">
        <v>41</v>
      </c>
    </row>
    <row r="977" spans="9:9" x14ac:dyDescent="0.25">
      <c r="I977" s="40" t="s">
        <v>42</v>
      </c>
    </row>
    <row r="978" spans="9:9" x14ac:dyDescent="0.25">
      <c r="I978" s="40" t="s">
        <v>43</v>
      </c>
    </row>
  </sheetData>
  <protectedRanges>
    <protectedRange algorithmName="SHA-512" hashValue="cDIo2LrqoPmS/Kh2At9MnaHAHA5kYGg9e11lV7QqGfxHLrFTlNDdnUvlCXNuNhamJ7UlO6mys9ROXNPQjlLckQ==" saltValue="jv8XDoX7NiJhOUXNYQ7+FA==" spinCount="100000" sqref="Q9:AI104" name="Range3"/>
    <protectedRange algorithmName="SHA-512" hashValue="39JY9U8Zrm4UzOd+E8f9Qd3UHT1iovDM1pej7RgFj0JN5ITg1lysY8acMJ9bXfWd5dJFMJbxDwSvqJbqU88A6Q==" saltValue="AuFoNR7BnpO26904NDlOeA==" spinCount="100000" sqref="B6" name="Range1"/>
    <protectedRange algorithmName="SHA-512" hashValue="qQYn+m+b4UVdjF94fJY26EWyaL6NXSlMR0hjQ5/xNDkmthaz1VvGWbh/7nGtIdkgRT6aNUF0IIZNQcadTKpO7g==" saltValue="2NnoMCglf5tG+69kK64QMw==" spinCount="100000" sqref="F9:P104" name="Range3_1"/>
    <protectedRange password="CE2A" sqref="E9:E104" name="Range3_3"/>
    <protectedRange algorithmName="SHA-512" hashValue="1jJWfUXWRRT08/cshb+Zq/RAMTya5nSG8yWpGVBg0Dfqhe3vup+3W9p/IBZi/Wrrv1DDhqG9wt/eD6EO1fnNvQ==" saltValue="VWP5arczVApFJ9oxlz3YOA==" spinCount="100000" sqref="U8:AI8" name="Range2_3_2"/>
    <protectedRange password="CE2A" sqref="E8:T8" name="Range2_1"/>
  </protectedRanges>
  <mergeCells count="16">
    <mergeCell ref="A1:O1"/>
    <mergeCell ref="A2:O2"/>
    <mergeCell ref="A3:A4"/>
    <mergeCell ref="B3:D4"/>
    <mergeCell ref="E3:E4"/>
    <mergeCell ref="F3:G4"/>
    <mergeCell ref="H3:L4"/>
    <mergeCell ref="AH3:AH4"/>
    <mergeCell ref="AI3:AI4"/>
    <mergeCell ref="A6:C7"/>
    <mergeCell ref="Q3:AB4"/>
    <mergeCell ref="AC3:AC4"/>
    <mergeCell ref="AD3:AD4"/>
    <mergeCell ref="AE3:AE4"/>
    <mergeCell ref="AF3:AF4"/>
    <mergeCell ref="AG3:AG4"/>
  </mergeCells>
  <dataValidations count="1">
    <dataValidation type="list" allowBlank="1" showInputMessage="1" showErrorMessage="1" sqref="U8:AI8" xr:uid="{BC8650CD-AA9E-4A6A-A3AA-550865119063}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1DC132-819D-4596-BD95-795DB0FA5FFE}">
          <x14:formula1>
            <xm:f>CustomerData!$B$2:$B$60</xm:f>
          </x14:formula1>
          <xm:sqref>E8:T8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7"/>
  <sheetViews>
    <sheetView workbookViewId="0">
      <selection activeCell="F19" sqref="F19"/>
    </sheetView>
  </sheetViews>
  <sheetFormatPr defaultRowHeight="15" x14ac:dyDescent="0.25"/>
  <cols>
    <col min="1" max="1" width="5" bestFit="1" customWidth="1"/>
    <col min="2" max="2" width="20.85546875" bestFit="1" customWidth="1"/>
    <col min="3" max="3" width="7.85546875" bestFit="1" customWidth="1"/>
    <col min="4" max="5" width="7.5703125" bestFit="1" customWidth="1"/>
    <col min="6" max="6" width="37.42578125" bestFit="1" customWidth="1"/>
    <col min="7" max="7" width="37.28515625" bestFit="1" customWidth="1"/>
    <col min="8" max="8" width="11" bestFit="1" customWidth="1"/>
    <col min="9" max="9" width="16.28515625" bestFit="1" customWidth="1"/>
    <col min="10" max="10" width="8.7109375" bestFit="1" customWidth="1"/>
    <col min="11" max="11" width="13.5703125" bestFit="1" customWidth="1"/>
  </cols>
  <sheetData>
    <row r="1" spans="1:11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</row>
    <row r="2" spans="1:11" x14ac:dyDescent="0.25">
      <c r="A2">
        <v>1</v>
      </c>
      <c r="B2" t="s">
        <v>97</v>
      </c>
      <c r="C2" t="s">
        <v>98</v>
      </c>
      <c r="D2">
        <v>0</v>
      </c>
      <c r="E2">
        <v>0</v>
      </c>
      <c r="F2" t="s">
        <v>99</v>
      </c>
      <c r="J2" t="s">
        <v>100</v>
      </c>
      <c r="K2" s="113">
        <v>45127.762200775462</v>
      </c>
    </row>
    <row r="3" spans="1:11" x14ac:dyDescent="0.25">
      <c r="A3">
        <v>2</v>
      </c>
      <c r="B3" t="s">
        <v>101</v>
      </c>
      <c r="C3" t="s">
        <v>98</v>
      </c>
      <c r="D3">
        <v>0</v>
      </c>
      <c r="E3">
        <v>0</v>
      </c>
      <c r="F3" t="s">
        <v>102</v>
      </c>
      <c r="J3" t="s">
        <v>100</v>
      </c>
      <c r="K3" s="113">
        <v>45127.7627965625</v>
      </c>
    </row>
    <row r="4" spans="1:11" x14ac:dyDescent="0.25">
      <c r="A4">
        <v>3</v>
      </c>
      <c r="B4" t="s">
        <v>103</v>
      </c>
      <c r="C4" t="s">
        <v>98</v>
      </c>
      <c r="D4">
        <v>0</v>
      </c>
      <c r="E4">
        <v>0</v>
      </c>
      <c r="G4" t="s">
        <v>104</v>
      </c>
      <c r="J4" t="s">
        <v>100</v>
      </c>
      <c r="K4" s="113">
        <v>45127.76315590278</v>
      </c>
    </row>
    <row r="5" spans="1:11" x14ac:dyDescent="0.25">
      <c r="A5">
        <v>4</v>
      </c>
      <c r="B5" t="s">
        <v>105</v>
      </c>
      <c r="C5" t="s">
        <v>98</v>
      </c>
      <c r="D5">
        <v>1</v>
      </c>
      <c r="E5">
        <v>2</v>
      </c>
      <c r="F5" t="s">
        <v>106</v>
      </c>
      <c r="G5" t="s">
        <v>107</v>
      </c>
      <c r="I5" t="s">
        <v>108</v>
      </c>
      <c r="J5" t="s">
        <v>100</v>
      </c>
      <c r="K5" s="113">
        <v>45127.766028738428</v>
      </c>
    </row>
    <row r="6" spans="1:11" x14ac:dyDescent="0.25">
      <c r="A6">
        <v>5</v>
      </c>
      <c r="B6" t="s">
        <v>109</v>
      </c>
      <c r="C6" t="s">
        <v>98</v>
      </c>
      <c r="D6">
        <v>2</v>
      </c>
      <c r="E6">
        <v>3</v>
      </c>
      <c r="F6" t="s">
        <v>110</v>
      </c>
      <c r="G6" t="s">
        <v>111</v>
      </c>
      <c r="I6" t="s">
        <v>108</v>
      </c>
      <c r="J6" t="s">
        <v>100</v>
      </c>
      <c r="K6" s="113">
        <v>45127.768439699073</v>
      </c>
    </row>
    <row r="7" spans="1:11" x14ac:dyDescent="0.25">
      <c r="A7">
        <v>6</v>
      </c>
      <c r="B7" t="s">
        <v>46</v>
      </c>
      <c r="C7" t="s">
        <v>98</v>
      </c>
      <c r="D7">
        <v>10</v>
      </c>
      <c r="E7">
        <v>1010</v>
      </c>
      <c r="F7" t="s">
        <v>112</v>
      </c>
      <c r="G7" t="s">
        <v>113</v>
      </c>
      <c r="I7" t="s">
        <v>114</v>
      </c>
      <c r="J7" t="s">
        <v>100</v>
      </c>
      <c r="K7" s="113">
        <v>45160.614289502315</v>
      </c>
    </row>
    <row r="8" spans="1:11" x14ac:dyDescent="0.25">
      <c r="A8">
        <v>7</v>
      </c>
      <c r="B8" t="s">
        <v>47</v>
      </c>
      <c r="C8" t="s">
        <v>98</v>
      </c>
      <c r="D8">
        <v>29</v>
      </c>
      <c r="E8">
        <v>1029</v>
      </c>
      <c r="F8" t="s">
        <v>115</v>
      </c>
      <c r="G8" t="s">
        <v>116</v>
      </c>
      <c r="I8" t="s">
        <v>108</v>
      </c>
      <c r="J8" t="s">
        <v>100</v>
      </c>
      <c r="K8" s="113">
        <v>45160.614949884257</v>
      </c>
    </row>
    <row r="9" spans="1:11" x14ac:dyDescent="0.25">
      <c r="A9">
        <v>8</v>
      </c>
      <c r="B9" t="s">
        <v>48</v>
      </c>
      <c r="C9" t="s">
        <v>98</v>
      </c>
      <c r="D9">
        <v>30</v>
      </c>
      <c r="E9">
        <v>1030</v>
      </c>
      <c r="F9" t="s">
        <v>117</v>
      </c>
      <c r="G9" t="s">
        <v>118</v>
      </c>
      <c r="I9" t="s">
        <v>108</v>
      </c>
      <c r="J9" t="s">
        <v>100</v>
      </c>
      <c r="K9" s="113">
        <v>45160.615774305559</v>
      </c>
    </row>
    <row r="10" spans="1:11" x14ac:dyDescent="0.25">
      <c r="A10">
        <v>9</v>
      </c>
      <c r="B10" t="s">
        <v>49</v>
      </c>
      <c r="C10" t="s">
        <v>98</v>
      </c>
      <c r="D10">
        <v>26</v>
      </c>
      <c r="E10">
        <v>1026</v>
      </c>
      <c r="F10" t="s">
        <v>119</v>
      </c>
      <c r="G10" t="s">
        <v>120</v>
      </c>
      <c r="I10" t="s">
        <v>114</v>
      </c>
      <c r="J10" t="s">
        <v>100</v>
      </c>
      <c r="K10" s="113">
        <v>45160.616281053241</v>
      </c>
    </row>
    <row r="11" spans="1:11" x14ac:dyDescent="0.25">
      <c r="A11">
        <v>10</v>
      </c>
      <c r="B11" t="s">
        <v>17</v>
      </c>
      <c r="C11" t="s">
        <v>98</v>
      </c>
      <c r="D11">
        <v>13</v>
      </c>
      <c r="E11">
        <v>1013</v>
      </c>
      <c r="F11" t="s">
        <v>121</v>
      </c>
      <c r="G11" t="s">
        <v>122</v>
      </c>
      <c r="I11" t="s">
        <v>108</v>
      </c>
      <c r="J11" t="s">
        <v>100</v>
      </c>
      <c r="K11" s="113">
        <v>45160.616646678238</v>
      </c>
    </row>
    <row r="12" spans="1:11" x14ac:dyDescent="0.25">
      <c r="A12">
        <v>11</v>
      </c>
      <c r="B12" t="s">
        <v>123</v>
      </c>
      <c r="C12" t="s">
        <v>98</v>
      </c>
      <c r="D12">
        <v>14</v>
      </c>
      <c r="E12">
        <v>1014</v>
      </c>
      <c r="F12" t="s">
        <v>124</v>
      </c>
      <c r="G12" t="s">
        <v>125</v>
      </c>
      <c r="I12" t="s">
        <v>108</v>
      </c>
      <c r="J12" t="s">
        <v>100</v>
      </c>
      <c r="K12" s="113">
        <v>45160.82446423611</v>
      </c>
    </row>
    <row r="13" spans="1:11" x14ac:dyDescent="0.25">
      <c r="A13">
        <v>12</v>
      </c>
      <c r="B13" t="s">
        <v>126</v>
      </c>
      <c r="C13" t="s">
        <v>98</v>
      </c>
      <c r="D13">
        <v>15</v>
      </c>
      <c r="E13">
        <v>1015</v>
      </c>
      <c r="F13" t="s">
        <v>127</v>
      </c>
      <c r="G13" t="s">
        <v>128</v>
      </c>
      <c r="I13" t="s">
        <v>108</v>
      </c>
      <c r="J13" t="s">
        <v>100</v>
      </c>
      <c r="K13" s="113">
        <v>45160.824891284719</v>
      </c>
    </row>
    <row r="14" spans="1:11" x14ac:dyDescent="0.25">
      <c r="A14">
        <v>13</v>
      </c>
      <c r="B14" t="s">
        <v>129</v>
      </c>
      <c r="C14" t="s">
        <v>98</v>
      </c>
      <c r="D14">
        <v>16</v>
      </c>
      <c r="E14">
        <v>1016</v>
      </c>
      <c r="F14" t="s">
        <v>130</v>
      </c>
      <c r="G14" t="s">
        <v>131</v>
      </c>
      <c r="I14" t="s">
        <v>108</v>
      </c>
      <c r="J14" t="s">
        <v>100</v>
      </c>
      <c r="K14" s="113">
        <v>45160.825137002314</v>
      </c>
    </row>
    <row r="15" spans="1:11" x14ac:dyDescent="0.25">
      <c r="A15">
        <v>14</v>
      </c>
      <c r="B15" t="s">
        <v>132</v>
      </c>
      <c r="C15" t="s">
        <v>98</v>
      </c>
      <c r="D15">
        <v>17</v>
      </c>
      <c r="E15">
        <v>1017</v>
      </c>
      <c r="F15" t="s">
        <v>133</v>
      </c>
      <c r="G15" t="s">
        <v>134</v>
      </c>
      <c r="I15" t="s">
        <v>108</v>
      </c>
      <c r="J15" t="s">
        <v>100</v>
      </c>
      <c r="K15" s="113">
        <v>45160.825385995369</v>
      </c>
    </row>
    <row r="16" spans="1:11" x14ac:dyDescent="0.25">
      <c r="A16">
        <v>15</v>
      </c>
      <c r="B16" t="s">
        <v>135</v>
      </c>
      <c r="C16" t="s">
        <v>98</v>
      </c>
      <c r="D16">
        <v>18</v>
      </c>
      <c r="E16">
        <v>1018</v>
      </c>
      <c r="F16" t="s">
        <v>136</v>
      </c>
      <c r="G16" t="s">
        <v>137</v>
      </c>
      <c r="I16" t="s">
        <v>108</v>
      </c>
      <c r="J16" t="s">
        <v>100</v>
      </c>
      <c r="K16" s="113">
        <v>45160.825665856479</v>
      </c>
    </row>
    <row r="17" spans="1:11" x14ac:dyDescent="0.25">
      <c r="A17">
        <v>16</v>
      </c>
      <c r="B17" t="s">
        <v>138</v>
      </c>
      <c r="C17" t="s">
        <v>98</v>
      </c>
      <c r="D17">
        <v>20</v>
      </c>
      <c r="E17">
        <v>1020</v>
      </c>
      <c r="F17" t="s">
        <v>139</v>
      </c>
      <c r="G17" t="s">
        <v>140</v>
      </c>
      <c r="I17" t="s">
        <v>108</v>
      </c>
      <c r="J17" t="s">
        <v>100</v>
      </c>
      <c r="K17" s="113">
        <v>45160.825949456019</v>
      </c>
    </row>
    <row r="18" spans="1:11" x14ac:dyDescent="0.25">
      <c r="A18">
        <v>17</v>
      </c>
      <c r="B18" t="s">
        <v>141</v>
      </c>
      <c r="C18" t="s">
        <v>98</v>
      </c>
      <c r="D18">
        <v>21</v>
      </c>
      <c r="E18">
        <v>1021</v>
      </c>
      <c r="F18" t="s">
        <v>142</v>
      </c>
      <c r="G18" t="s">
        <v>143</v>
      </c>
      <c r="I18" t="s">
        <v>108</v>
      </c>
      <c r="J18" t="s">
        <v>100</v>
      </c>
      <c r="K18" s="113">
        <v>45160.826166932871</v>
      </c>
    </row>
    <row r="19" spans="1:11" x14ac:dyDescent="0.25">
      <c r="A19">
        <v>18</v>
      </c>
      <c r="B19" t="s">
        <v>144</v>
      </c>
      <c r="C19" t="s">
        <v>98</v>
      </c>
      <c r="D19">
        <v>22</v>
      </c>
      <c r="E19">
        <v>1022</v>
      </c>
      <c r="F19" t="s">
        <v>145</v>
      </c>
      <c r="G19" t="s">
        <v>146</v>
      </c>
      <c r="I19" t="s">
        <v>108</v>
      </c>
      <c r="J19" t="s">
        <v>100</v>
      </c>
      <c r="K19" s="113">
        <v>45160.826382754633</v>
      </c>
    </row>
    <row r="20" spans="1:11" x14ac:dyDescent="0.25">
      <c r="A20">
        <v>19</v>
      </c>
      <c r="B20" t="s">
        <v>147</v>
      </c>
      <c r="C20" t="s">
        <v>98</v>
      </c>
      <c r="D20">
        <v>23</v>
      </c>
      <c r="E20">
        <v>1023</v>
      </c>
      <c r="F20" t="s">
        <v>148</v>
      </c>
      <c r="G20" t="s">
        <v>149</v>
      </c>
      <c r="I20" t="s">
        <v>108</v>
      </c>
      <c r="J20" t="s">
        <v>100</v>
      </c>
      <c r="K20" s="113">
        <v>45160.826708599539</v>
      </c>
    </row>
    <row r="21" spans="1:11" x14ac:dyDescent="0.25">
      <c r="A21">
        <v>20</v>
      </c>
      <c r="B21" t="s">
        <v>150</v>
      </c>
      <c r="C21" t="s">
        <v>98</v>
      </c>
      <c r="D21">
        <v>24</v>
      </c>
      <c r="E21">
        <v>1024</v>
      </c>
      <c r="F21" t="s">
        <v>151</v>
      </c>
      <c r="G21" t="s">
        <v>152</v>
      </c>
      <c r="I21" t="s">
        <v>114</v>
      </c>
      <c r="J21" t="s">
        <v>100</v>
      </c>
      <c r="K21" s="113">
        <v>45160.826951736111</v>
      </c>
    </row>
    <row r="22" spans="1:11" x14ac:dyDescent="0.25">
      <c r="A22">
        <v>21</v>
      </c>
      <c r="B22" t="s">
        <v>153</v>
      </c>
      <c r="C22" t="s">
        <v>98</v>
      </c>
      <c r="D22">
        <v>25</v>
      </c>
      <c r="E22">
        <v>1025</v>
      </c>
      <c r="F22" t="s">
        <v>154</v>
      </c>
      <c r="G22" t="s">
        <v>155</v>
      </c>
      <c r="I22" t="s">
        <v>114</v>
      </c>
      <c r="J22" t="s">
        <v>100</v>
      </c>
      <c r="K22" s="113">
        <v>45160.827221446758</v>
      </c>
    </row>
    <row r="23" spans="1:11" x14ac:dyDescent="0.25">
      <c r="A23">
        <v>22</v>
      </c>
      <c r="B23" t="s">
        <v>156</v>
      </c>
      <c r="C23" t="s">
        <v>98</v>
      </c>
      <c r="D23">
        <v>27</v>
      </c>
      <c r="E23">
        <v>1027</v>
      </c>
      <c r="F23" t="s">
        <v>157</v>
      </c>
      <c r="G23" t="s">
        <v>158</v>
      </c>
      <c r="I23" t="s">
        <v>114</v>
      </c>
      <c r="J23" t="s">
        <v>100</v>
      </c>
      <c r="K23" s="113">
        <v>45160.827465625</v>
      </c>
    </row>
    <row r="24" spans="1:11" x14ac:dyDescent="0.25">
      <c r="A24">
        <v>23</v>
      </c>
      <c r="B24" t="s">
        <v>159</v>
      </c>
      <c r="C24" t="s">
        <v>98</v>
      </c>
      <c r="D24">
        <v>28</v>
      </c>
      <c r="E24">
        <v>1028</v>
      </c>
      <c r="F24" t="s">
        <v>160</v>
      </c>
      <c r="G24" t="s">
        <v>161</v>
      </c>
      <c r="I24" t="s">
        <v>108</v>
      </c>
      <c r="J24" t="s">
        <v>100</v>
      </c>
      <c r="K24" s="113">
        <v>45160.827707060183</v>
      </c>
    </row>
    <row r="25" spans="1:11" x14ac:dyDescent="0.25">
      <c r="A25">
        <v>24</v>
      </c>
      <c r="B25" t="s">
        <v>162</v>
      </c>
      <c r="C25" t="s">
        <v>98</v>
      </c>
      <c r="D25">
        <v>31</v>
      </c>
      <c r="E25">
        <v>1031</v>
      </c>
      <c r="F25" t="s">
        <v>163</v>
      </c>
      <c r="G25" t="s">
        <v>164</v>
      </c>
      <c r="I25" t="s">
        <v>108</v>
      </c>
      <c r="J25" t="s">
        <v>100</v>
      </c>
      <c r="K25" s="113">
        <v>45160.827950960651</v>
      </c>
    </row>
    <row r="26" spans="1:11" x14ac:dyDescent="0.25">
      <c r="A26">
        <v>25</v>
      </c>
      <c r="B26" t="s">
        <v>165</v>
      </c>
      <c r="C26" t="s">
        <v>98</v>
      </c>
      <c r="D26">
        <v>32</v>
      </c>
      <c r="E26">
        <v>1032</v>
      </c>
      <c r="F26" t="s">
        <v>166</v>
      </c>
      <c r="G26" t="s">
        <v>167</v>
      </c>
      <c r="I26" t="s">
        <v>108</v>
      </c>
      <c r="J26" t="s">
        <v>100</v>
      </c>
      <c r="K26" s="113">
        <v>45160.82817789352</v>
      </c>
    </row>
    <row r="27" spans="1:11" x14ac:dyDescent="0.25">
      <c r="A27">
        <v>26</v>
      </c>
      <c r="B27" t="s">
        <v>168</v>
      </c>
      <c r="C27" t="s">
        <v>98</v>
      </c>
      <c r="D27">
        <v>33</v>
      </c>
      <c r="E27">
        <v>1033</v>
      </c>
      <c r="F27" t="s">
        <v>169</v>
      </c>
      <c r="G27" t="s">
        <v>170</v>
      </c>
      <c r="I27" t="s">
        <v>108</v>
      </c>
      <c r="J27" t="s">
        <v>100</v>
      </c>
      <c r="K27" s="113">
        <v>45160.82842395833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8FEB6-854D-4ABA-A818-C5201F55B67E}">
  <sheetPr codeName="Sheet7"/>
  <dimension ref="A1:G100"/>
  <sheetViews>
    <sheetView workbookViewId="0">
      <selection activeCell="E29" sqref="E29"/>
    </sheetView>
  </sheetViews>
  <sheetFormatPr defaultRowHeight="15" x14ac:dyDescent="0.25"/>
  <cols>
    <col min="1" max="1" width="10.140625" customWidth="1"/>
    <col min="2" max="2" width="12.5703125" customWidth="1"/>
    <col min="3" max="3" width="14.28515625" customWidth="1"/>
    <col min="4" max="4" width="28.85546875" bestFit="1" customWidth="1"/>
    <col min="5" max="5" width="29.7109375" bestFit="1" customWidth="1"/>
    <col min="6" max="6" width="21.140625" hidden="1" customWidth="1"/>
    <col min="7" max="8" width="21" bestFit="1" customWidth="1"/>
  </cols>
  <sheetData>
    <row r="1" spans="1:6" x14ac:dyDescent="0.25">
      <c r="A1" s="120" t="s">
        <v>1</v>
      </c>
      <c r="B1" s="122"/>
      <c r="C1" s="122"/>
      <c r="D1" s="122"/>
      <c r="E1" s="124">
        <f ca="1">TODAY()</f>
        <v>45271</v>
      </c>
    </row>
    <row r="2" spans="1:6" ht="15.75" thickBot="1" x14ac:dyDescent="0.3">
      <c r="A2" s="121"/>
      <c r="B2" s="123"/>
      <c r="C2" s="123"/>
      <c r="D2" s="123"/>
      <c r="E2" s="125"/>
    </row>
    <row r="3" spans="1:6" x14ac:dyDescent="0.25">
      <c r="E3" s="111"/>
    </row>
    <row r="4" spans="1:6" x14ac:dyDescent="0.25">
      <c r="A4" s="57" t="s">
        <v>10</v>
      </c>
      <c r="B4" s="58" t="s">
        <v>4</v>
      </c>
      <c r="C4" s="58" t="s">
        <v>6</v>
      </c>
      <c r="D4" s="58" t="s">
        <v>175</v>
      </c>
      <c r="E4" s="58" t="s">
        <v>176</v>
      </c>
      <c r="F4" s="58" t="s">
        <v>85</v>
      </c>
    </row>
    <row r="5" spans="1:6" x14ac:dyDescent="0.25">
      <c r="A5" s="29">
        <v>1</v>
      </c>
      <c r="B5" s="30">
        <v>0</v>
      </c>
      <c r="C5" s="30">
        <v>0.15</v>
      </c>
      <c r="D5" s="169">
        <v>407.23</v>
      </c>
      <c r="E5" s="30">
        <v>3.0304000000000002</v>
      </c>
      <c r="F5" s="30">
        <v>0</v>
      </c>
    </row>
    <row r="6" spans="1:6" x14ac:dyDescent="0.25">
      <c r="A6" s="29">
        <v>2</v>
      </c>
      <c r="B6" s="30">
        <v>0.15</v>
      </c>
      <c r="C6" s="30">
        <v>0.3</v>
      </c>
      <c r="D6" s="30">
        <f>D5</f>
        <v>407.23</v>
      </c>
      <c r="E6" s="30">
        <f>E5</f>
        <v>3.0304000000000002</v>
      </c>
      <c r="F6" s="30">
        <v>0</v>
      </c>
    </row>
    <row r="7" spans="1:6" x14ac:dyDescent="0.25">
      <c r="A7" s="29">
        <v>3</v>
      </c>
      <c r="B7" s="30">
        <v>0.3</v>
      </c>
      <c r="C7" s="30">
        <v>0.45</v>
      </c>
      <c r="D7" s="30">
        <f t="shared" ref="D7:E70" si="0">D6</f>
        <v>407.23</v>
      </c>
      <c r="E7" s="30">
        <f t="shared" si="0"/>
        <v>3.0304000000000002</v>
      </c>
      <c r="F7" s="30">
        <v>0</v>
      </c>
    </row>
    <row r="8" spans="1:6" x14ac:dyDescent="0.25">
      <c r="A8" s="29">
        <v>4</v>
      </c>
      <c r="B8" s="30">
        <v>0.45</v>
      </c>
      <c r="C8" s="30">
        <v>1</v>
      </c>
      <c r="D8" s="30">
        <f t="shared" si="0"/>
        <v>407.23</v>
      </c>
      <c r="E8" s="30">
        <f t="shared" si="0"/>
        <v>3.0304000000000002</v>
      </c>
      <c r="F8" s="30">
        <v>0</v>
      </c>
    </row>
    <row r="9" spans="1:6" x14ac:dyDescent="0.25">
      <c r="A9" s="29">
        <v>5</v>
      </c>
      <c r="B9" s="30">
        <v>1</v>
      </c>
      <c r="C9" s="30">
        <v>1.1499999999999999</v>
      </c>
      <c r="D9" s="30">
        <f t="shared" si="0"/>
        <v>407.23</v>
      </c>
      <c r="E9" s="30">
        <f t="shared" si="0"/>
        <v>3.0304000000000002</v>
      </c>
      <c r="F9" s="30">
        <v>0</v>
      </c>
    </row>
    <row r="10" spans="1:6" x14ac:dyDescent="0.25">
      <c r="A10" s="29">
        <v>6</v>
      </c>
      <c r="B10" s="30">
        <v>1.1499999999999999</v>
      </c>
      <c r="C10" s="30">
        <v>1.3</v>
      </c>
      <c r="D10" s="30">
        <f t="shared" si="0"/>
        <v>407.23</v>
      </c>
      <c r="E10" s="30">
        <f t="shared" si="0"/>
        <v>3.0304000000000002</v>
      </c>
      <c r="F10" s="30">
        <v>0</v>
      </c>
    </row>
    <row r="11" spans="1:6" x14ac:dyDescent="0.25">
      <c r="A11" s="29">
        <v>7</v>
      </c>
      <c r="B11" s="30">
        <v>1.3</v>
      </c>
      <c r="C11" s="30">
        <v>1.45</v>
      </c>
      <c r="D11" s="30">
        <f t="shared" si="0"/>
        <v>407.23</v>
      </c>
      <c r="E11" s="30">
        <f t="shared" si="0"/>
        <v>3.0304000000000002</v>
      </c>
      <c r="F11" s="30">
        <v>0</v>
      </c>
    </row>
    <row r="12" spans="1:6" x14ac:dyDescent="0.25">
      <c r="A12" s="29">
        <v>8</v>
      </c>
      <c r="B12" s="30">
        <v>1.45</v>
      </c>
      <c r="C12" s="30">
        <v>2</v>
      </c>
      <c r="D12" s="30">
        <f t="shared" si="0"/>
        <v>407.23</v>
      </c>
      <c r="E12" s="30">
        <f t="shared" si="0"/>
        <v>3.0304000000000002</v>
      </c>
      <c r="F12" s="30">
        <v>0</v>
      </c>
    </row>
    <row r="13" spans="1:6" x14ac:dyDescent="0.25">
      <c r="A13" s="29">
        <v>9</v>
      </c>
      <c r="B13" s="30">
        <v>2</v>
      </c>
      <c r="C13" s="30">
        <v>2.15</v>
      </c>
      <c r="D13" s="30">
        <f t="shared" si="0"/>
        <v>407.23</v>
      </c>
      <c r="E13" s="30">
        <f t="shared" si="0"/>
        <v>3.0304000000000002</v>
      </c>
      <c r="F13" s="30">
        <v>0</v>
      </c>
    </row>
    <row r="14" spans="1:6" x14ac:dyDescent="0.25">
      <c r="A14" s="29">
        <v>10</v>
      </c>
      <c r="B14" s="30">
        <v>2.15</v>
      </c>
      <c r="C14" s="30">
        <v>2.2999999999999998</v>
      </c>
      <c r="D14" s="30">
        <f t="shared" si="0"/>
        <v>407.23</v>
      </c>
      <c r="E14" s="30">
        <f t="shared" si="0"/>
        <v>3.0304000000000002</v>
      </c>
      <c r="F14" s="30">
        <v>0</v>
      </c>
    </row>
    <row r="15" spans="1:6" x14ac:dyDescent="0.25">
      <c r="A15" s="29">
        <v>11</v>
      </c>
      <c r="B15" s="30">
        <v>2.2999999999999998</v>
      </c>
      <c r="C15" s="30">
        <v>2.4500000000000002</v>
      </c>
      <c r="D15" s="30">
        <f t="shared" si="0"/>
        <v>407.23</v>
      </c>
      <c r="E15" s="30">
        <f t="shared" si="0"/>
        <v>3.0304000000000002</v>
      </c>
      <c r="F15" s="30">
        <v>0</v>
      </c>
    </row>
    <row r="16" spans="1:6" x14ac:dyDescent="0.25">
      <c r="A16" s="29">
        <v>12</v>
      </c>
      <c r="B16" s="30">
        <v>2.4500000000000002</v>
      </c>
      <c r="C16" s="30">
        <v>3</v>
      </c>
      <c r="D16" s="30">
        <f t="shared" si="0"/>
        <v>407.23</v>
      </c>
      <c r="E16" s="30">
        <f t="shared" si="0"/>
        <v>3.0304000000000002</v>
      </c>
      <c r="F16" s="30">
        <v>0</v>
      </c>
    </row>
    <row r="17" spans="1:6" x14ac:dyDescent="0.25">
      <c r="A17" s="29">
        <v>13</v>
      </c>
      <c r="B17" s="30">
        <v>3</v>
      </c>
      <c r="C17" s="30">
        <v>3.15</v>
      </c>
      <c r="D17" s="30">
        <f t="shared" si="0"/>
        <v>407.23</v>
      </c>
      <c r="E17" s="30">
        <f t="shared" si="0"/>
        <v>3.0304000000000002</v>
      </c>
      <c r="F17" s="30">
        <v>0</v>
      </c>
    </row>
    <row r="18" spans="1:6" x14ac:dyDescent="0.25">
      <c r="A18" s="29">
        <v>14</v>
      </c>
      <c r="B18" s="30">
        <v>3.15</v>
      </c>
      <c r="C18" s="30">
        <v>3.3</v>
      </c>
      <c r="D18" s="30">
        <f t="shared" si="0"/>
        <v>407.23</v>
      </c>
      <c r="E18" s="30">
        <f t="shared" si="0"/>
        <v>3.0304000000000002</v>
      </c>
      <c r="F18" s="30">
        <v>0</v>
      </c>
    </row>
    <row r="19" spans="1:6" x14ac:dyDescent="0.25">
      <c r="A19" s="29">
        <v>15</v>
      </c>
      <c r="B19" s="30">
        <v>3.3</v>
      </c>
      <c r="C19" s="30">
        <v>3.45</v>
      </c>
      <c r="D19" s="30">
        <f t="shared" si="0"/>
        <v>407.23</v>
      </c>
      <c r="E19" s="30">
        <f t="shared" si="0"/>
        <v>3.0304000000000002</v>
      </c>
      <c r="F19" s="30">
        <v>0</v>
      </c>
    </row>
    <row r="20" spans="1:6" x14ac:dyDescent="0.25">
      <c r="A20" s="29">
        <v>16</v>
      </c>
      <c r="B20" s="30">
        <v>3.45</v>
      </c>
      <c r="C20" s="30">
        <v>4</v>
      </c>
      <c r="D20" s="30">
        <f t="shared" si="0"/>
        <v>407.23</v>
      </c>
      <c r="E20" s="30">
        <f t="shared" si="0"/>
        <v>3.0304000000000002</v>
      </c>
      <c r="F20" s="30">
        <v>0</v>
      </c>
    </row>
    <row r="21" spans="1:6" x14ac:dyDescent="0.25">
      <c r="A21" s="29">
        <v>17</v>
      </c>
      <c r="B21" s="30">
        <v>4</v>
      </c>
      <c r="C21" s="30">
        <v>4.1500000000000004</v>
      </c>
      <c r="D21" s="30">
        <f t="shared" si="0"/>
        <v>407.23</v>
      </c>
      <c r="E21" s="30">
        <f t="shared" si="0"/>
        <v>3.0304000000000002</v>
      </c>
      <c r="F21" s="30">
        <v>0</v>
      </c>
    </row>
    <row r="22" spans="1:6" x14ac:dyDescent="0.25">
      <c r="A22" s="29">
        <v>18</v>
      </c>
      <c r="B22" s="30">
        <v>4.1500000000000004</v>
      </c>
      <c r="C22" s="30">
        <v>4.3</v>
      </c>
      <c r="D22" s="30">
        <f t="shared" si="0"/>
        <v>407.23</v>
      </c>
      <c r="E22" s="30">
        <f t="shared" si="0"/>
        <v>3.0304000000000002</v>
      </c>
      <c r="F22" s="30">
        <v>0</v>
      </c>
    </row>
    <row r="23" spans="1:6" x14ac:dyDescent="0.25">
      <c r="A23" s="29">
        <v>19</v>
      </c>
      <c r="B23" s="30">
        <v>4.3</v>
      </c>
      <c r="C23" s="30">
        <v>4.45</v>
      </c>
      <c r="D23" s="30">
        <f t="shared" si="0"/>
        <v>407.23</v>
      </c>
      <c r="E23" s="30">
        <f t="shared" si="0"/>
        <v>3.0304000000000002</v>
      </c>
      <c r="F23" s="30">
        <v>0</v>
      </c>
    </row>
    <row r="24" spans="1:6" x14ac:dyDescent="0.25">
      <c r="A24" s="29">
        <v>20</v>
      </c>
      <c r="B24" s="30">
        <v>4.45</v>
      </c>
      <c r="C24" s="30">
        <v>5</v>
      </c>
      <c r="D24" s="30">
        <f t="shared" si="0"/>
        <v>407.23</v>
      </c>
      <c r="E24" s="30">
        <f t="shared" si="0"/>
        <v>3.0304000000000002</v>
      </c>
      <c r="F24" s="30">
        <v>0</v>
      </c>
    </row>
    <row r="25" spans="1:6" x14ac:dyDescent="0.25">
      <c r="A25" s="29">
        <v>21</v>
      </c>
      <c r="B25" s="30">
        <v>5</v>
      </c>
      <c r="C25" s="30">
        <v>5.15</v>
      </c>
      <c r="D25" s="30">
        <f t="shared" si="0"/>
        <v>407.23</v>
      </c>
      <c r="E25" s="30">
        <f t="shared" si="0"/>
        <v>3.0304000000000002</v>
      </c>
      <c r="F25" s="30">
        <v>0</v>
      </c>
    </row>
    <row r="26" spans="1:6" x14ac:dyDescent="0.25">
      <c r="A26" s="29">
        <v>22</v>
      </c>
      <c r="B26" s="30">
        <v>5.15</v>
      </c>
      <c r="C26" s="30">
        <v>5.3</v>
      </c>
      <c r="D26" s="30">
        <f t="shared" si="0"/>
        <v>407.23</v>
      </c>
      <c r="E26" s="30">
        <f t="shared" si="0"/>
        <v>3.0304000000000002</v>
      </c>
      <c r="F26" s="30">
        <v>0</v>
      </c>
    </row>
    <row r="27" spans="1:6" x14ac:dyDescent="0.25">
      <c r="A27" s="29">
        <v>23</v>
      </c>
      <c r="B27" s="30">
        <v>5.3</v>
      </c>
      <c r="C27" s="30">
        <v>5.45</v>
      </c>
      <c r="D27" s="30">
        <f t="shared" si="0"/>
        <v>407.23</v>
      </c>
      <c r="E27" s="30">
        <f t="shared" si="0"/>
        <v>3.0304000000000002</v>
      </c>
      <c r="F27" s="30">
        <v>0</v>
      </c>
    </row>
    <row r="28" spans="1:6" x14ac:dyDescent="0.25">
      <c r="A28" s="29">
        <v>24</v>
      </c>
      <c r="B28" s="30">
        <v>5.45</v>
      </c>
      <c r="C28" s="30">
        <v>6</v>
      </c>
      <c r="D28" s="30">
        <f t="shared" si="0"/>
        <v>407.23</v>
      </c>
      <c r="E28" s="30">
        <f t="shared" si="0"/>
        <v>3.0304000000000002</v>
      </c>
      <c r="F28" s="30">
        <v>0</v>
      </c>
    </row>
    <row r="29" spans="1:6" x14ac:dyDescent="0.25">
      <c r="A29" s="29">
        <v>25</v>
      </c>
      <c r="B29" s="30">
        <v>6</v>
      </c>
      <c r="C29" s="30">
        <v>6.15</v>
      </c>
      <c r="D29" s="30">
        <f t="shared" si="0"/>
        <v>407.23</v>
      </c>
      <c r="E29" s="30">
        <f t="shared" si="0"/>
        <v>3.0304000000000002</v>
      </c>
      <c r="F29" s="30">
        <v>0</v>
      </c>
    </row>
    <row r="30" spans="1:6" x14ac:dyDescent="0.25">
      <c r="A30" s="29">
        <v>26</v>
      </c>
      <c r="B30" s="30">
        <v>6.15</v>
      </c>
      <c r="C30" s="30">
        <v>6.3</v>
      </c>
      <c r="D30" s="30">
        <f t="shared" si="0"/>
        <v>407.23</v>
      </c>
      <c r="E30" s="30">
        <f t="shared" si="0"/>
        <v>3.0304000000000002</v>
      </c>
      <c r="F30" s="30">
        <v>0</v>
      </c>
    </row>
    <row r="31" spans="1:6" x14ac:dyDescent="0.25">
      <c r="A31" s="29">
        <v>27</v>
      </c>
      <c r="B31" s="30">
        <v>6.3</v>
      </c>
      <c r="C31" s="30">
        <v>6.45</v>
      </c>
      <c r="D31" s="30">
        <f t="shared" si="0"/>
        <v>407.23</v>
      </c>
      <c r="E31" s="30">
        <f t="shared" si="0"/>
        <v>3.0304000000000002</v>
      </c>
      <c r="F31" s="30">
        <v>0</v>
      </c>
    </row>
    <row r="32" spans="1:6" x14ac:dyDescent="0.25">
      <c r="A32" s="29">
        <v>28</v>
      </c>
      <c r="B32" s="30">
        <v>6.45</v>
      </c>
      <c r="C32" s="30">
        <v>7</v>
      </c>
      <c r="D32" s="30">
        <f t="shared" si="0"/>
        <v>407.23</v>
      </c>
      <c r="E32" s="30">
        <f t="shared" si="0"/>
        <v>3.0304000000000002</v>
      </c>
      <c r="F32" s="30">
        <v>0</v>
      </c>
    </row>
    <row r="33" spans="1:6" x14ac:dyDescent="0.25">
      <c r="A33" s="29">
        <v>29</v>
      </c>
      <c r="B33" s="30">
        <v>7</v>
      </c>
      <c r="C33" s="30">
        <v>7.15</v>
      </c>
      <c r="D33" s="30">
        <f t="shared" si="0"/>
        <v>407.23</v>
      </c>
      <c r="E33" s="30">
        <f t="shared" si="0"/>
        <v>3.0304000000000002</v>
      </c>
      <c r="F33" s="30">
        <v>0</v>
      </c>
    </row>
    <row r="34" spans="1:6" x14ac:dyDescent="0.25">
      <c r="A34" s="29">
        <v>30</v>
      </c>
      <c r="B34" s="30">
        <v>7.15</v>
      </c>
      <c r="C34" s="30">
        <v>7.3</v>
      </c>
      <c r="D34" s="30">
        <f t="shared" si="0"/>
        <v>407.23</v>
      </c>
      <c r="E34" s="30">
        <f t="shared" si="0"/>
        <v>3.0304000000000002</v>
      </c>
      <c r="F34" s="30">
        <v>0</v>
      </c>
    </row>
    <row r="35" spans="1:6" x14ac:dyDescent="0.25">
      <c r="A35" s="29">
        <v>31</v>
      </c>
      <c r="B35" s="30">
        <v>7.3</v>
      </c>
      <c r="C35" s="30">
        <v>7.45</v>
      </c>
      <c r="D35" s="30">
        <f t="shared" si="0"/>
        <v>407.23</v>
      </c>
      <c r="E35" s="30">
        <f t="shared" si="0"/>
        <v>3.0304000000000002</v>
      </c>
      <c r="F35" s="30">
        <v>0</v>
      </c>
    </row>
    <row r="36" spans="1:6" x14ac:dyDescent="0.25">
      <c r="A36" s="29">
        <v>32</v>
      </c>
      <c r="B36" s="30">
        <v>7.45</v>
      </c>
      <c r="C36" s="30">
        <v>8</v>
      </c>
      <c r="D36" s="30">
        <f t="shared" si="0"/>
        <v>407.23</v>
      </c>
      <c r="E36" s="30">
        <f t="shared" si="0"/>
        <v>3.0304000000000002</v>
      </c>
      <c r="F36" s="30">
        <v>0</v>
      </c>
    </row>
    <row r="37" spans="1:6" x14ac:dyDescent="0.25">
      <c r="A37" s="29">
        <v>33</v>
      </c>
      <c r="B37" s="30">
        <v>8</v>
      </c>
      <c r="C37" s="30">
        <v>8.15</v>
      </c>
      <c r="D37" s="30">
        <f t="shared" si="0"/>
        <v>407.23</v>
      </c>
      <c r="E37" s="30">
        <f t="shared" si="0"/>
        <v>3.0304000000000002</v>
      </c>
      <c r="F37" s="30">
        <v>0</v>
      </c>
    </row>
    <row r="38" spans="1:6" x14ac:dyDescent="0.25">
      <c r="A38" s="29">
        <v>34</v>
      </c>
      <c r="B38" s="30">
        <v>8.15</v>
      </c>
      <c r="C38" s="33">
        <v>8.3000000000000007</v>
      </c>
      <c r="D38" s="30">
        <f t="shared" si="0"/>
        <v>407.23</v>
      </c>
      <c r="E38" s="30">
        <f t="shared" si="0"/>
        <v>3.0304000000000002</v>
      </c>
      <c r="F38" s="30">
        <v>0</v>
      </c>
    </row>
    <row r="39" spans="1:6" x14ac:dyDescent="0.25">
      <c r="A39" s="29">
        <v>35</v>
      </c>
      <c r="B39" s="30">
        <v>8.3000000000000007</v>
      </c>
      <c r="C39" s="30">
        <v>8.4499999999999993</v>
      </c>
      <c r="D39" s="30">
        <f t="shared" si="0"/>
        <v>407.23</v>
      </c>
      <c r="E39" s="30">
        <f t="shared" si="0"/>
        <v>3.0304000000000002</v>
      </c>
      <c r="F39" s="30">
        <v>0</v>
      </c>
    </row>
    <row r="40" spans="1:6" x14ac:dyDescent="0.25">
      <c r="A40" s="29">
        <v>36</v>
      </c>
      <c r="B40" s="30">
        <v>8.4499999999999993</v>
      </c>
      <c r="C40" s="30">
        <v>9</v>
      </c>
      <c r="D40" s="30">
        <f t="shared" si="0"/>
        <v>407.23</v>
      </c>
      <c r="E40" s="30">
        <f t="shared" si="0"/>
        <v>3.0304000000000002</v>
      </c>
      <c r="F40" s="30">
        <v>0</v>
      </c>
    </row>
    <row r="41" spans="1:6" x14ac:dyDescent="0.25">
      <c r="A41" s="29">
        <v>37</v>
      </c>
      <c r="B41" s="30">
        <v>9</v>
      </c>
      <c r="C41" s="30">
        <v>9.15</v>
      </c>
      <c r="D41" s="30">
        <f t="shared" si="0"/>
        <v>407.23</v>
      </c>
      <c r="E41" s="30">
        <f t="shared" si="0"/>
        <v>3.0304000000000002</v>
      </c>
      <c r="F41" s="30">
        <v>0</v>
      </c>
    </row>
    <row r="42" spans="1:6" x14ac:dyDescent="0.25">
      <c r="A42" s="29">
        <v>38</v>
      </c>
      <c r="B42" s="33">
        <v>9.15</v>
      </c>
      <c r="C42" s="33">
        <v>9.3000000000000007</v>
      </c>
      <c r="D42" s="30">
        <f t="shared" si="0"/>
        <v>407.23</v>
      </c>
      <c r="E42" s="30">
        <f t="shared" si="0"/>
        <v>3.0304000000000002</v>
      </c>
      <c r="F42" s="30">
        <v>0</v>
      </c>
    </row>
    <row r="43" spans="1:6" x14ac:dyDescent="0.25">
      <c r="A43" s="29">
        <v>39</v>
      </c>
      <c r="B43" s="30">
        <v>9.3000000000000007</v>
      </c>
      <c r="C43" s="30">
        <v>9.4499999999999993</v>
      </c>
      <c r="D43" s="30">
        <f t="shared" si="0"/>
        <v>407.23</v>
      </c>
      <c r="E43" s="30">
        <f t="shared" si="0"/>
        <v>3.0304000000000002</v>
      </c>
      <c r="F43" s="30">
        <v>0</v>
      </c>
    </row>
    <row r="44" spans="1:6" x14ac:dyDescent="0.25">
      <c r="A44" s="29">
        <v>40</v>
      </c>
      <c r="B44" s="30">
        <v>9.4499999999999993</v>
      </c>
      <c r="C44" s="30">
        <v>10</v>
      </c>
      <c r="D44" s="30">
        <f t="shared" si="0"/>
        <v>407.23</v>
      </c>
      <c r="E44" s="30">
        <f t="shared" si="0"/>
        <v>3.0304000000000002</v>
      </c>
      <c r="F44" s="30">
        <v>0</v>
      </c>
    </row>
    <row r="45" spans="1:6" x14ac:dyDescent="0.25">
      <c r="A45" s="29">
        <v>41</v>
      </c>
      <c r="B45" s="30">
        <v>10</v>
      </c>
      <c r="C45" s="30">
        <v>10.15</v>
      </c>
      <c r="D45" s="30">
        <f t="shared" si="0"/>
        <v>407.23</v>
      </c>
      <c r="E45" s="30">
        <f t="shared" si="0"/>
        <v>3.0304000000000002</v>
      </c>
      <c r="F45" s="30">
        <v>0</v>
      </c>
    </row>
    <row r="46" spans="1:6" x14ac:dyDescent="0.25">
      <c r="A46" s="29">
        <v>42</v>
      </c>
      <c r="B46" s="30">
        <v>10.15</v>
      </c>
      <c r="C46" s="30">
        <v>10.3</v>
      </c>
      <c r="D46" s="30">
        <f t="shared" si="0"/>
        <v>407.23</v>
      </c>
      <c r="E46" s="30">
        <f t="shared" si="0"/>
        <v>3.0304000000000002</v>
      </c>
      <c r="F46" s="30">
        <v>0</v>
      </c>
    </row>
    <row r="47" spans="1:6" x14ac:dyDescent="0.25">
      <c r="A47" s="29">
        <v>43</v>
      </c>
      <c r="B47" s="30">
        <v>10.3</v>
      </c>
      <c r="C47" s="30">
        <v>10.45</v>
      </c>
      <c r="D47" s="30">
        <f t="shared" si="0"/>
        <v>407.23</v>
      </c>
      <c r="E47" s="30">
        <f t="shared" si="0"/>
        <v>3.0304000000000002</v>
      </c>
      <c r="F47" s="30">
        <v>0</v>
      </c>
    </row>
    <row r="48" spans="1:6" x14ac:dyDescent="0.25">
      <c r="A48" s="29">
        <v>44</v>
      </c>
      <c r="B48" s="30">
        <v>10.45</v>
      </c>
      <c r="C48" s="30">
        <v>11</v>
      </c>
      <c r="D48" s="30">
        <f t="shared" si="0"/>
        <v>407.23</v>
      </c>
      <c r="E48" s="30">
        <f t="shared" si="0"/>
        <v>3.0304000000000002</v>
      </c>
      <c r="F48" s="30">
        <v>0</v>
      </c>
    </row>
    <row r="49" spans="1:6" x14ac:dyDescent="0.25">
      <c r="A49" s="29">
        <v>45</v>
      </c>
      <c r="B49" s="30">
        <v>11</v>
      </c>
      <c r="C49" s="30">
        <v>11.15</v>
      </c>
      <c r="D49" s="30">
        <f t="shared" si="0"/>
        <v>407.23</v>
      </c>
      <c r="E49" s="30">
        <f t="shared" si="0"/>
        <v>3.0304000000000002</v>
      </c>
      <c r="F49" s="30">
        <v>0</v>
      </c>
    </row>
    <row r="50" spans="1:6" x14ac:dyDescent="0.25">
      <c r="A50" s="29">
        <v>46</v>
      </c>
      <c r="B50" s="30">
        <v>11.15</v>
      </c>
      <c r="C50" s="30">
        <v>11.3</v>
      </c>
      <c r="D50" s="30">
        <f t="shared" si="0"/>
        <v>407.23</v>
      </c>
      <c r="E50" s="30">
        <f t="shared" si="0"/>
        <v>3.0304000000000002</v>
      </c>
      <c r="F50" s="30">
        <v>0</v>
      </c>
    </row>
    <row r="51" spans="1:6" x14ac:dyDescent="0.25">
      <c r="A51" s="29">
        <v>47</v>
      </c>
      <c r="B51" s="30">
        <v>11.3</v>
      </c>
      <c r="C51" s="30">
        <v>11.45</v>
      </c>
      <c r="D51" s="30">
        <f t="shared" si="0"/>
        <v>407.23</v>
      </c>
      <c r="E51" s="30">
        <f t="shared" si="0"/>
        <v>3.0304000000000002</v>
      </c>
      <c r="F51" s="30">
        <v>0</v>
      </c>
    </row>
    <row r="52" spans="1:6" x14ac:dyDescent="0.25">
      <c r="A52" s="29">
        <v>48</v>
      </c>
      <c r="B52" s="30">
        <v>11.45</v>
      </c>
      <c r="C52" s="30">
        <v>12</v>
      </c>
      <c r="D52" s="30">
        <f t="shared" si="0"/>
        <v>407.23</v>
      </c>
      <c r="E52" s="30">
        <f t="shared" si="0"/>
        <v>3.0304000000000002</v>
      </c>
      <c r="F52" s="30">
        <v>0</v>
      </c>
    </row>
    <row r="53" spans="1:6" x14ac:dyDescent="0.25">
      <c r="A53" s="29">
        <v>49</v>
      </c>
      <c r="B53" s="30">
        <v>12</v>
      </c>
      <c r="C53" s="30">
        <v>12.15</v>
      </c>
      <c r="D53" s="30">
        <f t="shared" si="0"/>
        <v>407.23</v>
      </c>
      <c r="E53" s="30">
        <f t="shared" si="0"/>
        <v>3.0304000000000002</v>
      </c>
      <c r="F53" s="30">
        <v>0</v>
      </c>
    </row>
    <row r="54" spans="1:6" x14ac:dyDescent="0.25">
      <c r="A54" s="29">
        <v>50</v>
      </c>
      <c r="B54" s="30">
        <v>12.15</v>
      </c>
      <c r="C54" s="30">
        <v>12.3</v>
      </c>
      <c r="D54" s="30">
        <f t="shared" si="0"/>
        <v>407.23</v>
      </c>
      <c r="E54" s="30">
        <f t="shared" si="0"/>
        <v>3.0304000000000002</v>
      </c>
      <c r="F54" s="30">
        <v>0</v>
      </c>
    </row>
    <row r="55" spans="1:6" x14ac:dyDescent="0.25">
      <c r="A55" s="29">
        <v>51</v>
      </c>
      <c r="B55" s="30">
        <v>12.3</v>
      </c>
      <c r="C55" s="30">
        <v>12.45</v>
      </c>
      <c r="D55" s="30">
        <f t="shared" si="0"/>
        <v>407.23</v>
      </c>
      <c r="E55" s="30">
        <f t="shared" si="0"/>
        <v>3.0304000000000002</v>
      </c>
      <c r="F55" s="30">
        <v>0</v>
      </c>
    </row>
    <row r="56" spans="1:6" x14ac:dyDescent="0.25">
      <c r="A56" s="29">
        <v>52</v>
      </c>
      <c r="B56" s="30">
        <v>12.45</v>
      </c>
      <c r="C56" s="30">
        <v>13</v>
      </c>
      <c r="D56" s="30">
        <f t="shared" si="0"/>
        <v>407.23</v>
      </c>
      <c r="E56" s="30">
        <f t="shared" si="0"/>
        <v>3.0304000000000002</v>
      </c>
      <c r="F56" s="30">
        <v>0</v>
      </c>
    </row>
    <row r="57" spans="1:6" x14ac:dyDescent="0.25">
      <c r="A57" s="29">
        <v>53</v>
      </c>
      <c r="B57" s="30">
        <v>13</v>
      </c>
      <c r="C57" s="30">
        <v>13.15</v>
      </c>
      <c r="D57" s="30">
        <f t="shared" si="0"/>
        <v>407.23</v>
      </c>
      <c r="E57" s="30">
        <f t="shared" si="0"/>
        <v>3.0304000000000002</v>
      </c>
      <c r="F57" s="30">
        <v>0</v>
      </c>
    </row>
    <row r="58" spans="1:6" x14ac:dyDescent="0.25">
      <c r="A58" s="29">
        <v>54</v>
      </c>
      <c r="B58" s="30">
        <v>13.15</v>
      </c>
      <c r="C58" s="30">
        <v>13.3</v>
      </c>
      <c r="D58" s="30">
        <f t="shared" si="0"/>
        <v>407.23</v>
      </c>
      <c r="E58" s="30">
        <f t="shared" si="0"/>
        <v>3.0304000000000002</v>
      </c>
      <c r="F58" s="30">
        <v>0</v>
      </c>
    </row>
    <row r="59" spans="1:6" x14ac:dyDescent="0.25">
      <c r="A59" s="29">
        <v>55</v>
      </c>
      <c r="B59" s="30">
        <v>13.3</v>
      </c>
      <c r="C59" s="30">
        <v>13.45</v>
      </c>
      <c r="D59" s="30">
        <f t="shared" si="0"/>
        <v>407.23</v>
      </c>
      <c r="E59" s="30">
        <f t="shared" si="0"/>
        <v>3.0304000000000002</v>
      </c>
      <c r="F59" s="30">
        <v>0</v>
      </c>
    </row>
    <row r="60" spans="1:6" x14ac:dyDescent="0.25">
      <c r="A60" s="29">
        <v>56</v>
      </c>
      <c r="B60" s="30">
        <v>13.45</v>
      </c>
      <c r="C60" s="30">
        <v>14</v>
      </c>
      <c r="D60" s="30">
        <f t="shared" si="0"/>
        <v>407.23</v>
      </c>
      <c r="E60" s="30">
        <f t="shared" si="0"/>
        <v>3.0304000000000002</v>
      </c>
      <c r="F60" s="30">
        <v>0</v>
      </c>
    </row>
    <row r="61" spans="1:6" x14ac:dyDescent="0.25">
      <c r="A61" s="29">
        <v>57</v>
      </c>
      <c r="B61" s="30">
        <v>14</v>
      </c>
      <c r="C61" s="30">
        <v>14.15</v>
      </c>
      <c r="D61" s="30">
        <f t="shared" si="0"/>
        <v>407.23</v>
      </c>
      <c r="E61" s="30">
        <f t="shared" si="0"/>
        <v>3.0304000000000002</v>
      </c>
      <c r="F61" s="30">
        <v>0</v>
      </c>
    </row>
    <row r="62" spans="1:6" x14ac:dyDescent="0.25">
      <c r="A62" s="29">
        <v>58</v>
      </c>
      <c r="B62" s="30">
        <v>14.15</v>
      </c>
      <c r="C62" s="30">
        <v>14.3</v>
      </c>
      <c r="D62" s="30">
        <f t="shared" si="0"/>
        <v>407.23</v>
      </c>
      <c r="E62" s="30">
        <f t="shared" si="0"/>
        <v>3.0304000000000002</v>
      </c>
      <c r="F62" s="30">
        <v>0</v>
      </c>
    </row>
    <row r="63" spans="1:6" x14ac:dyDescent="0.25">
      <c r="A63" s="29">
        <v>59</v>
      </c>
      <c r="B63" s="30">
        <v>14.3</v>
      </c>
      <c r="C63" s="30">
        <v>14.45</v>
      </c>
      <c r="D63" s="30">
        <f t="shared" si="0"/>
        <v>407.23</v>
      </c>
      <c r="E63" s="30">
        <f t="shared" si="0"/>
        <v>3.0304000000000002</v>
      </c>
      <c r="F63" s="30">
        <v>0</v>
      </c>
    </row>
    <row r="64" spans="1:6" x14ac:dyDescent="0.25">
      <c r="A64" s="29">
        <v>60</v>
      </c>
      <c r="B64" s="30">
        <v>14.45</v>
      </c>
      <c r="C64" s="30">
        <v>15</v>
      </c>
      <c r="D64" s="30">
        <f t="shared" si="0"/>
        <v>407.23</v>
      </c>
      <c r="E64" s="30">
        <f t="shared" si="0"/>
        <v>3.0304000000000002</v>
      </c>
      <c r="F64" s="30">
        <v>0</v>
      </c>
    </row>
    <row r="65" spans="1:6" x14ac:dyDescent="0.25">
      <c r="A65" s="29">
        <v>61</v>
      </c>
      <c r="B65" s="30">
        <v>15</v>
      </c>
      <c r="C65" s="30">
        <v>15.15</v>
      </c>
      <c r="D65" s="30">
        <f t="shared" si="0"/>
        <v>407.23</v>
      </c>
      <c r="E65" s="30">
        <f t="shared" si="0"/>
        <v>3.0304000000000002</v>
      </c>
      <c r="F65" s="30">
        <v>0</v>
      </c>
    </row>
    <row r="66" spans="1:6" x14ac:dyDescent="0.25">
      <c r="A66" s="29">
        <v>62</v>
      </c>
      <c r="B66" s="30">
        <v>15.15</v>
      </c>
      <c r="C66" s="30">
        <v>15.3</v>
      </c>
      <c r="D66" s="30">
        <f t="shared" si="0"/>
        <v>407.23</v>
      </c>
      <c r="E66" s="30">
        <f t="shared" si="0"/>
        <v>3.0304000000000002</v>
      </c>
      <c r="F66" s="30">
        <v>0</v>
      </c>
    </row>
    <row r="67" spans="1:6" x14ac:dyDescent="0.25">
      <c r="A67" s="29">
        <v>63</v>
      </c>
      <c r="B67" s="30">
        <v>15.3</v>
      </c>
      <c r="C67" s="30">
        <v>15.45</v>
      </c>
      <c r="D67" s="30">
        <f t="shared" si="0"/>
        <v>407.23</v>
      </c>
      <c r="E67" s="30">
        <f t="shared" si="0"/>
        <v>3.0304000000000002</v>
      </c>
      <c r="F67" s="30">
        <v>0</v>
      </c>
    </row>
    <row r="68" spans="1:6" x14ac:dyDescent="0.25">
      <c r="A68" s="29">
        <v>64</v>
      </c>
      <c r="B68" s="30">
        <v>15.45</v>
      </c>
      <c r="C68" s="30">
        <v>16</v>
      </c>
      <c r="D68" s="30">
        <f t="shared" si="0"/>
        <v>407.23</v>
      </c>
      <c r="E68" s="30">
        <f t="shared" si="0"/>
        <v>3.0304000000000002</v>
      </c>
      <c r="F68" s="30">
        <v>0</v>
      </c>
    </row>
    <row r="69" spans="1:6" x14ac:dyDescent="0.25">
      <c r="A69" s="29">
        <v>65</v>
      </c>
      <c r="B69" s="30">
        <v>16</v>
      </c>
      <c r="C69" s="30">
        <v>16.149999999999999</v>
      </c>
      <c r="D69" s="30">
        <f t="shared" si="0"/>
        <v>407.23</v>
      </c>
      <c r="E69" s="30">
        <f t="shared" si="0"/>
        <v>3.0304000000000002</v>
      </c>
      <c r="F69" s="30">
        <v>0</v>
      </c>
    </row>
    <row r="70" spans="1:6" x14ac:dyDescent="0.25">
      <c r="A70" s="29">
        <v>66</v>
      </c>
      <c r="B70" s="30">
        <v>16.149999999999999</v>
      </c>
      <c r="C70" s="30">
        <v>16.3</v>
      </c>
      <c r="D70" s="30">
        <f t="shared" si="0"/>
        <v>407.23</v>
      </c>
      <c r="E70" s="30">
        <f t="shared" si="0"/>
        <v>3.0304000000000002</v>
      </c>
      <c r="F70" s="30">
        <v>0</v>
      </c>
    </row>
    <row r="71" spans="1:6" x14ac:dyDescent="0.25">
      <c r="A71" s="29">
        <v>67</v>
      </c>
      <c r="B71" s="30">
        <v>16.3</v>
      </c>
      <c r="C71" s="30">
        <v>16.45</v>
      </c>
      <c r="D71" s="30">
        <f t="shared" ref="D71:E100" si="1">D70</f>
        <v>407.23</v>
      </c>
      <c r="E71" s="30">
        <f t="shared" si="1"/>
        <v>3.0304000000000002</v>
      </c>
      <c r="F71" s="30">
        <v>0</v>
      </c>
    </row>
    <row r="72" spans="1:6" x14ac:dyDescent="0.25">
      <c r="A72" s="29">
        <v>68</v>
      </c>
      <c r="B72" s="30">
        <v>16.45</v>
      </c>
      <c r="C72" s="30">
        <v>17</v>
      </c>
      <c r="D72" s="30">
        <f t="shared" si="1"/>
        <v>407.23</v>
      </c>
      <c r="E72" s="30">
        <f t="shared" si="1"/>
        <v>3.0304000000000002</v>
      </c>
      <c r="F72" s="30">
        <v>0</v>
      </c>
    </row>
    <row r="73" spans="1:6" x14ac:dyDescent="0.25">
      <c r="A73" s="29">
        <v>69</v>
      </c>
      <c r="B73" s="30">
        <v>17</v>
      </c>
      <c r="C73" s="30">
        <v>17.149999999999999</v>
      </c>
      <c r="D73" s="30">
        <f t="shared" si="1"/>
        <v>407.23</v>
      </c>
      <c r="E73" s="30">
        <f t="shared" si="1"/>
        <v>3.0304000000000002</v>
      </c>
      <c r="F73" s="30">
        <v>0</v>
      </c>
    </row>
    <row r="74" spans="1:6" x14ac:dyDescent="0.25">
      <c r="A74" s="29">
        <v>70</v>
      </c>
      <c r="B74" s="30">
        <v>17.149999999999999</v>
      </c>
      <c r="C74" s="30">
        <v>17.3</v>
      </c>
      <c r="D74" s="30">
        <f t="shared" si="1"/>
        <v>407.23</v>
      </c>
      <c r="E74" s="30">
        <f t="shared" si="1"/>
        <v>3.0304000000000002</v>
      </c>
      <c r="F74" s="30">
        <v>0</v>
      </c>
    </row>
    <row r="75" spans="1:6" x14ac:dyDescent="0.25">
      <c r="A75" s="29">
        <v>71</v>
      </c>
      <c r="B75" s="30">
        <v>17.3</v>
      </c>
      <c r="C75" s="30">
        <v>17.45</v>
      </c>
      <c r="D75" s="30">
        <f t="shared" si="1"/>
        <v>407.23</v>
      </c>
      <c r="E75" s="30">
        <f t="shared" si="1"/>
        <v>3.0304000000000002</v>
      </c>
      <c r="F75" s="30">
        <v>0</v>
      </c>
    </row>
    <row r="76" spans="1:6" x14ac:dyDescent="0.25">
      <c r="A76" s="29">
        <v>72</v>
      </c>
      <c r="B76" s="30">
        <v>17.45</v>
      </c>
      <c r="C76" s="30">
        <v>18</v>
      </c>
      <c r="D76" s="30">
        <f t="shared" si="1"/>
        <v>407.23</v>
      </c>
      <c r="E76" s="30">
        <f t="shared" si="1"/>
        <v>3.0304000000000002</v>
      </c>
      <c r="F76" s="30">
        <v>0</v>
      </c>
    </row>
    <row r="77" spans="1:6" x14ac:dyDescent="0.25">
      <c r="A77" s="29">
        <v>73</v>
      </c>
      <c r="B77" s="30">
        <v>18</v>
      </c>
      <c r="C77" s="30">
        <v>18.149999999999999</v>
      </c>
      <c r="D77" s="30">
        <f t="shared" si="1"/>
        <v>407.23</v>
      </c>
      <c r="E77" s="30">
        <f t="shared" si="1"/>
        <v>3.0304000000000002</v>
      </c>
      <c r="F77" s="30">
        <v>0</v>
      </c>
    </row>
    <row r="78" spans="1:6" x14ac:dyDescent="0.25">
      <c r="A78" s="29">
        <v>74</v>
      </c>
      <c r="B78" s="30">
        <v>18.149999999999999</v>
      </c>
      <c r="C78" s="30">
        <v>18.3</v>
      </c>
      <c r="D78" s="30">
        <f t="shared" si="1"/>
        <v>407.23</v>
      </c>
      <c r="E78" s="30">
        <f t="shared" si="1"/>
        <v>3.0304000000000002</v>
      </c>
      <c r="F78" s="30">
        <v>0</v>
      </c>
    </row>
    <row r="79" spans="1:6" x14ac:dyDescent="0.25">
      <c r="A79" s="29">
        <v>75</v>
      </c>
      <c r="B79" s="30">
        <v>18.3</v>
      </c>
      <c r="C79" s="30">
        <v>18.45</v>
      </c>
      <c r="D79" s="30">
        <f t="shared" si="1"/>
        <v>407.23</v>
      </c>
      <c r="E79" s="30">
        <f t="shared" si="1"/>
        <v>3.0304000000000002</v>
      </c>
      <c r="F79" s="30">
        <v>0</v>
      </c>
    </row>
    <row r="80" spans="1:6" x14ac:dyDescent="0.25">
      <c r="A80" s="29">
        <v>76</v>
      </c>
      <c r="B80" s="30">
        <v>18.45</v>
      </c>
      <c r="C80" s="30">
        <v>19</v>
      </c>
      <c r="D80" s="30">
        <f t="shared" si="1"/>
        <v>407.23</v>
      </c>
      <c r="E80" s="30">
        <f t="shared" si="1"/>
        <v>3.0304000000000002</v>
      </c>
      <c r="F80" s="30">
        <v>0</v>
      </c>
    </row>
    <row r="81" spans="1:6" x14ac:dyDescent="0.25">
      <c r="A81" s="29">
        <v>77</v>
      </c>
      <c r="B81" s="30">
        <v>19</v>
      </c>
      <c r="C81" s="30">
        <v>19.149999999999999</v>
      </c>
      <c r="D81" s="30">
        <f t="shared" si="1"/>
        <v>407.23</v>
      </c>
      <c r="E81" s="30">
        <f t="shared" si="1"/>
        <v>3.0304000000000002</v>
      </c>
      <c r="F81" s="30">
        <v>0</v>
      </c>
    </row>
    <row r="82" spans="1:6" x14ac:dyDescent="0.25">
      <c r="A82" s="29">
        <v>78</v>
      </c>
      <c r="B82" s="30">
        <v>19.149999999999999</v>
      </c>
      <c r="C82" s="30">
        <v>19.3</v>
      </c>
      <c r="D82" s="30">
        <f t="shared" si="1"/>
        <v>407.23</v>
      </c>
      <c r="E82" s="30">
        <f t="shared" si="1"/>
        <v>3.0304000000000002</v>
      </c>
      <c r="F82" s="30">
        <v>0</v>
      </c>
    </row>
    <row r="83" spans="1:6" x14ac:dyDescent="0.25">
      <c r="A83" s="29">
        <v>79</v>
      </c>
      <c r="B83" s="30">
        <v>19.3</v>
      </c>
      <c r="C83" s="30">
        <v>19.45</v>
      </c>
      <c r="D83" s="30">
        <f t="shared" si="1"/>
        <v>407.23</v>
      </c>
      <c r="E83" s="30">
        <f t="shared" si="1"/>
        <v>3.0304000000000002</v>
      </c>
      <c r="F83" s="30">
        <v>0</v>
      </c>
    </row>
    <row r="84" spans="1:6" x14ac:dyDescent="0.25">
      <c r="A84" s="29">
        <v>80</v>
      </c>
      <c r="B84" s="30">
        <v>19.45</v>
      </c>
      <c r="C84" s="30">
        <v>20</v>
      </c>
      <c r="D84" s="30">
        <f t="shared" si="1"/>
        <v>407.23</v>
      </c>
      <c r="E84" s="30">
        <f t="shared" si="1"/>
        <v>3.0304000000000002</v>
      </c>
      <c r="F84" s="30">
        <v>0</v>
      </c>
    </row>
    <row r="85" spans="1:6" x14ac:dyDescent="0.25">
      <c r="A85" s="29">
        <v>81</v>
      </c>
      <c r="B85" s="30">
        <v>20</v>
      </c>
      <c r="C85" s="30">
        <v>20.149999999999999</v>
      </c>
      <c r="D85" s="30">
        <f t="shared" si="1"/>
        <v>407.23</v>
      </c>
      <c r="E85" s="30">
        <f t="shared" si="1"/>
        <v>3.0304000000000002</v>
      </c>
      <c r="F85" s="30">
        <v>0</v>
      </c>
    </row>
    <row r="86" spans="1:6" x14ac:dyDescent="0.25">
      <c r="A86" s="29">
        <v>82</v>
      </c>
      <c r="B86" s="30">
        <v>20.149999999999999</v>
      </c>
      <c r="C86" s="30">
        <v>20.3</v>
      </c>
      <c r="D86" s="30">
        <f t="shared" si="1"/>
        <v>407.23</v>
      </c>
      <c r="E86" s="30">
        <f t="shared" si="1"/>
        <v>3.0304000000000002</v>
      </c>
      <c r="F86" s="30">
        <v>0</v>
      </c>
    </row>
    <row r="87" spans="1:6" x14ac:dyDescent="0.25">
      <c r="A87" s="29">
        <v>83</v>
      </c>
      <c r="B87" s="30">
        <v>20.3</v>
      </c>
      <c r="C87" s="30">
        <v>20.45</v>
      </c>
      <c r="D87" s="30">
        <f t="shared" si="1"/>
        <v>407.23</v>
      </c>
      <c r="E87" s="30">
        <f t="shared" si="1"/>
        <v>3.0304000000000002</v>
      </c>
      <c r="F87" s="30">
        <v>0</v>
      </c>
    </row>
    <row r="88" spans="1:6" x14ac:dyDescent="0.25">
      <c r="A88" s="29">
        <v>84</v>
      </c>
      <c r="B88" s="30">
        <v>20.45</v>
      </c>
      <c r="C88" s="30">
        <v>21</v>
      </c>
      <c r="D88" s="30">
        <f t="shared" si="1"/>
        <v>407.23</v>
      </c>
      <c r="E88" s="30">
        <f t="shared" si="1"/>
        <v>3.0304000000000002</v>
      </c>
      <c r="F88" s="30">
        <v>0</v>
      </c>
    </row>
    <row r="89" spans="1:6" x14ac:dyDescent="0.25">
      <c r="A89" s="29">
        <v>85</v>
      </c>
      <c r="B89" s="30">
        <v>21</v>
      </c>
      <c r="C89" s="30">
        <v>21.15</v>
      </c>
      <c r="D89" s="30">
        <f t="shared" si="1"/>
        <v>407.23</v>
      </c>
      <c r="E89" s="30">
        <f t="shared" si="1"/>
        <v>3.0304000000000002</v>
      </c>
      <c r="F89" s="30">
        <v>0</v>
      </c>
    </row>
    <row r="90" spans="1:6" x14ac:dyDescent="0.25">
      <c r="A90" s="29">
        <v>86</v>
      </c>
      <c r="B90" s="30">
        <v>21.15</v>
      </c>
      <c r="C90" s="30">
        <v>21.3</v>
      </c>
      <c r="D90" s="30">
        <f t="shared" si="1"/>
        <v>407.23</v>
      </c>
      <c r="E90" s="30">
        <f t="shared" si="1"/>
        <v>3.0304000000000002</v>
      </c>
      <c r="F90" s="30">
        <v>0</v>
      </c>
    </row>
    <row r="91" spans="1:6" x14ac:dyDescent="0.25">
      <c r="A91" s="29">
        <v>87</v>
      </c>
      <c r="B91" s="30">
        <v>21.3</v>
      </c>
      <c r="C91" s="30">
        <v>21.45</v>
      </c>
      <c r="D91" s="30">
        <f t="shared" si="1"/>
        <v>407.23</v>
      </c>
      <c r="E91" s="30">
        <f t="shared" si="1"/>
        <v>3.0304000000000002</v>
      </c>
      <c r="F91" s="30">
        <v>0</v>
      </c>
    </row>
    <row r="92" spans="1:6" x14ac:dyDescent="0.25">
      <c r="A92" s="29">
        <v>88</v>
      </c>
      <c r="B92" s="30">
        <v>21.45</v>
      </c>
      <c r="C92" s="30">
        <v>22</v>
      </c>
      <c r="D92" s="30">
        <f t="shared" si="1"/>
        <v>407.23</v>
      </c>
      <c r="E92" s="30">
        <f t="shared" si="1"/>
        <v>3.0304000000000002</v>
      </c>
      <c r="F92" s="30">
        <v>0</v>
      </c>
    </row>
    <row r="93" spans="1:6" x14ac:dyDescent="0.25">
      <c r="A93" s="29">
        <v>89</v>
      </c>
      <c r="B93" s="30">
        <v>22</v>
      </c>
      <c r="C93" s="30">
        <v>22.15</v>
      </c>
      <c r="D93" s="30">
        <f t="shared" si="1"/>
        <v>407.23</v>
      </c>
      <c r="E93" s="30">
        <f t="shared" si="1"/>
        <v>3.0304000000000002</v>
      </c>
      <c r="F93" s="30">
        <v>0</v>
      </c>
    </row>
    <row r="94" spans="1:6" x14ac:dyDescent="0.25">
      <c r="A94" s="29">
        <v>90</v>
      </c>
      <c r="B94" s="30">
        <v>22.15</v>
      </c>
      <c r="C94" s="30">
        <v>22.3</v>
      </c>
      <c r="D94" s="30">
        <f t="shared" si="1"/>
        <v>407.23</v>
      </c>
      <c r="E94" s="30">
        <f t="shared" si="1"/>
        <v>3.0304000000000002</v>
      </c>
      <c r="F94" s="30">
        <v>0</v>
      </c>
    </row>
    <row r="95" spans="1:6" x14ac:dyDescent="0.25">
      <c r="A95" s="29">
        <v>91</v>
      </c>
      <c r="B95" s="30">
        <v>22.3</v>
      </c>
      <c r="C95" s="30">
        <v>22.45</v>
      </c>
      <c r="D95" s="30">
        <f t="shared" si="1"/>
        <v>407.23</v>
      </c>
      <c r="E95" s="30">
        <f t="shared" si="1"/>
        <v>3.0304000000000002</v>
      </c>
      <c r="F95" s="30">
        <v>0</v>
      </c>
    </row>
    <row r="96" spans="1:6" x14ac:dyDescent="0.25">
      <c r="A96" s="29">
        <v>92</v>
      </c>
      <c r="B96" s="30">
        <v>22.45</v>
      </c>
      <c r="C96" s="30">
        <v>23</v>
      </c>
      <c r="D96" s="30">
        <f t="shared" si="1"/>
        <v>407.23</v>
      </c>
      <c r="E96" s="30">
        <f t="shared" si="1"/>
        <v>3.0304000000000002</v>
      </c>
      <c r="F96" s="30">
        <v>0</v>
      </c>
    </row>
    <row r="97" spans="1:6" x14ac:dyDescent="0.25">
      <c r="A97" s="29">
        <v>93</v>
      </c>
      <c r="B97" s="30">
        <v>23</v>
      </c>
      <c r="C97" s="30">
        <v>23.15</v>
      </c>
      <c r="D97" s="30">
        <f t="shared" si="1"/>
        <v>407.23</v>
      </c>
      <c r="E97" s="30">
        <f t="shared" si="1"/>
        <v>3.0304000000000002</v>
      </c>
      <c r="F97" s="30">
        <v>0</v>
      </c>
    </row>
    <row r="98" spans="1:6" x14ac:dyDescent="0.25">
      <c r="A98" s="29">
        <v>94</v>
      </c>
      <c r="B98" s="30">
        <v>23.15</v>
      </c>
      <c r="C98" s="30">
        <v>23.3</v>
      </c>
      <c r="D98" s="30">
        <f t="shared" si="1"/>
        <v>407.23</v>
      </c>
      <c r="E98" s="30">
        <f t="shared" si="1"/>
        <v>3.0304000000000002</v>
      </c>
      <c r="F98" s="30">
        <v>0</v>
      </c>
    </row>
    <row r="99" spans="1:6" x14ac:dyDescent="0.25">
      <c r="A99" s="29">
        <v>95</v>
      </c>
      <c r="B99" s="30">
        <v>23.3</v>
      </c>
      <c r="C99" s="30">
        <v>23.45</v>
      </c>
      <c r="D99" s="30">
        <f t="shared" si="1"/>
        <v>407.23</v>
      </c>
      <c r="E99" s="30">
        <f t="shared" si="1"/>
        <v>3.0304000000000002</v>
      </c>
      <c r="F99" s="30">
        <v>0</v>
      </c>
    </row>
    <row r="100" spans="1:6" x14ac:dyDescent="0.25">
      <c r="A100" s="112">
        <v>96</v>
      </c>
      <c r="B100" s="30">
        <v>23.45</v>
      </c>
      <c r="C100" s="30">
        <v>24</v>
      </c>
      <c r="D100" s="30">
        <f t="shared" si="1"/>
        <v>407.23</v>
      </c>
      <c r="E100" s="30">
        <f t="shared" si="1"/>
        <v>3.0304000000000002</v>
      </c>
      <c r="F100" s="30">
        <v>0</v>
      </c>
    </row>
  </sheetData>
  <mergeCells count="3">
    <mergeCell ref="A1:A2"/>
    <mergeCell ref="B1:D2"/>
    <mergeCell ref="E1:E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EE7DD-ACA9-4ECC-B4E0-4B8C4023D489}">
  <sheetPr codeName="Sheet3"/>
  <dimension ref="A1:AA99"/>
  <sheetViews>
    <sheetView workbookViewId="0">
      <selection activeCell="A11" sqref="A11"/>
    </sheetView>
  </sheetViews>
  <sheetFormatPr defaultColWidth="12.42578125" defaultRowHeight="15" x14ac:dyDescent="0.25"/>
  <cols>
    <col min="1" max="1" width="10.42578125" bestFit="1" customWidth="1"/>
    <col min="2" max="2" width="4.140625" bestFit="1" customWidth="1"/>
    <col min="3" max="3" width="9.42578125" bestFit="1" customWidth="1"/>
    <col min="4" max="4" width="8" bestFit="1" customWidth="1"/>
    <col min="5" max="5" width="9" bestFit="1" customWidth="1"/>
    <col min="6" max="6" width="6.42578125" bestFit="1" customWidth="1"/>
    <col min="7" max="7" width="6.5703125" bestFit="1" customWidth="1"/>
    <col min="8" max="9" width="5.5703125" bestFit="1" customWidth="1"/>
    <col min="10" max="10" width="6.5703125" bestFit="1" customWidth="1"/>
    <col min="11" max="12" width="5.5703125" bestFit="1" customWidth="1"/>
    <col min="13" max="13" width="6.5703125" bestFit="1" customWidth="1"/>
    <col min="14" max="15" width="5.5703125" bestFit="1" customWidth="1"/>
    <col min="16" max="16" width="6.5703125" bestFit="1" customWidth="1"/>
    <col min="17" max="18" width="5.5703125" bestFit="1" customWidth="1"/>
    <col min="19" max="19" width="6.5703125" bestFit="1" customWidth="1"/>
    <col min="20" max="20" width="5.5703125" bestFit="1" customWidth="1"/>
    <col min="21" max="21" width="4.85546875" customWidth="1"/>
    <col min="23" max="23" width="11.42578125" customWidth="1"/>
    <col min="24" max="24" width="10.140625" customWidth="1"/>
    <col min="25" max="25" width="6.28515625" customWidth="1"/>
    <col min="26" max="26" width="7.5703125" customWidth="1"/>
    <col min="27" max="27" width="10.7109375" style="77" customWidth="1"/>
  </cols>
  <sheetData>
    <row r="1" spans="1:27" ht="19.5" thickBot="1" x14ac:dyDescent="0.35">
      <c r="A1" s="153"/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5"/>
    </row>
    <row r="2" spans="1:27" x14ac:dyDescent="0.25">
      <c r="A2" s="156" t="s">
        <v>70</v>
      </c>
      <c r="B2" s="158" t="s">
        <v>71</v>
      </c>
      <c r="C2" s="160" t="s">
        <v>72</v>
      </c>
      <c r="D2" s="161"/>
      <c r="E2" s="161"/>
      <c r="F2" s="161" t="s">
        <v>73</v>
      </c>
      <c r="G2" s="161"/>
      <c r="H2" s="162"/>
      <c r="I2" s="163" t="s">
        <v>74</v>
      </c>
      <c r="J2" s="164"/>
      <c r="K2" s="164"/>
      <c r="L2" s="164" t="s">
        <v>75</v>
      </c>
      <c r="M2" s="164"/>
      <c r="N2" s="165"/>
      <c r="O2" s="166" t="s">
        <v>76</v>
      </c>
      <c r="P2" s="167"/>
      <c r="Q2" s="167"/>
      <c r="R2" s="167" t="s">
        <v>77</v>
      </c>
      <c r="S2" s="167"/>
      <c r="T2" s="168"/>
      <c r="V2" s="147" t="s">
        <v>78</v>
      </c>
      <c r="W2" s="149" t="s">
        <v>79</v>
      </c>
      <c r="X2" s="78"/>
      <c r="Z2" s="149" t="s">
        <v>80</v>
      </c>
      <c r="AA2" s="151" t="s">
        <v>81</v>
      </c>
    </row>
    <row r="3" spans="1:27" ht="15.75" thickBot="1" x14ac:dyDescent="0.3">
      <c r="A3" s="157"/>
      <c r="B3" s="159"/>
      <c r="C3" s="79" t="s">
        <v>82</v>
      </c>
      <c r="D3" s="80" t="s">
        <v>83</v>
      </c>
      <c r="E3" s="81" t="s">
        <v>84</v>
      </c>
      <c r="F3" s="82" t="s">
        <v>82</v>
      </c>
      <c r="G3" s="80" t="s">
        <v>83</v>
      </c>
      <c r="H3" s="83" t="s">
        <v>84</v>
      </c>
      <c r="I3" s="79" t="s">
        <v>82</v>
      </c>
      <c r="J3" s="80" t="s">
        <v>83</v>
      </c>
      <c r="K3" s="81" t="s">
        <v>84</v>
      </c>
      <c r="L3" s="82" t="s">
        <v>82</v>
      </c>
      <c r="M3" s="80" t="s">
        <v>83</v>
      </c>
      <c r="N3" s="83" t="s">
        <v>84</v>
      </c>
      <c r="O3" s="79" t="s">
        <v>82</v>
      </c>
      <c r="P3" s="80" t="s">
        <v>83</v>
      </c>
      <c r="Q3" s="81" t="s">
        <v>84</v>
      </c>
      <c r="R3" s="82" t="s">
        <v>82</v>
      </c>
      <c r="S3" s="80" t="s">
        <v>83</v>
      </c>
      <c r="T3" s="83" t="s">
        <v>84</v>
      </c>
      <c r="V3" s="148"/>
      <c r="W3" s="150"/>
      <c r="X3" s="78"/>
      <c r="Z3" s="150"/>
      <c r="AA3" s="152"/>
    </row>
    <row r="4" spans="1:27" ht="15.75" thickBot="1" x14ac:dyDescent="0.3">
      <c r="A4" s="84">
        <f ca="1">DCEntry!E3</f>
        <v>45271</v>
      </c>
      <c r="B4" s="85">
        <v>1</v>
      </c>
      <c r="C4" s="86">
        <v>441.1</v>
      </c>
      <c r="D4" s="87">
        <v>286.33999999999997</v>
      </c>
      <c r="E4" s="87"/>
      <c r="F4" s="87">
        <v>7.3650000000000002</v>
      </c>
      <c r="G4" s="87">
        <v>5.0000600000000004</v>
      </c>
      <c r="H4" s="88"/>
      <c r="I4" s="89">
        <v>0</v>
      </c>
      <c r="J4" s="90">
        <v>0</v>
      </c>
      <c r="K4" s="90">
        <v>0</v>
      </c>
      <c r="L4" s="90">
        <v>0</v>
      </c>
      <c r="M4" s="90">
        <v>0</v>
      </c>
      <c r="N4" s="91">
        <v>0</v>
      </c>
      <c r="O4" s="89">
        <v>0</v>
      </c>
      <c r="P4" s="90">
        <v>0</v>
      </c>
      <c r="Q4" s="90">
        <v>0</v>
      </c>
      <c r="R4" s="90">
        <v>0</v>
      </c>
      <c r="S4" s="90">
        <v>0</v>
      </c>
      <c r="T4" s="91">
        <v>0</v>
      </c>
      <c r="V4" s="92">
        <f>IFERROR(ROUND(((C4*F4)+(I4*L4)+(O4*R4)+(D4*G4)+(J4*M4)+(P4*S4))/(C4+D4+I4+J4+O4+P4),2),0)</f>
        <v>6.43</v>
      </c>
      <c r="W4" s="92">
        <f>IFERROR(ROUND(((E4*H4)+(K4*N4)+(Q4*T4))/(E4+K4+Q4),2),0)</f>
        <v>0</v>
      </c>
      <c r="X4" s="76"/>
      <c r="Z4" s="93">
        <f t="shared" ref="Z4:Z67" si="0">MAX(V4:X4)</f>
        <v>6.43</v>
      </c>
      <c r="AA4" s="94">
        <f>ROUND((SUMPRODUCT(C4:C99,F4:F99)+SUMPRODUCT(D4:D99,G4:G99))/SUM(C4:C99,D4:D99),2)</f>
        <v>5.13</v>
      </c>
    </row>
    <row r="5" spans="1:27" x14ac:dyDescent="0.25">
      <c r="A5" s="95">
        <f ca="1">$A$4</f>
        <v>45271</v>
      </c>
      <c r="B5" s="96">
        <v>2</v>
      </c>
      <c r="C5" s="89">
        <v>430.29999999999995</v>
      </c>
      <c r="D5" s="90">
        <v>230.13</v>
      </c>
      <c r="E5" s="90"/>
      <c r="F5" s="90">
        <v>6.5318399999999999</v>
      </c>
      <c r="G5" s="90">
        <v>5.0002500000000003</v>
      </c>
      <c r="H5" s="91"/>
      <c r="I5" s="89">
        <v>0</v>
      </c>
      <c r="J5" s="90">
        <v>0</v>
      </c>
      <c r="K5" s="90">
        <v>0</v>
      </c>
      <c r="L5" s="90">
        <v>0</v>
      </c>
      <c r="M5" s="90">
        <v>0</v>
      </c>
      <c r="N5" s="91">
        <v>0</v>
      </c>
      <c r="O5" s="89">
        <v>0</v>
      </c>
      <c r="P5" s="90">
        <v>0</v>
      </c>
      <c r="Q5" s="90">
        <v>0</v>
      </c>
      <c r="R5" s="90">
        <v>0</v>
      </c>
      <c r="S5" s="90">
        <v>0</v>
      </c>
      <c r="T5" s="91">
        <v>0</v>
      </c>
      <c r="V5" s="92">
        <f t="shared" ref="V5:V68" si="1">IFERROR(ROUND(((C5*F5)+(I5*L5)+(O5*R5)+(D5*G5)+(J5*M5)+(P5*S5))/(C5+D5+I5+J5+O5+P5),2),0)</f>
        <v>6</v>
      </c>
      <c r="W5" s="97">
        <f t="shared" ref="W5:W68" si="2">IFERROR(ROUND(((E5*H5)+(K5*N5)+(Q5*T5))/(E5+K5+Q5),2),0)</f>
        <v>0</v>
      </c>
      <c r="X5" s="76"/>
      <c r="Z5" s="98">
        <f t="shared" si="0"/>
        <v>6</v>
      </c>
      <c r="AA5" s="99">
        <f>AA4</f>
        <v>5.13</v>
      </c>
    </row>
    <row r="6" spans="1:27" x14ac:dyDescent="0.25">
      <c r="A6" s="95">
        <f t="shared" ref="A6:A69" ca="1" si="3">$A$4</f>
        <v>45271</v>
      </c>
      <c r="B6" s="96">
        <v>3</v>
      </c>
      <c r="C6" s="89">
        <v>472.3</v>
      </c>
      <c r="D6" s="90">
        <v>171.36</v>
      </c>
      <c r="E6" s="90"/>
      <c r="F6" s="90">
        <v>6.0318100000000001</v>
      </c>
      <c r="G6" s="90">
        <v>5.0004399999999993</v>
      </c>
      <c r="H6" s="91"/>
      <c r="I6" s="89">
        <v>0</v>
      </c>
      <c r="J6" s="90">
        <v>0</v>
      </c>
      <c r="K6" s="90">
        <v>0</v>
      </c>
      <c r="L6" s="90">
        <v>0</v>
      </c>
      <c r="M6" s="90">
        <v>0</v>
      </c>
      <c r="N6" s="91">
        <v>0</v>
      </c>
      <c r="O6" s="89">
        <v>0</v>
      </c>
      <c r="P6" s="90">
        <v>0</v>
      </c>
      <c r="Q6" s="90">
        <v>0</v>
      </c>
      <c r="R6" s="90">
        <v>0</v>
      </c>
      <c r="S6" s="90">
        <v>0</v>
      </c>
      <c r="T6" s="91">
        <v>0</v>
      </c>
      <c r="V6" s="92">
        <f t="shared" si="1"/>
        <v>5.76</v>
      </c>
      <c r="W6" s="97">
        <f t="shared" si="2"/>
        <v>0</v>
      </c>
      <c r="X6" s="76"/>
      <c r="Z6" s="98">
        <f t="shared" si="0"/>
        <v>5.76</v>
      </c>
      <c r="AA6" s="99">
        <f t="shared" ref="AA6:AA69" si="4">AA5</f>
        <v>5.13</v>
      </c>
    </row>
    <row r="7" spans="1:27" x14ac:dyDescent="0.25">
      <c r="A7" s="95">
        <f t="shared" ca="1" si="3"/>
        <v>45271</v>
      </c>
      <c r="B7" s="96">
        <v>4</v>
      </c>
      <c r="C7" s="89">
        <v>478</v>
      </c>
      <c r="D7" s="90">
        <v>274.97000000000003</v>
      </c>
      <c r="E7" s="90"/>
      <c r="F7" s="90">
        <v>5.8999899999999998</v>
      </c>
      <c r="G7" s="90">
        <v>5.0001000000000007</v>
      </c>
      <c r="H7" s="91"/>
      <c r="I7" s="89">
        <v>0</v>
      </c>
      <c r="J7" s="90">
        <v>0</v>
      </c>
      <c r="K7" s="90">
        <v>0</v>
      </c>
      <c r="L7" s="90">
        <v>0</v>
      </c>
      <c r="M7" s="90">
        <v>0</v>
      </c>
      <c r="N7" s="91">
        <v>0</v>
      </c>
      <c r="O7" s="89">
        <v>0</v>
      </c>
      <c r="P7" s="90">
        <v>0</v>
      </c>
      <c r="Q7" s="90">
        <v>0</v>
      </c>
      <c r="R7" s="90">
        <v>0</v>
      </c>
      <c r="S7" s="90">
        <v>0</v>
      </c>
      <c r="T7" s="91">
        <v>0</v>
      </c>
      <c r="V7" s="92">
        <f t="shared" si="1"/>
        <v>5.57</v>
      </c>
      <c r="W7" s="97">
        <f t="shared" si="2"/>
        <v>0</v>
      </c>
      <c r="X7" s="76"/>
      <c r="Z7" s="98">
        <f t="shared" si="0"/>
        <v>5.57</v>
      </c>
      <c r="AA7" s="99">
        <f t="shared" si="4"/>
        <v>5.13</v>
      </c>
    </row>
    <row r="8" spans="1:27" x14ac:dyDescent="0.25">
      <c r="A8" s="95">
        <f t="shared" ca="1" si="3"/>
        <v>45271</v>
      </c>
      <c r="B8" s="96">
        <v>5</v>
      </c>
      <c r="C8" s="89">
        <v>475.29999999999995</v>
      </c>
      <c r="D8" s="90">
        <v>198.18</v>
      </c>
      <c r="E8" s="90"/>
      <c r="F8" s="90">
        <v>5.9994700000000005</v>
      </c>
      <c r="G8" s="90">
        <v>5.0003500000000001</v>
      </c>
      <c r="H8" s="91"/>
      <c r="I8" s="89">
        <v>0</v>
      </c>
      <c r="J8" s="90">
        <v>0</v>
      </c>
      <c r="K8" s="90">
        <v>0</v>
      </c>
      <c r="L8" s="90">
        <v>0</v>
      </c>
      <c r="M8" s="90">
        <v>0</v>
      </c>
      <c r="N8" s="91">
        <v>0</v>
      </c>
      <c r="O8" s="89">
        <v>0</v>
      </c>
      <c r="P8" s="90">
        <v>0</v>
      </c>
      <c r="Q8" s="90">
        <v>0</v>
      </c>
      <c r="R8" s="90">
        <v>0</v>
      </c>
      <c r="S8" s="90">
        <v>0</v>
      </c>
      <c r="T8" s="91">
        <v>0</v>
      </c>
      <c r="V8" s="92">
        <f t="shared" si="1"/>
        <v>5.71</v>
      </c>
      <c r="W8" s="97">
        <f t="shared" si="2"/>
        <v>0</v>
      </c>
      <c r="X8" s="76"/>
      <c r="Z8" s="98">
        <f t="shared" si="0"/>
        <v>5.71</v>
      </c>
      <c r="AA8" s="99">
        <f t="shared" si="4"/>
        <v>5.13</v>
      </c>
    </row>
    <row r="9" spans="1:27" x14ac:dyDescent="0.25">
      <c r="A9" s="95">
        <f t="shared" ca="1" si="3"/>
        <v>45271</v>
      </c>
      <c r="B9" s="96">
        <v>6</v>
      </c>
      <c r="C9" s="89">
        <v>482.5</v>
      </c>
      <c r="D9" s="90">
        <v>198.63</v>
      </c>
      <c r="E9" s="90"/>
      <c r="F9" s="90">
        <v>5.9994899999999998</v>
      </c>
      <c r="G9" s="90">
        <v>5.0003500000000001</v>
      </c>
      <c r="H9" s="91"/>
      <c r="I9" s="89">
        <v>0</v>
      </c>
      <c r="J9" s="90">
        <v>0</v>
      </c>
      <c r="K9" s="90">
        <v>0</v>
      </c>
      <c r="L9" s="90">
        <v>0</v>
      </c>
      <c r="M9" s="90">
        <v>0</v>
      </c>
      <c r="N9" s="91">
        <v>0</v>
      </c>
      <c r="O9" s="89">
        <v>0</v>
      </c>
      <c r="P9" s="90">
        <v>0</v>
      </c>
      <c r="Q9" s="90">
        <v>0</v>
      </c>
      <c r="R9" s="90">
        <v>0</v>
      </c>
      <c r="S9" s="90">
        <v>0</v>
      </c>
      <c r="T9" s="91">
        <v>0</v>
      </c>
      <c r="V9" s="92">
        <f t="shared" si="1"/>
        <v>5.71</v>
      </c>
      <c r="W9" s="97">
        <f t="shared" si="2"/>
        <v>0</v>
      </c>
      <c r="X9" s="76"/>
      <c r="Z9" s="98">
        <f t="shared" si="0"/>
        <v>5.71</v>
      </c>
      <c r="AA9" s="99">
        <f t="shared" si="4"/>
        <v>5.13</v>
      </c>
    </row>
    <row r="10" spans="1:27" x14ac:dyDescent="0.25">
      <c r="A10" s="95">
        <f t="shared" ca="1" si="3"/>
        <v>45271</v>
      </c>
      <c r="B10" s="96">
        <v>7</v>
      </c>
      <c r="C10" s="89">
        <v>486.29999999999995</v>
      </c>
      <c r="D10" s="90">
        <v>213.18</v>
      </c>
      <c r="E10" s="90"/>
      <c r="F10" s="90">
        <v>5.8997099999999998</v>
      </c>
      <c r="G10" s="90">
        <v>5.0003000000000002</v>
      </c>
      <c r="H10" s="91"/>
      <c r="I10" s="89">
        <v>0</v>
      </c>
      <c r="J10" s="90">
        <v>0</v>
      </c>
      <c r="K10" s="90">
        <v>0</v>
      </c>
      <c r="L10" s="90">
        <v>0</v>
      </c>
      <c r="M10" s="90">
        <v>0</v>
      </c>
      <c r="N10" s="91">
        <v>0</v>
      </c>
      <c r="O10" s="89">
        <v>0</v>
      </c>
      <c r="P10" s="90">
        <v>0</v>
      </c>
      <c r="Q10" s="90">
        <v>0</v>
      </c>
      <c r="R10" s="90">
        <v>0</v>
      </c>
      <c r="S10" s="90">
        <v>0</v>
      </c>
      <c r="T10" s="91">
        <v>0</v>
      </c>
      <c r="V10" s="92">
        <f t="shared" si="1"/>
        <v>5.63</v>
      </c>
      <c r="W10" s="97">
        <f t="shared" si="2"/>
        <v>0</v>
      </c>
      <c r="X10" s="76"/>
      <c r="Z10" s="98">
        <f t="shared" si="0"/>
        <v>5.63</v>
      </c>
      <c r="AA10" s="99">
        <f t="shared" si="4"/>
        <v>5.13</v>
      </c>
    </row>
    <row r="11" spans="1:27" x14ac:dyDescent="0.25">
      <c r="A11" s="95">
        <f t="shared" ca="1" si="3"/>
        <v>45271</v>
      </c>
      <c r="B11" s="96">
        <v>8</v>
      </c>
      <c r="C11" s="89">
        <v>485.29999999999995</v>
      </c>
      <c r="D11" s="90">
        <v>148.22999999999999</v>
      </c>
      <c r="E11" s="90"/>
      <c r="F11" s="90">
        <v>5.6779299999999999</v>
      </c>
      <c r="G11" s="90">
        <v>5.0005200000000007</v>
      </c>
      <c r="H11" s="91"/>
      <c r="I11" s="89">
        <v>0</v>
      </c>
      <c r="J11" s="90">
        <v>0</v>
      </c>
      <c r="K11" s="90">
        <v>0</v>
      </c>
      <c r="L11" s="90">
        <v>0</v>
      </c>
      <c r="M11" s="90">
        <v>0</v>
      </c>
      <c r="N11" s="91">
        <v>0</v>
      </c>
      <c r="O11" s="89">
        <v>0</v>
      </c>
      <c r="P11" s="90">
        <v>0</v>
      </c>
      <c r="Q11" s="90">
        <v>0</v>
      </c>
      <c r="R11" s="90">
        <v>0</v>
      </c>
      <c r="S11" s="90">
        <v>0</v>
      </c>
      <c r="T11" s="91">
        <v>0</v>
      </c>
      <c r="V11" s="92">
        <f t="shared" si="1"/>
        <v>5.52</v>
      </c>
      <c r="W11" s="97">
        <f t="shared" si="2"/>
        <v>0</v>
      </c>
      <c r="X11" s="76"/>
      <c r="Z11" s="98">
        <f t="shared" si="0"/>
        <v>5.52</v>
      </c>
      <c r="AA11" s="99">
        <f t="shared" si="4"/>
        <v>5.13</v>
      </c>
    </row>
    <row r="12" spans="1:27" x14ac:dyDescent="0.25">
      <c r="A12" s="95">
        <f t="shared" ca="1" si="3"/>
        <v>45271</v>
      </c>
      <c r="B12" s="96">
        <v>9</v>
      </c>
      <c r="C12" s="89">
        <v>479.6</v>
      </c>
      <c r="D12" s="90">
        <v>98.02</v>
      </c>
      <c r="E12" s="90"/>
      <c r="F12" s="90">
        <v>5.4993999999999996</v>
      </c>
      <c r="G12" s="90">
        <v>5.0000600000000004</v>
      </c>
      <c r="H12" s="91"/>
      <c r="I12" s="89">
        <v>0</v>
      </c>
      <c r="J12" s="90">
        <v>0</v>
      </c>
      <c r="K12" s="90">
        <v>0</v>
      </c>
      <c r="L12" s="90">
        <v>0</v>
      </c>
      <c r="M12" s="90">
        <v>0</v>
      </c>
      <c r="N12" s="91">
        <v>0</v>
      </c>
      <c r="O12" s="89">
        <v>0</v>
      </c>
      <c r="P12" s="90">
        <v>0</v>
      </c>
      <c r="Q12" s="90">
        <v>0</v>
      </c>
      <c r="R12" s="90">
        <v>0</v>
      </c>
      <c r="S12" s="90">
        <v>0</v>
      </c>
      <c r="T12" s="91">
        <v>0</v>
      </c>
      <c r="V12" s="92">
        <f t="shared" si="1"/>
        <v>5.41</v>
      </c>
      <c r="W12" s="97">
        <f t="shared" si="2"/>
        <v>0</v>
      </c>
      <c r="X12" s="76"/>
      <c r="Z12" s="98">
        <f t="shared" si="0"/>
        <v>5.41</v>
      </c>
      <c r="AA12" s="99">
        <f t="shared" si="4"/>
        <v>5.13</v>
      </c>
    </row>
    <row r="13" spans="1:27" x14ac:dyDescent="0.25">
      <c r="A13" s="95">
        <f t="shared" ca="1" si="3"/>
        <v>45271</v>
      </c>
      <c r="B13" s="96">
        <v>10</v>
      </c>
      <c r="C13" s="89">
        <v>476.3</v>
      </c>
      <c r="D13" s="90">
        <v>104</v>
      </c>
      <c r="E13" s="90"/>
      <c r="F13" s="90">
        <v>5.4998100000000001</v>
      </c>
      <c r="G13" s="90">
        <v>4.3008100000000002</v>
      </c>
      <c r="H13" s="91"/>
      <c r="I13" s="89">
        <v>0</v>
      </c>
      <c r="J13" s="90">
        <v>0</v>
      </c>
      <c r="K13" s="90">
        <v>0</v>
      </c>
      <c r="L13" s="90">
        <v>0</v>
      </c>
      <c r="M13" s="90">
        <v>0</v>
      </c>
      <c r="N13" s="91">
        <v>0</v>
      </c>
      <c r="O13" s="89">
        <v>0</v>
      </c>
      <c r="P13" s="90">
        <v>0</v>
      </c>
      <c r="Q13" s="90">
        <v>0</v>
      </c>
      <c r="R13" s="90">
        <v>0</v>
      </c>
      <c r="S13" s="90">
        <v>0</v>
      </c>
      <c r="T13" s="91">
        <v>0</v>
      </c>
      <c r="V13" s="92">
        <f t="shared" si="1"/>
        <v>5.28</v>
      </c>
      <c r="W13" s="97">
        <f t="shared" si="2"/>
        <v>0</v>
      </c>
      <c r="X13" s="76"/>
      <c r="Z13" s="98">
        <f t="shared" si="0"/>
        <v>5.28</v>
      </c>
      <c r="AA13" s="99">
        <f t="shared" si="4"/>
        <v>5.13</v>
      </c>
    </row>
    <row r="14" spans="1:27" x14ac:dyDescent="0.25">
      <c r="A14" s="95">
        <f t="shared" ca="1" si="3"/>
        <v>45271</v>
      </c>
      <c r="B14" s="96">
        <v>11</v>
      </c>
      <c r="C14" s="89">
        <v>469.29999999999995</v>
      </c>
      <c r="D14" s="90">
        <v>104</v>
      </c>
      <c r="E14" s="90"/>
      <c r="F14" s="90">
        <v>5.4998900000000006</v>
      </c>
      <c r="G14" s="90">
        <v>4.2007399999999997</v>
      </c>
      <c r="H14" s="91"/>
      <c r="I14" s="89">
        <v>0</v>
      </c>
      <c r="J14" s="90">
        <v>0</v>
      </c>
      <c r="K14" s="90">
        <v>0</v>
      </c>
      <c r="L14" s="90">
        <v>0</v>
      </c>
      <c r="M14" s="90">
        <v>0</v>
      </c>
      <c r="N14" s="91">
        <v>0</v>
      </c>
      <c r="O14" s="89">
        <v>0</v>
      </c>
      <c r="P14" s="90">
        <v>0</v>
      </c>
      <c r="Q14" s="90">
        <v>0</v>
      </c>
      <c r="R14" s="90">
        <v>0</v>
      </c>
      <c r="S14" s="90">
        <v>0</v>
      </c>
      <c r="T14" s="91">
        <v>0</v>
      </c>
      <c r="V14" s="92">
        <f t="shared" si="1"/>
        <v>5.26</v>
      </c>
      <c r="W14" s="97">
        <f t="shared" si="2"/>
        <v>0</v>
      </c>
      <c r="X14" s="76"/>
      <c r="Z14" s="98">
        <f t="shared" si="0"/>
        <v>5.26</v>
      </c>
      <c r="AA14" s="99">
        <f t="shared" si="4"/>
        <v>5.13</v>
      </c>
    </row>
    <row r="15" spans="1:27" x14ac:dyDescent="0.25">
      <c r="A15" s="95">
        <f t="shared" ca="1" si="3"/>
        <v>45271</v>
      </c>
      <c r="B15" s="96">
        <v>12</v>
      </c>
      <c r="C15" s="89">
        <v>474.4</v>
      </c>
      <c r="D15" s="90">
        <v>104</v>
      </c>
      <c r="E15" s="90"/>
      <c r="F15" s="90">
        <v>5.4990899999999998</v>
      </c>
      <c r="G15" s="90">
        <v>4.1008900000000006</v>
      </c>
      <c r="H15" s="91"/>
      <c r="I15" s="89">
        <v>0</v>
      </c>
      <c r="J15" s="90">
        <v>0</v>
      </c>
      <c r="K15" s="90">
        <v>0</v>
      </c>
      <c r="L15" s="90">
        <v>0</v>
      </c>
      <c r="M15" s="90">
        <v>0</v>
      </c>
      <c r="N15" s="91">
        <v>0</v>
      </c>
      <c r="O15" s="89">
        <v>0</v>
      </c>
      <c r="P15" s="90">
        <v>0</v>
      </c>
      <c r="Q15" s="90">
        <v>0</v>
      </c>
      <c r="R15" s="90">
        <v>0</v>
      </c>
      <c r="S15" s="90">
        <v>0</v>
      </c>
      <c r="T15" s="91">
        <v>0</v>
      </c>
      <c r="V15" s="92">
        <f t="shared" si="1"/>
        <v>5.25</v>
      </c>
      <c r="W15" s="97">
        <f t="shared" si="2"/>
        <v>0</v>
      </c>
      <c r="X15" s="76"/>
      <c r="Z15" s="98">
        <f t="shared" si="0"/>
        <v>5.25</v>
      </c>
      <c r="AA15" s="99">
        <f t="shared" si="4"/>
        <v>5.13</v>
      </c>
    </row>
    <row r="16" spans="1:27" x14ac:dyDescent="0.25">
      <c r="A16" s="95">
        <f t="shared" ca="1" si="3"/>
        <v>45271</v>
      </c>
      <c r="B16" s="96">
        <v>13</v>
      </c>
      <c r="C16" s="89">
        <v>247.76</v>
      </c>
      <c r="D16" s="90">
        <v>104</v>
      </c>
      <c r="E16" s="90"/>
      <c r="F16" s="90">
        <v>4.9490800000000004</v>
      </c>
      <c r="G16" s="90">
        <v>4.2009600000000002</v>
      </c>
      <c r="H16" s="91"/>
      <c r="I16" s="89">
        <v>0</v>
      </c>
      <c r="J16" s="90">
        <v>0</v>
      </c>
      <c r="K16" s="90">
        <v>0</v>
      </c>
      <c r="L16" s="90">
        <v>0</v>
      </c>
      <c r="M16" s="90">
        <v>0</v>
      </c>
      <c r="N16" s="91">
        <v>0</v>
      </c>
      <c r="O16" s="89">
        <v>0</v>
      </c>
      <c r="P16" s="90">
        <v>0</v>
      </c>
      <c r="Q16" s="90">
        <v>0</v>
      </c>
      <c r="R16" s="90">
        <v>0</v>
      </c>
      <c r="S16" s="90">
        <v>0</v>
      </c>
      <c r="T16" s="91">
        <v>0</v>
      </c>
      <c r="V16" s="92">
        <f t="shared" si="1"/>
        <v>4.7300000000000004</v>
      </c>
      <c r="W16" s="97">
        <f t="shared" si="2"/>
        <v>0</v>
      </c>
      <c r="X16" s="76"/>
      <c r="Z16" s="98">
        <f t="shared" si="0"/>
        <v>4.7300000000000004</v>
      </c>
      <c r="AA16" s="99">
        <f t="shared" si="4"/>
        <v>5.13</v>
      </c>
    </row>
    <row r="17" spans="1:27" x14ac:dyDescent="0.25">
      <c r="A17" s="95">
        <f t="shared" ca="1" si="3"/>
        <v>45271</v>
      </c>
      <c r="B17" s="96">
        <v>14</v>
      </c>
      <c r="C17" s="89">
        <v>382.29999999999995</v>
      </c>
      <c r="D17" s="90">
        <v>104</v>
      </c>
      <c r="E17" s="90"/>
      <c r="F17" s="90">
        <v>4.9993500000000006</v>
      </c>
      <c r="G17" s="90">
        <v>4.20092</v>
      </c>
      <c r="H17" s="91"/>
      <c r="I17" s="89">
        <v>0</v>
      </c>
      <c r="J17" s="90">
        <v>0</v>
      </c>
      <c r="K17" s="90">
        <v>0</v>
      </c>
      <c r="L17" s="90">
        <v>0</v>
      </c>
      <c r="M17" s="90">
        <v>0</v>
      </c>
      <c r="N17" s="91">
        <v>0</v>
      </c>
      <c r="O17" s="89">
        <v>0</v>
      </c>
      <c r="P17" s="90">
        <v>0</v>
      </c>
      <c r="Q17" s="90">
        <v>0</v>
      </c>
      <c r="R17" s="90">
        <v>0</v>
      </c>
      <c r="S17" s="90">
        <v>0</v>
      </c>
      <c r="T17" s="91">
        <v>0</v>
      </c>
      <c r="V17" s="92">
        <f t="shared" si="1"/>
        <v>4.83</v>
      </c>
      <c r="W17" s="97">
        <f t="shared" si="2"/>
        <v>0</v>
      </c>
      <c r="X17" s="76"/>
      <c r="Z17" s="98">
        <f t="shared" si="0"/>
        <v>4.83</v>
      </c>
      <c r="AA17" s="99">
        <f t="shared" si="4"/>
        <v>5.13</v>
      </c>
    </row>
    <row r="18" spans="1:27" x14ac:dyDescent="0.25">
      <c r="A18" s="95">
        <f t="shared" ca="1" si="3"/>
        <v>45271</v>
      </c>
      <c r="B18" s="96">
        <v>15</v>
      </c>
      <c r="C18" s="89">
        <v>386.9</v>
      </c>
      <c r="D18" s="90">
        <v>104</v>
      </c>
      <c r="E18" s="90"/>
      <c r="F18" s="90">
        <v>4.9991700000000003</v>
      </c>
      <c r="G18" s="90">
        <v>4.3000100000000003</v>
      </c>
      <c r="H18" s="91"/>
      <c r="I18" s="89">
        <v>0</v>
      </c>
      <c r="J18" s="90">
        <v>0</v>
      </c>
      <c r="K18" s="90">
        <v>0</v>
      </c>
      <c r="L18" s="90">
        <v>0</v>
      </c>
      <c r="M18" s="90">
        <v>0</v>
      </c>
      <c r="N18" s="91">
        <v>0</v>
      </c>
      <c r="O18" s="89">
        <v>0</v>
      </c>
      <c r="P18" s="90">
        <v>0</v>
      </c>
      <c r="Q18" s="90">
        <v>0</v>
      </c>
      <c r="R18" s="90">
        <v>0</v>
      </c>
      <c r="S18" s="90">
        <v>0</v>
      </c>
      <c r="T18" s="91">
        <v>0</v>
      </c>
      <c r="V18" s="92">
        <f t="shared" si="1"/>
        <v>4.8499999999999996</v>
      </c>
      <c r="W18" s="97">
        <f t="shared" si="2"/>
        <v>0</v>
      </c>
      <c r="X18" s="76"/>
      <c r="Z18" s="98">
        <f t="shared" si="0"/>
        <v>4.8499999999999996</v>
      </c>
      <c r="AA18" s="99">
        <f t="shared" si="4"/>
        <v>5.13</v>
      </c>
    </row>
    <row r="19" spans="1:27" x14ac:dyDescent="0.25">
      <c r="A19" s="95">
        <f t="shared" ca="1" si="3"/>
        <v>45271</v>
      </c>
      <c r="B19" s="96">
        <v>16</v>
      </c>
      <c r="C19" s="89">
        <v>368.2</v>
      </c>
      <c r="D19" s="90">
        <v>157.46</v>
      </c>
      <c r="E19" s="90"/>
      <c r="F19" s="90">
        <v>4.99986</v>
      </c>
      <c r="G19" s="90">
        <v>4.0008400000000002</v>
      </c>
      <c r="H19" s="91"/>
      <c r="I19" s="89">
        <v>0</v>
      </c>
      <c r="J19" s="90">
        <v>0</v>
      </c>
      <c r="K19" s="90">
        <v>0</v>
      </c>
      <c r="L19" s="90">
        <v>0</v>
      </c>
      <c r="M19" s="90">
        <v>0</v>
      </c>
      <c r="N19" s="91">
        <v>0</v>
      </c>
      <c r="O19" s="89">
        <v>0</v>
      </c>
      <c r="P19" s="90">
        <v>0</v>
      </c>
      <c r="Q19" s="90">
        <v>0</v>
      </c>
      <c r="R19" s="90">
        <v>0</v>
      </c>
      <c r="S19" s="90">
        <v>0</v>
      </c>
      <c r="T19" s="91">
        <v>0</v>
      </c>
      <c r="V19" s="92">
        <f t="shared" si="1"/>
        <v>4.7</v>
      </c>
      <c r="W19" s="97">
        <f t="shared" si="2"/>
        <v>0</v>
      </c>
      <c r="X19" s="76"/>
      <c r="Z19" s="98">
        <f t="shared" si="0"/>
        <v>4.7</v>
      </c>
      <c r="AA19" s="99">
        <f t="shared" si="4"/>
        <v>5.13</v>
      </c>
    </row>
    <row r="20" spans="1:27" x14ac:dyDescent="0.25">
      <c r="A20" s="95">
        <f t="shared" ca="1" si="3"/>
        <v>45271</v>
      </c>
      <c r="B20" s="96">
        <v>17</v>
      </c>
      <c r="C20" s="89">
        <v>458.4</v>
      </c>
      <c r="D20" s="90">
        <v>217</v>
      </c>
      <c r="E20" s="90"/>
      <c r="F20" s="90">
        <v>4.9995699999999994</v>
      </c>
      <c r="G20" s="90">
        <v>5.0003500000000001</v>
      </c>
      <c r="H20" s="91"/>
      <c r="I20" s="89">
        <v>0</v>
      </c>
      <c r="J20" s="90">
        <v>0</v>
      </c>
      <c r="K20" s="90">
        <v>0</v>
      </c>
      <c r="L20" s="90">
        <v>0</v>
      </c>
      <c r="M20" s="90">
        <v>0</v>
      </c>
      <c r="N20" s="91">
        <v>0</v>
      </c>
      <c r="O20" s="89">
        <v>0</v>
      </c>
      <c r="P20" s="90">
        <v>0</v>
      </c>
      <c r="Q20" s="90">
        <v>0</v>
      </c>
      <c r="R20" s="90">
        <v>0</v>
      </c>
      <c r="S20" s="90">
        <v>0</v>
      </c>
      <c r="T20" s="91">
        <v>0</v>
      </c>
      <c r="V20" s="92">
        <f t="shared" si="1"/>
        <v>5</v>
      </c>
      <c r="W20" s="97">
        <f t="shared" si="2"/>
        <v>0</v>
      </c>
      <c r="X20" s="76"/>
      <c r="Z20" s="98">
        <f t="shared" si="0"/>
        <v>5</v>
      </c>
      <c r="AA20" s="99">
        <f t="shared" si="4"/>
        <v>5.13</v>
      </c>
    </row>
    <row r="21" spans="1:27" x14ac:dyDescent="0.25">
      <c r="A21" s="95">
        <f t="shared" ca="1" si="3"/>
        <v>45271</v>
      </c>
      <c r="B21" s="96">
        <v>18</v>
      </c>
      <c r="C21" s="89">
        <v>458</v>
      </c>
      <c r="D21" s="90">
        <v>198.4</v>
      </c>
      <c r="E21" s="90"/>
      <c r="F21" s="90">
        <v>5.4990899999999998</v>
      </c>
      <c r="G21" s="90">
        <v>5.0004200000000001</v>
      </c>
      <c r="H21" s="91"/>
      <c r="I21" s="89">
        <v>0</v>
      </c>
      <c r="J21" s="90">
        <v>0</v>
      </c>
      <c r="K21" s="90">
        <v>0</v>
      </c>
      <c r="L21" s="90">
        <v>0</v>
      </c>
      <c r="M21" s="90">
        <v>0</v>
      </c>
      <c r="N21" s="91">
        <v>0</v>
      </c>
      <c r="O21" s="89">
        <v>0</v>
      </c>
      <c r="P21" s="90">
        <v>0</v>
      </c>
      <c r="Q21" s="90">
        <v>0</v>
      </c>
      <c r="R21" s="90">
        <v>0</v>
      </c>
      <c r="S21" s="90">
        <v>0</v>
      </c>
      <c r="T21" s="91">
        <v>0</v>
      </c>
      <c r="V21" s="92">
        <f t="shared" si="1"/>
        <v>5.35</v>
      </c>
      <c r="W21" s="97">
        <f t="shared" si="2"/>
        <v>0</v>
      </c>
      <c r="X21" s="76"/>
      <c r="Z21" s="98">
        <f t="shared" si="0"/>
        <v>5.35</v>
      </c>
      <c r="AA21" s="99">
        <f t="shared" si="4"/>
        <v>5.13</v>
      </c>
    </row>
    <row r="22" spans="1:27" x14ac:dyDescent="0.25">
      <c r="A22" s="95">
        <f t="shared" ca="1" si="3"/>
        <v>45271</v>
      </c>
      <c r="B22" s="96">
        <v>19</v>
      </c>
      <c r="C22" s="89">
        <v>454.6</v>
      </c>
      <c r="D22" s="90">
        <v>191.4</v>
      </c>
      <c r="E22" s="90"/>
      <c r="F22" s="90">
        <v>5.1966700000000001</v>
      </c>
      <c r="G22" s="90">
        <v>5.0004399999999993</v>
      </c>
      <c r="H22" s="91"/>
      <c r="I22" s="89">
        <v>0</v>
      </c>
      <c r="J22" s="90">
        <v>0</v>
      </c>
      <c r="K22" s="90">
        <v>0</v>
      </c>
      <c r="L22" s="90">
        <v>0</v>
      </c>
      <c r="M22" s="90">
        <v>0</v>
      </c>
      <c r="N22" s="91">
        <v>0</v>
      </c>
      <c r="O22" s="89">
        <v>0</v>
      </c>
      <c r="P22" s="90">
        <v>0</v>
      </c>
      <c r="Q22" s="90">
        <v>0</v>
      </c>
      <c r="R22" s="90">
        <v>0</v>
      </c>
      <c r="S22" s="90">
        <v>0</v>
      </c>
      <c r="T22" s="91">
        <v>0</v>
      </c>
      <c r="V22" s="92">
        <f t="shared" si="1"/>
        <v>5.14</v>
      </c>
      <c r="W22" s="97">
        <f t="shared" si="2"/>
        <v>0</v>
      </c>
      <c r="X22" s="76"/>
      <c r="Z22" s="98">
        <f t="shared" si="0"/>
        <v>5.14</v>
      </c>
      <c r="AA22" s="99">
        <f t="shared" si="4"/>
        <v>5.13</v>
      </c>
    </row>
    <row r="23" spans="1:27" x14ac:dyDescent="0.25">
      <c r="A23" s="95">
        <f t="shared" ca="1" si="3"/>
        <v>45271</v>
      </c>
      <c r="B23" s="96">
        <v>20</v>
      </c>
      <c r="C23" s="89">
        <v>454.5</v>
      </c>
      <c r="D23" s="90">
        <v>160.30000000000001</v>
      </c>
      <c r="E23" s="90"/>
      <c r="F23" s="90">
        <v>5.4803000000000006</v>
      </c>
      <c r="G23" s="90">
        <v>5.00054</v>
      </c>
      <c r="H23" s="91"/>
      <c r="I23" s="89">
        <v>0</v>
      </c>
      <c r="J23" s="90">
        <v>0</v>
      </c>
      <c r="K23" s="90">
        <v>0</v>
      </c>
      <c r="L23" s="90">
        <v>0</v>
      </c>
      <c r="M23" s="90">
        <v>0</v>
      </c>
      <c r="N23" s="91">
        <v>0</v>
      </c>
      <c r="O23" s="89">
        <v>0</v>
      </c>
      <c r="P23" s="90">
        <v>0</v>
      </c>
      <c r="Q23" s="90">
        <v>0</v>
      </c>
      <c r="R23" s="90">
        <v>0</v>
      </c>
      <c r="S23" s="90">
        <v>0</v>
      </c>
      <c r="T23" s="91">
        <v>0</v>
      </c>
      <c r="V23" s="92">
        <f t="shared" si="1"/>
        <v>5.36</v>
      </c>
      <c r="W23" s="97">
        <f t="shared" si="2"/>
        <v>0</v>
      </c>
      <c r="X23" s="76"/>
      <c r="Z23" s="98">
        <f t="shared" si="0"/>
        <v>5.36</v>
      </c>
      <c r="AA23" s="99">
        <f t="shared" si="4"/>
        <v>5.13</v>
      </c>
    </row>
    <row r="24" spans="1:27" x14ac:dyDescent="0.25">
      <c r="A24" s="95">
        <f t="shared" ca="1" si="3"/>
        <v>45271</v>
      </c>
      <c r="B24" s="96">
        <v>21</v>
      </c>
      <c r="C24" s="89">
        <v>474.6</v>
      </c>
      <c r="D24" s="90">
        <v>110</v>
      </c>
      <c r="E24" s="90"/>
      <c r="F24" s="90">
        <v>5.8997000000000002</v>
      </c>
      <c r="G24" s="90">
        <v>5.0007099999999998</v>
      </c>
      <c r="H24" s="91"/>
      <c r="I24" s="89">
        <v>0</v>
      </c>
      <c r="J24" s="90">
        <v>0</v>
      </c>
      <c r="K24" s="90">
        <v>0</v>
      </c>
      <c r="L24" s="90">
        <v>0</v>
      </c>
      <c r="M24" s="90">
        <v>0</v>
      </c>
      <c r="N24" s="91">
        <v>0</v>
      </c>
      <c r="O24" s="89">
        <v>0</v>
      </c>
      <c r="P24" s="90">
        <v>0</v>
      </c>
      <c r="Q24" s="90">
        <v>0</v>
      </c>
      <c r="R24" s="90">
        <v>0</v>
      </c>
      <c r="S24" s="90">
        <v>0</v>
      </c>
      <c r="T24" s="91">
        <v>0</v>
      </c>
      <c r="V24" s="92">
        <f t="shared" si="1"/>
        <v>5.73</v>
      </c>
      <c r="W24" s="97">
        <f t="shared" si="2"/>
        <v>0</v>
      </c>
      <c r="X24" s="76"/>
      <c r="Z24" s="98">
        <f t="shared" si="0"/>
        <v>5.73</v>
      </c>
      <c r="AA24" s="99">
        <f t="shared" si="4"/>
        <v>5.13</v>
      </c>
    </row>
    <row r="25" spans="1:27" x14ac:dyDescent="0.25">
      <c r="A25" s="95">
        <f t="shared" ca="1" si="3"/>
        <v>45271</v>
      </c>
      <c r="B25" s="96">
        <v>22</v>
      </c>
      <c r="C25" s="89">
        <v>463.6</v>
      </c>
      <c r="D25" s="90">
        <v>69.400000000000006</v>
      </c>
      <c r="E25" s="90"/>
      <c r="F25" s="90">
        <v>5.63964</v>
      </c>
      <c r="G25" s="90">
        <v>5.0008500000000007</v>
      </c>
      <c r="H25" s="91"/>
      <c r="I25" s="89">
        <v>0</v>
      </c>
      <c r="J25" s="90">
        <v>0</v>
      </c>
      <c r="K25" s="90">
        <v>0</v>
      </c>
      <c r="L25" s="90">
        <v>0</v>
      </c>
      <c r="M25" s="90">
        <v>0</v>
      </c>
      <c r="N25" s="91">
        <v>0</v>
      </c>
      <c r="O25" s="89">
        <v>0</v>
      </c>
      <c r="P25" s="90">
        <v>0</v>
      </c>
      <c r="Q25" s="90">
        <v>0</v>
      </c>
      <c r="R25" s="90">
        <v>0</v>
      </c>
      <c r="S25" s="90">
        <v>0</v>
      </c>
      <c r="T25" s="91">
        <v>0</v>
      </c>
      <c r="V25" s="92">
        <f t="shared" si="1"/>
        <v>5.56</v>
      </c>
      <c r="W25" s="97">
        <f t="shared" si="2"/>
        <v>0</v>
      </c>
      <c r="X25" s="76"/>
      <c r="Z25" s="98">
        <f t="shared" si="0"/>
        <v>5.56</v>
      </c>
      <c r="AA25" s="99">
        <f t="shared" si="4"/>
        <v>5.13</v>
      </c>
    </row>
    <row r="26" spans="1:27" x14ac:dyDescent="0.25">
      <c r="A26" s="95">
        <f t="shared" ca="1" si="3"/>
        <v>45271</v>
      </c>
      <c r="B26" s="96">
        <v>23</v>
      </c>
      <c r="C26" s="89">
        <v>444</v>
      </c>
      <c r="D26" s="90">
        <v>23</v>
      </c>
      <c r="E26" s="90"/>
      <c r="F26" s="90">
        <v>5.2608999999999995</v>
      </c>
      <c r="G26" s="90">
        <v>5.2609399999999997</v>
      </c>
      <c r="H26" s="91"/>
      <c r="I26" s="89">
        <v>0</v>
      </c>
      <c r="J26" s="90">
        <v>0</v>
      </c>
      <c r="K26" s="90">
        <v>0</v>
      </c>
      <c r="L26" s="90">
        <v>0</v>
      </c>
      <c r="M26" s="90">
        <v>0</v>
      </c>
      <c r="N26" s="91">
        <v>0</v>
      </c>
      <c r="O26" s="89">
        <v>0</v>
      </c>
      <c r="P26" s="90">
        <v>0</v>
      </c>
      <c r="Q26" s="90">
        <v>0</v>
      </c>
      <c r="R26" s="90">
        <v>0</v>
      </c>
      <c r="S26" s="90">
        <v>0</v>
      </c>
      <c r="T26" s="91">
        <v>0</v>
      </c>
      <c r="V26" s="92">
        <f t="shared" si="1"/>
        <v>5.26</v>
      </c>
      <c r="W26" s="97">
        <f t="shared" si="2"/>
        <v>0</v>
      </c>
      <c r="X26" s="76"/>
      <c r="Z26" s="98">
        <f t="shared" si="0"/>
        <v>5.26</v>
      </c>
      <c r="AA26" s="99">
        <f t="shared" si="4"/>
        <v>5.13</v>
      </c>
    </row>
    <row r="27" spans="1:27" x14ac:dyDescent="0.25">
      <c r="A27" s="95">
        <f t="shared" ca="1" si="3"/>
        <v>45271</v>
      </c>
      <c r="B27" s="96">
        <v>24</v>
      </c>
      <c r="C27" s="89">
        <v>456.4</v>
      </c>
      <c r="D27" s="90">
        <v>23</v>
      </c>
      <c r="E27" s="90"/>
      <c r="F27" s="90">
        <v>4.8485299999999993</v>
      </c>
      <c r="G27" s="90">
        <v>5.2609899999999996</v>
      </c>
      <c r="H27" s="91"/>
      <c r="I27" s="89">
        <v>0</v>
      </c>
      <c r="J27" s="90">
        <v>0</v>
      </c>
      <c r="K27" s="90">
        <v>0</v>
      </c>
      <c r="L27" s="90">
        <v>0</v>
      </c>
      <c r="M27" s="90">
        <v>0</v>
      </c>
      <c r="N27" s="91">
        <v>0</v>
      </c>
      <c r="O27" s="89">
        <v>0</v>
      </c>
      <c r="P27" s="90">
        <v>0</v>
      </c>
      <c r="Q27" s="90">
        <v>0</v>
      </c>
      <c r="R27" s="90">
        <v>0</v>
      </c>
      <c r="S27" s="90">
        <v>0</v>
      </c>
      <c r="T27" s="91">
        <v>0</v>
      </c>
      <c r="V27" s="92">
        <f t="shared" si="1"/>
        <v>4.87</v>
      </c>
      <c r="W27" s="97">
        <f t="shared" si="2"/>
        <v>0</v>
      </c>
      <c r="X27" s="76"/>
      <c r="Z27" s="98">
        <f t="shared" si="0"/>
        <v>4.87</v>
      </c>
      <c r="AA27" s="99">
        <f t="shared" si="4"/>
        <v>5.13</v>
      </c>
    </row>
    <row r="28" spans="1:27" x14ac:dyDescent="0.25">
      <c r="A28" s="95">
        <f t="shared" ca="1" si="3"/>
        <v>45271</v>
      </c>
      <c r="B28" s="96">
        <v>25</v>
      </c>
      <c r="C28" s="89">
        <v>461.3</v>
      </c>
      <c r="D28" s="90">
        <v>23</v>
      </c>
      <c r="E28" s="90"/>
      <c r="F28" s="90">
        <v>5.63591</v>
      </c>
      <c r="G28" s="90">
        <v>5.2600500000000006</v>
      </c>
      <c r="H28" s="91"/>
      <c r="I28" s="89">
        <v>0</v>
      </c>
      <c r="J28" s="90">
        <v>0</v>
      </c>
      <c r="K28" s="90">
        <v>0</v>
      </c>
      <c r="L28" s="90">
        <v>0</v>
      </c>
      <c r="M28" s="90">
        <v>0</v>
      </c>
      <c r="N28" s="91">
        <v>0</v>
      </c>
      <c r="O28" s="89">
        <v>0</v>
      </c>
      <c r="P28" s="90">
        <v>0</v>
      </c>
      <c r="Q28" s="90">
        <v>0</v>
      </c>
      <c r="R28" s="90">
        <v>0</v>
      </c>
      <c r="S28" s="90">
        <v>0</v>
      </c>
      <c r="T28" s="91">
        <v>0</v>
      </c>
      <c r="V28" s="92">
        <f t="shared" si="1"/>
        <v>5.62</v>
      </c>
      <c r="W28" s="97">
        <f t="shared" si="2"/>
        <v>0</v>
      </c>
      <c r="X28" s="76"/>
      <c r="Z28" s="98">
        <f t="shared" si="0"/>
        <v>5.62</v>
      </c>
      <c r="AA28" s="99">
        <f t="shared" si="4"/>
        <v>5.13</v>
      </c>
    </row>
    <row r="29" spans="1:27" x14ac:dyDescent="0.25">
      <c r="A29" s="95">
        <f t="shared" ca="1" si="3"/>
        <v>45271</v>
      </c>
      <c r="B29" s="96">
        <v>26</v>
      </c>
      <c r="C29" s="89">
        <v>480.5</v>
      </c>
      <c r="D29" s="90">
        <v>23</v>
      </c>
      <c r="E29" s="90"/>
      <c r="F29" s="90">
        <v>5.8995299999999995</v>
      </c>
      <c r="G29" s="90">
        <v>5.2605399999999998</v>
      </c>
      <c r="H29" s="91"/>
      <c r="I29" s="89">
        <v>0</v>
      </c>
      <c r="J29" s="90">
        <v>0</v>
      </c>
      <c r="K29" s="90">
        <v>0</v>
      </c>
      <c r="L29" s="90">
        <v>0</v>
      </c>
      <c r="M29" s="90">
        <v>0</v>
      </c>
      <c r="N29" s="91">
        <v>0</v>
      </c>
      <c r="O29" s="89">
        <v>0</v>
      </c>
      <c r="P29" s="90">
        <v>0</v>
      </c>
      <c r="Q29" s="90">
        <v>0</v>
      </c>
      <c r="R29" s="90">
        <v>0</v>
      </c>
      <c r="S29" s="90">
        <v>0</v>
      </c>
      <c r="T29" s="91">
        <v>0</v>
      </c>
      <c r="V29" s="92">
        <f t="shared" si="1"/>
        <v>5.87</v>
      </c>
      <c r="W29" s="97">
        <f t="shared" si="2"/>
        <v>0</v>
      </c>
      <c r="X29" s="76"/>
      <c r="Z29" s="98">
        <f t="shared" si="0"/>
        <v>5.87</v>
      </c>
      <c r="AA29" s="99">
        <f t="shared" si="4"/>
        <v>5.13</v>
      </c>
    </row>
    <row r="30" spans="1:27" x14ac:dyDescent="0.25">
      <c r="A30" s="95">
        <f t="shared" ca="1" si="3"/>
        <v>45271</v>
      </c>
      <c r="B30" s="96">
        <v>27</v>
      </c>
      <c r="C30" s="89">
        <v>538.1</v>
      </c>
      <c r="D30" s="90">
        <v>23</v>
      </c>
      <c r="E30" s="90"/>
      <c r="F30" s="90">
        <v>7.1097399999999995</v>
      </c>
      <c r="G30" s="90">
        <v>5.2605600000000008</v>
      </c>
      <c r="H30" s="91"/>
      <c r="I30" s="89">
        <v>0</v>
      </c>
      <c r="J30" s="90">
        <v>0</v>
      </c>
      <c r="K30" s="90">
        <v>0</v>
      </c>
      <c r="L30" s="90">
        <v>0</v>
      </c>
      <c r="M30" s="90">
        <v>0</v>
      </c>
      <c r="N30" s="91">
        <v>0</v>
      </c>
      <c r="O30" s="89">
        <v>0</v>
      </c>
      <c r="P30" s="90">
        <v>0</v>
      </c>
      <c r="Q30" s="90">
        <v>0</v>
      </c>
      <c r="R30" s="90">
        <v>0</v>
      </c>
      <c r="S30" s="90">
        <v>0</v>
      </c>
      <c r="T30" s="91">
        <v>0</v>
      </c>
      <c r="V30" s="92">
        <f t="shared" si="1"/>
        <v>7.03</v>
      </c>
      <c r="W30" s="97">
        <f t="shared" si="2"/>
        <v>0</v>
      </c>
      <c r="X30" s="76"/>
      <c r="Z30" s="98">
        <f t="shared" si="0"/>
        <v>7.03</v>
      </c>
      <c r="AA30" s="99">
        <f t="shared" si="4"/>
        <v>5.13</v>
      </c>
    </row>
    <row r="31" spans="1:27" x14ac:dyDescent="0.25">
      <c r="A31" s="95">
        <f t="shared" ca="1" si="3"/>
        <v>45271</v>
      </c>
      <c r="B31" s="96">
        <v>28</v>
      </c>
      <c r="C31" s="89">
        <v>425.8</v>
      </c>
      <c r="D31" s="90">
        <v>23</v>
      </c>
      <c r="E31" s="90"/>
      <c r="F31" s="90">
        <v>8.0001599999999993</v>
      </c>
      <c r="G31" s="90">
        <v>5.2605900000000005</v>
      </c>
      <c r="H31" s="91"/>
      <c r="I31" s="89">
        <v>0</v>
      </c>
      <c r="J31" s="90">
        <v>0</v>
      </c>
      <c r="K31" s="90">
        <v>0</v>
      </c>
      <c r="L31" s="90">
        <v>0</v>
      </c>
      <c r="M31" s="90">
        <v>0</v>
      </c>
      <c r="N31" s="91">
        <v>0</v>
      </c>
      <c r="O31" s="89">
        <v>0</v>
      </c>
      <c r="P31" s="90">
        <v>0</v>
      </c>
      <c r="Q31" s="90">
        <v>0</v>
      </c>
      <c r="R31" s="90">
        <v>0</v>
      </c>
      <c r="S31" s="90">
        <v>0</v>
      </c>
      <c r="T31" s="91">
        <v>0</v>
      </c>
      <c r="V31" s="92">
        <f t="shared" si="1"/>
        <v>7.86</v>
      </c>
      <c r="W31" s="97">
        <f t="shared" si="2"/>
        <v>0</v>
      </c>
      <c r="X31" s="76"/>
      <c r="Z31" s="98">
        <f t="shared" si="0"/>
        <v>7.86</v>
      </c>
      <c r="AA31" s="99">
        <f t="shared" si="4"/>
        <v>5.13</v>
      </c>
    </row>
    <row r="32" spans="1:27" x14ac:dyDescent="0.25">
      <c r="A32" s="95">
        <f t="shared" ca="1" si="3"/>
        <v>45271</v>
      </c>
      <c r="B32" s="96">
        <v>29</v>
      </c>
      <c r="C32" s="89">
        <v>535.70000000000005</v>
      </c>
      <c r="D32" s="90">
        <v>23</v>
      </c>
      <c r="E32" s="90"/>
      <c r="F32" s="90">
        <v>7.3651299999999997</v>
      </c>
      <c r="G32" s="90">
        <v>5.5554300000000003</v>
      </c>
      <c r="H32" s="91"/>
      <c r="I32" s="89">
        <v>0</v>
      </c>
      <c r="J32" s="90">
        <v>0</v>
      </c>
      <c r="K32" s="90">
        <v>0</v>
      </c>
      <c r="L32" s="90">
        <v>0</v>
      </c>
      <c r="M32" s="90">
        <v>0</v>
      </c>
      <c r="N32" s="91">
        <v>0</v>
      </c>
      <c r="O32" s="89">
        <v>0</v>
      </c>
      <c r="P32" s="90">
        <v>0</v>
      </c>
      <c r="Q32" s="90">
        <v>0</v>
      </c>
      <c r="R32" s="90">
        <v>0</v>
      </c>
      <c r="S32" s="90">
        <v>0</v>
      </c>
      <c r="T32" s="91">
        <v>0</v>
      </c>
      <c r="V32" s="92">
        <f t="shared" si="1"/>
        <v>7.29</v>
      </c>
      <c r="W32" s="97">
        <f t="shared" si="2"/>
        <v>0</v>
      </c>
      <c r="X32" s="76"/>
      <c r="Z32" s="98">
        <f t="shared" si="0"/>
        <v>7.29</v>
      </c>
      <c r="AA32" s="99">
        <f t="shared" si="4"/>
        <v>5.13</v>
      </c>
    </row>
    <row r="33" spans="1:27" x14ac:dyDescent="0.25">
      <c r="A33" s="95">
        <f t="shared" ca="1" si="3"/>
        <v>45271</v>
      </c>
      <c r="B33" s="96">
        <v>30</v>
      </c>
      <c r="C33" s="89">
        <v>544.5</v>
      </c>
      <c r="D33" s="90">
        <v>23.1</v>
      </c>
      <c r="E33" s="90"/>
      <c r="F33" s="90">
        <v>7.109</v>
      </c>
      <c r="G33" s="90">
        <v>6.6662400000000002</v>
      </c>
      <c r="H33" s="91"/>
      <c r="I33" s="89">
        <v>0</v>
      </c>
      <c r="J33" s="90">
        <v>0</v>
      </c>
      <c r="K33" s="90">
        <v>0</v>
      </c>
      <c r="L33" s="90">
        <v>0</v>
      </c>
      <c r="M33" s="90">
        <v>0</v>
      </c>
      <c r="N33" s="91">
        <v>0</v>
      </c>
      <c r="O33" s="89">
        <v>0</v>
      </c>
      <c r="P33" s="90">
        <v>0</v>
      </c>
      <c r="Q33" s="90">
        <v>0</v>
      </c>
      <c r="R33" s="90">
        <v>0</v>
      </c>
      <c r="S33" s="90">
        <v>0</v>
      </c>
      <c r="T33" s="91">
        <v>0</v>
      </c>
      <c r="V33" s="92">
        <f t="shared" si="1"/>
        <v>7.09</v>
      </c>
      <c r="W33" s="97">
        <f t="shared" si="2"/>
        <v>0</v>
      </c>
      <c r="X33" s="76"/>
      <c r="Z33" s="98">
        <f t="shared" si="0"/>
        <v>7.09</v>
      </c>
      <c r="AA33" s="99">
        <f t="shared" si="4"/>
        <v>5.13</v>
      </c>
    </row>
    <row r="34" spans="1:27" x14ac:dyDescent="0.25">
      <c r="A34" s="95">
        <f t="shared" ca="1" si="3"/>
        <v>45271</v>
      </c>
      <c r="B34" s="96">
        <v>31</v>
      </c>
      <c r="C34" s="89">
        <v>478</v>
      </c>
      <c r="D34" s="90">
        <v>23.2</v>
      </c>
      <c r="E34" s="90"/>
      <c r="F34" s="90">
        <v>6.0693999999999999</v>
      </c>
      <c r="G34" s="90">
        <v>6.6666499999999997</v>
      </c>
      <c r="H34" s="91"/>
      <c r="I34" s="89">
        <v>0</v>
      </c>
      <c r="J34" s="90">
        <v>0</v>
      </c>
      <c r="K34" s="90">
        <v>0</v>
      </c>
      <c r="L34" s="90">
        <v>0</v>
      </c>
      <c r="M34" s="90">
        <v>0</v>
      </c>
      <c r="N34" s="91">
        <v>0</v>
      </c>
      <c r="O34" s="89">
        <v>0</v>
      </c>
      <c r="P34" s="90">
        <v>0</v>
      </c>
      <c r="Q34" s="90">
        <v>0</v>
      </c>
      <c r="R34" s="90">
        <v>0</v>
      </c>
      <c r="S34" s="90">
        <v>0</v>
      </c>
      <c r="T34" s="91">
        <v>0</v>
      </c>
      <c r="V34" s="92">
        <f t="shared" si="1"/>
        <v>6.1</v>
      </c>
      <c r="W34" s="97">
        <f t="shared" si="2"/>
        <v>0</v>
      </c>
      <c r="X34" s="76"/>
      <c r="Z34" s="98">
        <f t="shared" si="0"/>
        <v>6.1</v>
      </c>
      <c r="AA34" s="99">
        <f t="shared" si="4"/>
        <v>5.13</v>
      </c>
    </row>
    <row r="35" spans="1:27" x14ac:dyDescent="0.25">
      <c r="A35" s="95">
        <f t="shared" ca="1" si="3"/>
        <v>45271</v>
      </c>
      <c r="B35" s="96">
        <v>32</v>
      </c>
      <c r="C35" s="89">
        <v>954</v>
      </c>
      <c r="D35" s="90">
        <v>23.6</v>
      </c>
      <c r="E35" s="90"/>
      <c r="F35" s="90">
        <v>4.8053299999999997</v>
      </c>
      <c r="G35" s="90">
        <v>6.6666699999999999</v>
      </c>
      <c r="H35" s="91"/>
      <c r="I35" s="89">
        <v>0</v>
      </c>
      <c r="J35" s="90">
        <v>0</v>
      </c>
      <c r="K35" s="90">
        <v>0</v>
      </c>
      <c r="L35" s="90">
        <v>0</v>
      </c>
      <c r="M35" s="90">
        <v>0</v>
      </c>
      <c r="N35" s="91">
        <v>0</v>
      </c>
      <c r="O35" s="89">
        <v>0</v>
      </c>
      <c r="P35" s="90">
        <v>0</v>
      </c>
      <c r="Q35" s="90">
        <v>0</v>
      </c>
      <c r="R35" s="90">
        <v>0</v>
      </c>
      <c r="S35" s="90">
        <v>0</v>
      </c>
      <c r="T35" s="91">
        <v>0</v>
      </c>
      <c r="V35" s="92">
        <f t="shared" si="1"/>
        <v>4.8499999999999996</v>
      </c>
      <c r="W35" s="97">
        <f t="shared" si="2"/>
        <v>0</v>
      </c>
      <c r="X35" s="76"/>
      <c r="Z35" s="98">
        <f t="shared" si="0"/>
        <v>4.8499999999999996</v>
      </c>
      <c r="AA35" s="99">
        <f t="shared" si="4"/>
        <v>5.13</v>
      </c>
    </row>
    <row r="36" spans="1:27" x14ac:dyDescent="0.25">
      <c r="A36" s="95">
        <f t="shared" ca="1" si="3"/>
        <v>45271</v>
      </c>
      <c r="B36" s="96">
        <v>33</v>
      </c>
      <c r="C36" s="89">
        <v>1197.1499999999999</v>
      </c>
      <c r="D36" s="90">
        <v>23.8</v>
      </c>
      <c r="E36" s="90"/>
      <c r="F36" s="90">
        <v>4.5024100000000002</v>
      </c>
      <c r="G36" s="90">
        <v>6.6660399999999997</v>
      </c>
      <c r="H36" s="91"/>
      <c r="I36" s="89">
        <v>0</v>
      </c>
      <c r="J36" s="90">
        <v>0</v>
      </c>
      <c r="K36" s="90">
        <v>0</v>
      </c>
      <c r="L36" s="90">
        <v>0</v>
      </c>
      <c r="M36" s="90">
        <v>0</v>
      </c>
      <c r="N36" s="91">
        <v>0</v>
      </c>
      <c r="O36" s="89">
        <v>0</v>
      </c>
      <c r="P36" s="90">
        <v>0</v>
      </c>
      <c r="Q36" s="90">
        <v>0</v>
      </c>
      <c r="R36" s="90">
        <v>0</v>
      </c>
      <c r="S36" s="90">
        <v>0</v>
      </c>
      <c r="T36" s="91">
        <v>0</v>
      </c>
      <c r="V36" s="92">
        <f t="shared" si="1"/>
        <v>4.54</v>
      </c>
      <c r="W36" s="97">
        <f t="shared" si="2"/>
        <v>0</v>
      </c>
      <c r="X36" s="76"/>
      <c r="Z36" s="98">
        <f t="shared" si="0"/>
        <v>4.54</v>
      </c>
      <c r="AA36" s="99">
        <f t="shared" si="4"/>
        <v>5.13</v>
      </c>
    </row>
    <row r="37" spans="1:27" x14ac:dyDescent="0.25">
      <c r="A37" s="95">
        <f t="shared" ca="1" si="3"/>
        <v>45271</v>
      </c>
      <c r="B37" s="96">
        <v>34</v>
      </c>
      <c r="C37" s="89">
        <v>1082.7</v>
      </c>
      <c r="D37" s="90">
        <v>24.2</v>
      </c>
      <c r="E37" s="90"/>
      <c r="F37" s="90">
        <v>4.54901</v>
      </c>
      <c r="G37" s="90">
        <v>6.0009600000000001</v>
      </c>
      <c r="H37" s="91"/>
      <c r="I37" s="89">
        <v>0</v>
      </c>
      <c r="J37" s="90">
        <v>0</v>
      </c>
      <c r="K37" s="90">
        <v>0</v>
      </c>
      <c r="L37" s="90">
        <v>0</v>
      </c>
      <c r="M37" s="90">
        <v>0</v>
      </c>
      <c r="N37" s="91">
        <v>0</v>
      </c>
      <c r="O37" s="89">
        <v>0</v>
      </c>
      <c r="P37" s="90">
        <v>0</v>
      </c>
      <c r="Q37" s="90">
        <v>0</v>
      </c>
      <c r="R37" s="90">
        <v>0</v>
      </c>
      <c r="S37" s="90">
        <v>0</v>
      </c>
      <c r="T37" s="91">
        <v>0</v>
      </c>
      <c r="V37" s="92">
        <f t="shared" si="1"/>
        <v>4.58</v>
      </c>
      <c r="W37" s="97">
        <f t="shared" si="2"/>
        <v>0</v>
      </c>
      <c r="X37" s="76"/>
      <c r="Z37" s="98">
        <f t="shared" si="0"/>
        <v>4.58</v>
      </c>
      <c r="AA37" s="99">
        <f t="shared" si="4"/>
        <v>5.13</v>
      </c>
    </row>
    <row r="38" spans="1:27" x14ac:dyDescent="0.25">
      <c r="A38" s="95">
        <f t="shared" ca="1" si="3"/>
        <v>45271</v>
      </c>
      <c r="B38" s="96">
        <v>35</v>
      </c>
      <c r="C38" s="89">
        <v>1094.26</v>
      </c>
      <c r="D38" s="90">
        <v>24.4</v>
      </c>
      <c r="E38" s="90"/>
      <c r="F38" s="90">
        <v>4.5028199999999998</v>
      </c>
      <c r="G38" s="90">
        <v>6.0009100000000002</v>
      </c>
      <c r="H38" s="91"/>
      <c r="I38" s="89">
        <v>0</v>
      </c>
      <c r="J38" s="90">
        <v>0</v>
      </c>
      <c r="K38" s="90">
        <v>0</v>
      </c>
      <c r="L38" s="90">
        <v>0</v>
      </c>
      <c r="M38" s="90">
        <v>0</v>
      </c>
      <c r="N38" s="91">
        <v>0</v>
      </c>
      <c r="O38" s="89">
        <v>0</v>
      </c>
      <c r="P38" s="90">
        <v>0</v>
      </c>
      <c r="Q38" s="90">
        <v>0</v>
      </c>
      <c r="R38" s="90">
        <v>0</v>
      </c>
      <c r="S38" s="90">
        <v>0</v>
      </c>
      <c r="T38" s="91">
        <v>0</v>
      </c>
      <c r="V38" s="92">
        <f t="shared" si="1"/>
        <v>4.54</v>
      </c>
      <c r="W38" s="97">
        <f t="shared" si="2"/>
        <v>0</v>
      </c>
      <c r="X38" s="76"/>
      <c r="Z38" s="98">
        <f t="shared" si="0"/>
        <v>4.54</v>
      </c>
      <c r="AA38" s="99">
        <f t="shared" si="4"/>
        <v>5.13</v>
      </c>
    </row>
    <row r="39" spans="1:27" x14ac:dyDescent="0.25">
      <c r="A39" s="95">
        <f t="shared" ca="1" si="3"/>
        <v>45271</v>
      </c>
      <c r="B39" s="96">
        <v>36</v>
      </c>
      <c r="C39" s="89">
        <v>1075.1399999999999</v>
      </c>
      <c r="D39" s="90">
        <v>24.7</v>
      </c>
      <c r="E39" s="90"/>
      <c r="F39" s="90">
        <v>4.5029200000000005</v>
      </c>
      <c r="G39" s="90">
        <v>5.5556299999999998</v>
      </c>
      <c r="H39" s="91"/>
      <c r="I39" s="89">
        <v>0</v>
      </c>
      <c r="J39" s="90">
        <v>0</v>
      </c>
      <c r="K39" s="90">
        <v>0</v>
      </c>
      <c r="L39" s="90">
        <v>0</v>
      </c>
      <c r="M39" s="90">
        <v>0</v>
      </c>
      <c r="N39" s="91">
        <v>0</v>
      </c>
      <c r="O39" s="89">
        <v>0</v>
      </c>
      <c r="P39" s="90">
        <v>0</v>
      </c>
      <c r="Q39" s="90">
        <v>0</v>
      </c>
      <c r="R39" s="90">
        <v>0</v>
      </c>
      <c r="S39" s="90">
        <v>0</v>
      </c>
      <c r="T39" s="91">
        <v>0</v>
      </c>
      <c r="V39" s="92">
        <f t="shared" si="1"/>
        <v>4.53</v>
      </c>
      <c r="W39" s="97">
        <f t="shared" si="2"/>
        <v>0</v>
      </c>
      <c r="X39" s="76"/>
      <c r="Z39" s="98">
        <f t="shared" si="0"/>
        <v>4.53</v>
      </c>
      <c r="AA39" s="99">
        <f t="shared" si="4"/>
        <v>5.13</v>
      </c>
    </row>
    <row r="40" spans="1:27" x14ac:dyDescent="0.25">
      <c r="A40" s="95">
        <f t="shared" ca="1" si="3"/>
        <v>45271</v>
      </c>
      <c r="B40" s="96">
        <v>37</v>
      </c>
      <c r="C40" s="89">
        <v>1149.0999999999999</v>
      </c>
      <c r="D40" s="90">
        <v>24.9</v>
      </c>
      <c r="E40" s="90"/>
      <c r="F40" s="90">
        <v>4.5383999999999993</v>
      </c>
      <c r="G40" s="90">
        <v>5.2603900000000001</v>
      </c>
      <c r="H40" s="91"/>
      <c r="I40" s="89">
        <v>0</v>
      </c>
      <c r="J40" s="90">
        <v>0</v>
      </c>
      <c r="K40" s="90">
        <v>0</v>
      </c>
      <c r="L40" s="90">
        <v>0</v>
      </c>
      <c r="M40" s="90">
        <v>0</v>
      </c>
      <c r="N40" s="91">
        <v>0</v>
      </c>
      <c r="O40" s="89">
        <v>0</v>
      </c>
      <c r="P40" s="90">
        <v>0</v>
      </c>
      <c r="Q40" s="90">
        <v>0</v>
      </c>
      <c r="R40" s="90">
        <v>0</v>
      </c>
      <c r="S40" s="90">
        <v>0</v>
      </c>
      <c r="T40" s="91">
        <v>0</v>
      </c>
      <c r="V40" s="92">
        <f t="shared" si="1"/>
        <v>4.55</v>
      </c>
      <c r="W40" s="97">
        <f t="shared" si="2"/>
        <v>0</v>
      </c>
      <c r="X40" s="76"/>
      <c r="Z40" s="98">
        <f t="shared" si="0"/>
        <v>4.55</v>
      </c>
      <c r="AA40" s="99">
        <f t="shared" si="4"/>
        <v>5.13</v>
      </c>
    </row>
    <row r="41" spans="1:27" x14ac:dyDescent="0.25">
      <c r="A41" s="95">
        <f t="shared" ca="1" si="3"/>
        <v>45271</v>
      </c>
      <c r="B41" s="96">
        <v>38</v>
      </c>
      <c r="C41" s="89">
        <v>1163.7</v>
      </c>
      <c r="D41" s="90">
        <v>25.1</v>
      </c>
      <c r="E41" s="90"/>
      <c r="F41" s="90">
        <v>4.5380200000000004</v>
      </c>
      <c r="G41" s="90">
        <v>5.26004</v>
      </c>
      <c r="H41" s="91"/>
      <c r="I41" s="89">
        <v>0</v>
      </c>
      <c r="J41" s="90">
        <v>0</v>
      </c>
      <c r="K41" s="90">
        <v>0</v>
      </c>
      <c r="L41" s="90">
        <v>0</v>
      </c>
      <c r="M41" s="90">
        <v>0</v>
      </c>
      <c r="N41" s="91">
        <v>0</v>
      </c>
      <c r="O41" s="89">
        <v>0</v>
      </c>
      <c r="P41" s="90">
        <v>0</v>
      </c>
      <c r="Q41" s="90">
        <v>0</v>
      </c>
      <c r="R41" s="90">
        <v>0</v>
      </c>
      <c r="S41" s="90">
        <v>0</v>
      </c>
      <c r="T41" s="91">
        <v>0</v>
      </c>
      <c r="V41" s="92">
        <f t="shared" si="1"/>
        <v>4.55</v>
      </c>
      <c r="W41" s="97">
        <f t="shared" si="2"/>
        <v>0</v>
      </c>
      <c r="X41" s="76"/>
      <c r="Z41" s="98">
        <f t="shared" si="0"/>
        <v>4.55</v>
      </c>
      <c r="AA41" s="99">
        <f t="shared" si="4"/>
        <v>5.13</v>
      </c>
    </row>
    <row r="42" spans="1:27" x14ac:dyDescent="0.25">
      <c r="A42" s="95">
        <f t="shared" ca="1" si="3"/>
        <v>45271</v>
      </c>
      <c r="B42" s="96">
        <v>39</v>
      </c>
      <c r="C42" s="89">
        <v>878.90000000000009</v>
      </c>
      <c r="D42" s="90">
        <v>25.2</v>
      </c>
      <c r="E42" s="90"/>
      <c r="F42" s="90">
        <v>4.5707200000000006</v>
      </c>
      <c r="G42" s="90">
        <v>5.1001000000000003</v>
      </c>
      <c r="H42" s="91"/>
      <c r="I42" s="89">
        <v>0</v>
      </c>
      <c r="J42" s="90">
        <v>0</v>
      </c>
      <c r="K42" s="90">
        <v>0</v>
      </c>
      <c r="L42" s="90">
        <v>0</v>
      </c>
      <c r="M42" s="90">
        <v>0</v>
      </c>
      <c r="N42" s="91">
        <v>0</v>
      </c>
      <c r="O42" s="89">
        <v>0</v>
      </c>
      <c r="P42" s="90">
        <v>0</v>
      </c>
      <c r="Q42" s="90">
        <v>0</v>
      </c>
      <c r="R42" s="90">
        <v>0</v>
      </c>
      <c r="S42" s="90">
        <v>0</v>
      </c>
      <c r="T42" s="91">
        <v>0</v>
      </c>
      <c r="V42" s="92">
        <f t="shared" si="1"/>
        <v>4.59</v>
      </c>
      <c r="W42" s="97">
        <f t="shared" si="2"/>
        <v>0</v>
      </c>
      <c r="X42" s="76"/>
      <c r="Z42" s="98">
        <f t="shared" si="0"/>
        <v>4.59</v>
      </c>
      <c r="AA42" s="99">
        <f t="shared" si="4"/>
        <v>5.13</v>
      </c>
    </row>
    <row r="43" spans="1:27" x14ac:dyDescent="0.25">
      <c r="A43" s="95">
        <f t="shared" ca="1" si="3"/>
        <v>45271</v>
      </c>
      <c r="B43" s="96">
        <v>40</v>
      </c>
      <c r="C43" s="89">
        <v>731.33999999999992</v>
      </c>
      <c r="D43" s="90">
        <v>25.3</v>
      </c>
      <c r="E43" s="90"/>
      <c r="F43" s="90">
        <v>4.8001800000000001</v>
      </c>
      <c r="G43" s="90">
        <v>5.1000699999999997</v>
      </c>
      <c r="H43" s="91"/>
      <c r="I43" s="89">
        <v>0</v>
      </c>
      <c r="J43" s="90">
        <v>0</v>
      </c>
      <c r="K43" s="90">
        <v>0</v>
      </c>
      <c r="L43" s="90">
        <v>0</v>
      </c>
      <c r="M43" s="90">
        <v>0</v>
      </c>
      <c r="N43" s="91">
        <v>0</v>
      </c>
      <c r="O43" s="89">
        <v>0</v>
      </c>
      <c r="P43" s="90">
        <v>0</v>
      </c>
      <c r="Q43" s="90">
        <v>0</v>
      </c>
      <c r="R43" s="90">
        <v>0</v>
      </c>
      <c r="S43" s="90">
        <v>0</v>
      </c>
      <c r="T43" s="91">
        <v>0</v>
      </c>
      <c r="V43" s="92">
        <f t="shared" si="1"/>
        <v>4.8099999999999996</v>
      </c>
      <c r="W43" s="97">
        <f t="shared" si="2"/>
        <v>0</v>
      </c>
      <c r="X43" s="76"/>
      <c r="Z43" s="98">
        <f t="shared" si="0"/>
        <v>4.8099999999999996</v>
      </c>
      <c r="AA43" s="99">
        <f t="shared" si="4"/>
        <v>5.13</v>
      </c>
    </row>
    <row r="44" spans="1:27" x14ac:dyDescent="0.25">
      <c r="A44" s="95">
        <f t="shared" ca="1" si="3"/>
        <v>45271</v>
      </c>
      <c r="B44" s="96">
        <v>41</v>
      </c>
      <c r="C44" s="89">
        <v>1469.9</v>
      </c>
      <c r="D44" s="90">
        <v>25.5</v>
      </c>
      <c r="E44" s="90"/>
      <c r="F44" s="90">
        <v>4.4388399999999999</v>
      </c>
      <c r="G44" s="90">
        <v>5.2604899999999999</v>
      </c>
      <c r="H44" s="91"/>
      <c r="I44" s="89">
        <v>0</v>
      </c>
      <c r="J44" s="90">
        <v>0</v>
      </c>
      <c r="K44" s="90">
        <v>0</v>
      </c>
      <c r="L44" s="90">
        <v>0</v>
      </c>
      <c r="M44" s="90">
        <v>0</v>
      </c>
      <c r="N44" s="91">
        <v>0</v>
      </c>
      <c r="O44" s="89">
        <v>0</v>
      </c>
      <c r="P44" s="90">
        <v>0</v>
      </c>
      <c r="Q44" s="90">
        <v>0</v>
      </c>
      <c r="R44" s="90">
        <v>0</v>
      </c>
      <c r="S44" s="90">
        <v>0</v>
      </c>
      <c r="T44" s="91">
        <v>0</v>
      </c>
      <c r="V44" s="92">
        <f t="shared" si="1"/>
        <v>4.45</v>
      </c>
      <c r="W44" s="97">
        <f t="shared" si="2"/>
        <v>0</v>
      </c>
      <c r="X44" s="76"/>
      <c r="Z44" s="98">
        <f t="shared" si="0"/>
        <v>4.45</v>
      </c>
      <c r="AA44" s="99">
        <f t="shared" si="4"/>
        <v>5.13</v>
      </c>
    </row>
    <row r="45" spans="1:27" x14ac:dyDescent="0.25">
      <c r="A45" s="95">
        <f t="shared" ca="1" si="3"/>
        <v>45271</v>
      </c>
      <c r="B45" s="96">
        <v>42</v>
      </c>
      <c r="C45" s="89">
        <v>1165</v>
      </c>
      <c r="D45" s="90">
        <v>34.700000000000003</v>
      </c>
      <c r="E45" s="90"/>
      <c r="F45" s="90">
        <v>4.54739</v>
      </c>
      <c r="G45" s="90">
        <v>5.0009700000000006</v>
      </c>
      <c r="H45" s="91"/>
      <c r="I45" s="89">
        <v>0</v>
      </c>
      <c r="J45" s="90">
        <v>0</v>
      </c>
      <c r="K45" s="90">
        <v>0</v>
      </c>
      <c r="L45" s="90">
        <v>0</v>
      </c>
      <c r="M45" s="90">
        <v>0</v>
      </c>
      <c r="N45" s="91">
        <v>0</v>
      </c>
      <c r="O45" s="89">
        <v>0</v>
      </c>
      <c r="P45" s="90">
        <v>0</v>
      </c>
      <c r="Q45" s="90">
        <v>0</v>
      </c>
      <c r="R45" s="90">
        <v>0</v>
      </c>
      <c r="S45" s="90">
        <v>0</v>
      </c>
      <c r="T45" s="91">
        <v>0</v>
      </c>
      <c r="V45" s="92">
        <f t="shared" si="1"/>
        <v>4.5599999999999996</v>
      </c>
      <c r="W45" s="97">
        <f t="shared" si="2"/>
        <v>0</v>
      </c>
      <c r="X45" s="76"/>
      <c r="Z45" s="98">
        <f t="shared" si="0"/>
        <v>4.5599999999999996</v>
      </c>
      <c r="AA45" s="99">
        <f t="shared" si="4"/>
        <v>5.13</v>
      </c>
    </row>
    <row r="46" spans="1:27" x14ac:dyDescent="0.25">
      <c r="A46" s="95">
        <f t="shared" ca="1" si="3"/>
        <v>45271</v>
      </c>
      <c r="B46" s="100">
        <v>43</v>
      </c>
      <c r="C46" s="89">
        <v>1017.43</v>
      </c>
      <c r="D46" s="90">
        <v>132.20000000000002</v>
      </c>
      <c r="E46" s="90"/>
      <c r="F46" s="90">
        <v>4.5703199999999997</v>
      </c>
      <c r="G46" s="90">
        <v>5.0006499999999994</v>
      </c>
      <c r="H46" s="91"/>
      <c r="I46" s="89">
        <v>0</v>
      </c>
      <c r="J46" s="90">
        <v>0</v>
      </c>
      <c r="K46" s="90">
        <v>0</v>
      </c>
      <c r="L46" s="90">
        <v>0</v>
      </c>
      <c r="M46" s="90">
        <v>0</v>
      </c>
      <c r="N46" s="91">
        <v>0</v>
      </c>
      <c r="O46" s="89">
        <v>0</v>
      </c>
      <c r="P46" s="90">
        <v>0</v>
      </c>
      <c r="Q46" s="90">
        <v>0</v>
      </c>
      <c r="R46" s="90">
        <v>0</v>
      </c>
      <c r="S46" s="90">
        <v>0</v>
      </c>
      <c r="T46" s="91">
        <v>0</v>
      </c>
      <c r="V46" s="92">
        <f t="shared" si="1"/>
        <v>4.62</v>
      </c>
      <c r="W46" s="97">
        <f t="shared" si="2"/>
        <v>0</v>
      </c>
      <c r="X46" s="76"/>
      <c r="Z46" s="98">
        <f t="shared" si="0"/>
        <v>4.62</v>
      </c>
      <c r="AA46" s="99">
        <f t="shared" si="4"/>
        <v>5.13</v>
      </c>
    </row>
    <row r="47" spans="1:27" x14ac:dyDescent="0.25">
      <c r="A47" s="95">
        <f t="shared" ca="1" si="3"/>
        <v>45271</v>
      </c>
      <c r="B47" s="96">
        <v>44</v>
      </c>
      <c r="C47" s="89">
        <v>1099.08</v>
      </c>
      <c r="D47" s="90">
        <v>196.5</v>
      </c>
      <c r="E47" s="90"/>
      <c r="F47" s="90">
        <v>4.5701200000000002</v>
      </c>
      <c r="G47" s="90">
        <v>5.0004300000000006</v>
      </c>
      <c r="H47" s="91"/>
      <c r="I47" s="89">
        <v>0</v>
      </c>
      <c r="J47" s="90">
        <v>0</v>
      </c>
      <c r="K47" s="90">
        <v>0</v>
      </c>
      <c r="L47" s="90">
        <v>0</v>
      </c>
      <c r="M47" s="90">
        <v>0</v>
      </c>
      <c r="N47" s="91">
        <v>0</v>
      </c>
      <c r="O47" s="89">
        <v>0</v>
      </c>
      <c r="P47" s="90">
        <v>0</v>
      </c>
      <c r="Q47" s="90">
        <v>0</v>
      </c>
      <c r="R47" s="90">
        <v>0</v>
      </c>
      <c r="S47" s="90">
        <v>0</v>
      </c>
      <c r="T47" s="91">
        <v>0</v>
      </c>
      <c r="V47" s="92">
        <f t="shared" si="1"/>
        <v>4.6399999999999997</v>
      </c>
      <c r="W47" s="97">
        <f t="shared" si="2"/>
        <v>0</v>
      </c>
      <c r="X47" s="76"/>
      <c r="Z47" s="98">
        <f t="shared" si="0"/>
        <v>4.6399999999999997</v>
      </c>
      <c r="AA47" s="99">
        <f t="shared" si="4"/>
        <v>5.13</v>
      </c>
    </row>
    <row r="48" spans="1:27" x14ac:dyDescent="0.25">
      <c r="A48" s="95">
        <f t="shared" ca="1" si="3"/>
        <v>45271</v>
      </c>
      <c r="B48" s="96">
        <v>45</v>
      </c>
      <c r="C48" s="89">
        <v>1172.9000000000001</v>
      </c>
      <c r="D48" s="90">
        <v>325.89999999999998</v>
      </c>
      <c r="E48" s="90"/>
      <c r="F48" s="90">
        <v>4.4381400000000006</v>
      </c>
      <c r="G48" s="90">
        <v>4.7803100000000001</v>
      </c>
      <c r="H48" s="91"/>
      <c r="I48" s="89">
        <v>0</v>
      </c>
      <c r="J48" s="90">
        <v>0</v>
      </c>
      <c r="K48" s="90">
        <v>0</v>
      </c>
      <c r="L48" s="90">
        <v>0</v>
      </c>
      <c r="M48" s="90">
        <v>0</v>
      </c>
      <c r="N48" s="91">
        <v>0</v>
      </c>
      <c r="O48" s="89">
        <v>0</v>
      </c>
      <c r="P48" s="90">
        <v>0</v>
      </c>
      <c r="Q48" s="90">
        <v>0</v>
      </c>
      <c r="R48" s="90">
        <v>0</v>
      </c>
      <c r="S48" s="90">
        <v>0</v>
      </c>
      <c r="T48" s="91">
        <v>0</v>
      </c>
      <c r="V48" s="92">
        <f t="shared" si="1"/>
        <v>4.51</v>
      </c>
      <c r="W48" s="97">
        <f t="shared" si="2"/>
        <v>0</v>
      </c>
      <c r="X48" s="76"/>
      <c r="Z48" s="98">
        <f t="shared" si="0"/>
        <v>4.51</v>
      </c>
      <c r="AA48" s="99">
        <f t="shared" si="4"/>
        <v>5.13</v>
      </c>
    </row>
    <row r="49" spans="1:27" x14ac:dyDescent="0.25">
      <c r="A49" s="95">
        <f t="shared" ca="1" si="3"/>
        <v>45271</v>
      </c>
      <c r="B49" s="96">
        <v>46</v>
      </c>
      <c r="C49" s="89">
        <v>1172.4000000000001</v>
      </c>
      <c r="D49" s="90">
        <v>325.89999999999998</v>
      </c>
      <c r="E49" s="90"/>
      <c r="F49" s="90">
        <v>4.4880100000000001</v>
      </c>
      <c r="G49" s="90">
        <v>4.7809699999999999</v>
      </c>
      <c r="H49" s="91"/>
      <c r="I49" s="89">
        <v>0</v>
      </c>
      <c r="J49" s="90">
        <v>0</v>
      </c>
      <c r="K49" s="90">
        <v>0</v>
      </c>
      <c r="L49" s="90">
        <v>0</v>
      </c>
      <c r="M49" s="90">
        <v>0</v>
      </c>
      <c r="N49" s="91">
        <v>0</v>
      </c>
      <c r="O49" s="89">
        <v>0</v>
      </c>
      <c r="P49" s="90">
        <v>0</v>
      </c>
      <c r="Q49" s="90">
        <v>0</v>
      </c>
      <c r="R49" s="90">
        <v>0</v>
      </c>
      <c r="S49" s="90">
        <v>0</v>
      </c>
      <c r="T49" s="91">
        <v>0</v>
      </c>
      <c r="V49" s="92">
        <f t="shared" si="1"/>
        <v>4.55</v>
      </c>
      <c r="W49" s="97">
        <f t="shared" si="2"/>
        <v>0</v>
      </c>
      <c r="X49" s="76"/>
      <c r="Z49" s="98">
        <f t="shared" si="0"/>
        <v>4.55</v>
      </c>
      <c r="AA49" s="99">
        <f t="shared" si="4"/>
        <v>5.13</v>
      </c>
    </row>
    <row r="50" spans="1:27" x14ac:dyDescent="0.25">
      <c r="A50" s="95">
        <f t="shared" ca="1" si="3"/>
        <v>45271</v>
      </c>
      <c r="B50" s="96">
        <v>47</v>
      </c>
      <c r="C50" s="89">
        <v>1158.7</v>
      </c>
      <c r="D50" s="90">
        <v>325.89999999999998</v>
      </c>
      <c r="E50" s="90"/>
      <c r="F50" s="90">
        <v>4.3400100000000004</v>
      </c>
      <c r="G50" s="90">
        <v>4.8697499999999998</v>
      </c>
      <c r="H50" s="91"/>
      <c r="I50" s="89">
        <v>0</v>
      </c>
      <c r="J50" s="90">
        <v>0</v>
      </c>
      <c r="K50" s="90">
        <v>0</v>
      </c>
      <c r="L50" s="90">
        <v>0</v>
      </c>
      <c r="M50" s="90">
        <v>0</v>
      </c>
      <c r="N50" s="91">
        <v>0</v>
      </c>
      <c r="O50" s="89">
        <v>0</v>
      </c>
      <c r="P50" s="90">
        <v>0</v>
      </c>
      <c r="Q50" s="90">
        <v>0</v>
      </c>
      <c r="R50" s="90">
        <v>0</v>
      </c>
      <c r="S50" s="90">
        <v>0</v>
      </c>
      <c r="T50" s="91">
        <v>0</v>
      </c>
      <c r="V50" s="92">
        <f t="shared" si="1"/>
        <v>4.46</v>
      </c>
      <c r="W50" s="97">
        <f t="shared" si="2"/>
        <v>0</v>
      </c>
      <c r="X50" s="76"/>
      <c r="Z50" s="98">
        <f t="shared" si="0"/>
        <v>4.46</v>
      </c>
      <c r="AA50" s="99">
        <f t="shared" si="4"/>
        <v>5.13</v>
      </c>
    </row>
    <row r="51" spans="1:27" x14ac:dyDescent="0.25">
      <c r="A51" s="95">
        <f t="shared" ca="1" si="3"/>
        <v>45271</v>
      </c>
      <c r="B51" s="96">
        <v>48</v>
      </c>
      <c r="C51" s="89">
        <v>1171</v>
      </c>
      <c r="D51" s="90">
        <v>325.89999999999998</v>
      </c>
      <c r="E51" s="90"/>
      <c r="F51" s="90">
        <v>4.1539700000000002</v>
      </c>
      <c r="G51" s="90">
        <v>4.7808400000000004</v>
      </c>
      <c r="H51" s="91"/>
      <c r="I51" s="89">
        <v>0</v>
      </c>
      <c r="J51" s="90">
        <v>0</v>
      </c>
      <c r="K51" s="90">
        <v>0</v>
      </c>
      <c r="L51" s="90">
        <v>0</v>
      </c>
      <c r="M51" s="90">
        <v>0</v>
      </c>
      <c r="N51" s="91">
        <v>0</v>
      </c>
      <c r="O51" s="89">
        <v>0</v>
      </c>
      <c r="P51" s="90">
        <v>0</v>
      </c>
      <c r="Q51" s="90">
        <v>0</v>
      </c>
      <c r="R51" s="90">
        <v>0</v>
      </c>
      <c r="S51" s="90">
        <v>0</v>
      </c>
      <c r="T51" s="91">
        <v>0</v>
      </c>
      <c r="V51" s="92">
        <f t="shared" si="1"/>
        <v>4.29</v>
      </c>
      <c r="W51" s="97">
        <f t="shared" si="2"/>
        <v>0</v>
      </c>
      <c r="X51" s="76"/>
      <c r="Z51" s="98">
        <f t="shared" si="0"/>
        <v>4.29</v>
      </c>
      <c r="AA51" s="99">
        <f t="shared" si="4"/>
        <v>5.13</v>
      </c>
    </row>
    <row r="52" spans="1:27" x14ac:dyDescent="0.25">
      <c r="A52" s="95">
        <f t="shared" ca="1" si="3"/>
        <v>45271</v>
      </c>
      <c r="B52" s="96">
        <v>49</v>
      </c>
      <c r="C52" s="89">
        <v>1152.5999999999999</v>
      </c>
      <c r="D52" s="90">
        <v>125.9</v>
      </c>
      <c r="E52" s="90"/>
      <c r="F52" s="90">
        <v>3.8997700000000002</v>
      </c>
      <c r="G52" s="90">
        <v>4.8006700000000002</v>
      </c>
      <c r="H52" s="91"/>
      <c r="I52" s="89">
        <v>0</v>
      </c>
      <c r="J52" s="90">
        <v>0</v>
      </c>
      <c r="K52" s="90">
        <v>0</v>
      </c>
      <c r="L52" s="90">
        <v>0</v>
      </c>
      <c r="M52" s="90">
        <v>0</v>
      </c>
      <c r="N52" s="91">
        <v>0</v>
      </c>
      <c r="O52" s="89">
        <v>0</v>
      </c>
      <c r="P52" s="90">
        <v>0</v>
      </c>
      <c r="Q52" s="90">
        <v>0</v>
      </c>
      <c r="R52" s="90">
        <v>0</v>
      </c>
      <c r="S52" s="90">
        <v>0</v>
      </c>
      <c r="T52" s="91">
        <v>0</v>
      </c>
      <c r="V52" s="92">
        <f t="shared" si="1"/>
        <v>3.99</v>
      </c>
      <c r="W52" s="97">
        <f t="shared" si="2"/>
        <v>0</v>
      </c>
      <c r="X52" s="76"/>
      <c r="Z52" s="98">
        <f t="shared" si="0"/>
        <v>3.99</v>
      </c>
      <c r="AA52" s="99">
        <f t="shared" si="4"/>
        <v>5.13</v>
      </c>
    </row>
    <row r="53" spans="1:27" x14ac:dyDescent="0.25">
      <c r="A53" s="95">
        <f t="shared" ca="1" si="3"/>
        <v>45271</v>
      </c>
      <c r="B53" s="96">
        <v>50</v>
      </c>
      <c r="C53" s="89">
        <v>1127.4000000000001</v>
      </c>
      <c r="D53" s="90">
        <v>125.8</v>
      </c>
      <c r="E53" s="90"/>
      <c r="F53" s="90">
        <v>3.9300999999999999</v>
      </c>
      <c r="G53" s="90">
        <v>4.5009499999999996</v>
      </c>
      <c r="H53" s="91"/>
      <c r="I53" s="89">
        <v>0</v>
      </c>
      <c r="J53" s="90">
        <v>0</v>
      </c>
      <c r="K53" s="90">
        <v>0</v>
      </c>
      <c r="L53" s="90">
        <v>0</v>
      </c>
      <c r="M53" s="90">
        <v>0</v>
      </c>
      <c r="N53" s="91">
        <v>0</v>
      </c>
      <c r="O53" s="89">
        <v>0</v>
      </c>
      <c r="P53" s="90">
        <v>0</v>
      </c>
      <c r="Q53" s="90">
        <v>0</v>
      </c>
      <c r="R53" s="90">
        <v>0</v>
      </c>
      <c r="S53" s="90">
        <v>0</v>
      </c>
      <c r="T53" s="91">
        <v>0</v>
      </c>
      <c r="V53" s="92">
        <f t="shared" si="1"/>
        <v>3.99</v>
      </c>
      <c r="W53" s="97">
        <f t="shared" si="2"/>
        <v>0</v>
      </c>
      <c r="X53" s="76"/>
      <c r="Z53" s="98">
        <f t="shared" si="0"/>
        <v>3.99</v>
      </c>
      <c r="AA53" s="99">
        <f t="shared" si="4"/>
        <v>5.13</v>
      </c>
    </row>
    <row r="54" spans="1:27" x14ac:dyDescent="0.25">
      <c r="A54" s="95">
        <f t="shared" ca="1" si="3"/>
        <v>45271</v>
      </c>
      <c r="B54" s="96">
        <v>51</v>
      </c>
      <c r="C54" s="89">
        <v>1167.8000000000002</v>
      </c>
      <c r="D54" s="90">
        <v>125.7</v>
      </c>
      <c r="E54" s="90"/>
      <c r="F54" s="90">
        <v>3.65333</v>
      </c>
      <c r="G54" s="90">
        <v>4.4009399999999994</v>
      </c>
      <c r="H54" s="91"/>
      <c r="I54" s="89">
        <v>0</v>
      </c>
      <c r="J54" s="90">
        <v>0</v>
      </c>
      <c r="K54" s="90">
        <v>0</v>
      </c>
      <c r="L54" s="90">
        <v>0</v>
      </c>
      <c r="M54" s="90">
        <v>0</v>
      </c>
      <c r="N54" s="91">
        <v>0</v>
      </c>
      <c r="O54" s="89">
        <v>0</v>
      </c>
      <c r="P54" s="90">
        <v>0</v>
      </c>
      <c r="Q54" s="90">
        <v>0</v>
      </c>
      <c r="R54" s="90">
        <v>0</v>
      </c>
      <c r="S54" s="90">
        <v>0</v>
      </c>
      <c r="T54" s="91">
        <v>0</v>
      </c>
      <c r="V54" s="92">
        <f t="shared" si="1"/>
        <v>3.73</v>
      </c>
      <c r="W54" s="97">
        <f t="shared" si="2"/>
        <v>0</v>
      </c>
      <c r="X54" s="76"/>
      <c r="Z54" s="98">
        <f t="shared" si="0"/>
        <v>3.73</v>
      </c>
      <c r="AA54" s="99">
        <f t="shared" si="4"/>
        <v>5.13</v>
      </c>
    </row>
    <row r="55" spans="1:27" x14ac:dyDescent="0.25">
      <c r="A55" s="95">
        <f t="shared" ca="1" si="3"/>
        <v>45271</v>
      </c>
      <c r="B55" s="96">
        <v>52</v>
      </c>
      <c r="C55" s="89">
        <v>1121.2</v>
      </c>
      <c r="D55" s="90">
        <v>133.19</v>
      </c>
      <c r="E55" s="90"/>
      <c r="F55" s="90">
        <v>3.6181000000000001</v>
      </c>
      <c r="G55" s="90">
        <v>4.0009800000000002</v>
      </c>
      <c r="H55" s="91"/>
      <c r="I55" s="89">
        <v>0</v>
      </c>
      <c r="J55" s="90">
        <v>0</v>
      </c>
      <c r="K55" s="90">
        <v>0</v>
      </c>
      <c r="L55" s="90">
        <v>0</v>
      </c>
      <c r="M55" s="90">
        <v>0</v>
      </c>
      <c r="N55" s="91">
        <v>0</v>
      </c>
      <c r="O55" s="89">
        <v>0</v>
      </c>
      <c r="P55" s="90">
        <v>0</v>
      </c>
      <c r="Q55" s="90">
        <v>0</v>
      </c>
      <c r="R55" s="90">
        <v>0</v>
      </c>
      <c r="S55" s="90">
        <v>0</v>
      </c>
      <c r="T55" s="91">
        <v>0</v>
      </c>
      <c r="V55" s="92">
        <f t="shared" si="1"/>
        <v>3.66</v>
      </c>
      <c r="W55" s="97">
        <f t="shared" si="2"/>
        <v>0</v>
      </c>
      <c r="X55" s="76"/>
      <c r="Z55" s="98">
        <f t="shared" si="0"/>
        <v>3.66</v>
      </c>
      <c r="AA55" s="99">
        <f t="shared" si="4"/>
        <v>5.13</v>
      </c>
    </row>
    <row r="56" spans="1:27" x14ac:dyDescent="0.25">
      <c r="A56" s="95">
        <f t="shared" ca="1" si="3"/>
        <v>45271</v>
      </c>
      <c r="B56" s="96">
        <v>53</v>
      </c>
      <c r="C56" s="89">
        <v>972.97</v>
      </c>
      <c r="D56" s="90">
        <v>161.66</v>
      </c>
      <c r="E56" s="90"/>
      <c r="F56" s="90">
        <v>3.50021</v>
      </c>
      <c r="G56" s="90">
        <v>4.0008800000000004</v>
      </c>
      <c r="H56" s="91"/>
      <c r="I56" s="89">
        <v>0</v>
      </c>
      <c r="J56" s="90">
        <v>0</v>
      </c>
      <c r="K56" s="90">
        <v>0</v>
      </c>
      <c r="L56" s="90">
        <v>0</v>
      </c>
      <c r="M56" s="90">
        <v>0</v>
      </c>
      <c r="N56" s="91">
        <v>0</v>
      </c>
      <c r="O56" s="89">
        <v>0</v>
      </c>
      <c r="P56" s="90">
        <v>0</v>
      </c>
      <c r="Q56" s="90">
        <v>0</v>
      </c>
      <c r="R56" s="90">
        <v>0</v>
      </c>
      <c r="S56" s="90">
        <v>0</v>
      </c>
      <c r="T56" s="91">
        <v>0</v>
      </c>
      <c r="V56" s="92">
        <f t="shared" si="1"/>
        <v>3.57</v>
      </c>
      <c r="W56" s="97">
        <f t="shared" si="2"/>
        <v>0</v>
      </c>
      <c r="X56" s="76"/>
      <c r="Z56" s="98">
        <f t="shared" si="0"/>
        <v>3.57</v>
      </c>
      <c r="AA56" s="99">
        <f t="shared" si="4"/>
        <v>5.13</v>
      </c>
    </row>
    <row r="57" spans="1:27" x14ac:dyDescent="0.25">
      <c r="A57" s="95">
        <f t="shared" ca="1" si="3"/>
        <v>45271</v>
      </c>
      <c r="B57" s="96">
        <v>54</v>
      </c>
      <c r="C57" s="89">
        <v>954.3</v>
      </c>
      <c r="D57" s="90">
        <v>210.9</v>
      </c>
      <c r="E57" s="90"/>
      <c r="F57" s="90">
        <v>3.4775100000000001</v>
      </c>
      <c r="G57" s="90">
        <v>4.0007099999999998</v>
      </c>
      <c r="H57" s="91"/>
      <c r="I57" s="89">
        <v>0</v>
      </c>
      <c r="J57" s="90">
        <v>0</v>
      </c>
      <c r="K57" s="90">
        <v>0</v>
      </c>
      <c r="L57" s="90">
        <v>0</v>
      </c>
      <c r="M57" s="90">
        <v>0</v>
      </c>
      <c r="N57" s="91">
        <v>0</v>
      </c>
      <c r="O57" s="89">
        <v>0</v>
      </c>
      <c r="P57" s="90">
        <v>0</v>
      </c>
      <c r="Q57" s="90">
        <v>0</v>
      </c>
      <c r="R57" s="90">
        <v>0</v>
      </c>
      <c r="S57" s="90">
        <v>0</v>
      </c>
      <c r="T57" s="91">
        <v>0</v>
      </c>
      <c r="V57" s="92">
        <f t="shared" si="1"/>
        <v>3.57</v>
      </c>
      <c r="W57" s="97">
        <f t="shared" si="2"/>
        <v>0</v>
      </c>
      <c r="X57" s="76"/>
      <c r="Z57" s="98">
        <f t="shared" si="0"/>
        <v>3.57</v>
      </c>
      <c r="AA57" s="99">
        <f t="shared" si="4"/>
        <v>5.13</v>
      </c>
    </row>
    <row r="58" spans="1:27" x14ac:dyDescent="0.25">
      <c r="A58" s="95">
        <f t="shared" ca="1" si="3"/>
        <v>45271</v>
      </c>
      <c r="B58" s="96">
        <v>55</v>
      </c>
      <c r="C58" s="89">
        <v>1042.5</v>
      </c>
      <c r="D58" s="90">
        <v>125.6</v>
      </c>
      <c r="E58" s="90"/>
      <c r="F58" s="90">
        <v>3.4770700000000003</v>
      </c>
      <c r="G58" s="90">
        <v>4.4440100000000005</v>
      </c>
      <c r="H58" s="91"/>
      <c r="I58" s="89">
        <v>0</v>
      </c>
      <c r="J58" s="90">
        <v>0</v>
      </c>
      <c r="K58" s="90">
        <v>0</v>
      </c>
      <c r="L58" s="90">
        <v>0</v>
      </c>
      <c r="M58" s="90">
        <v>0</v>
      </c>
      <c r="N58" s="91">
        <v>0</v>
      </c>
      <c r="O58" s="89">
        <v>0</v>
      </c>
      <c r="P58" s="90">
        <v>0</v>
      </c>
      <c r="Q58" s="90">
        <v>0</v>
      </c>
      <c r="R58" s="90">
        <v>0</v>
      </c>
      <c r="S58" s="90">
        <v>0</v>
      </c>
      <c r="T58" s="91">
        <v>0</v>
      </c>
      <c r="V58" s="92">
        <f t="shared" si="1"/>
        <v>3.58</v>
      </c>
      <c r="W58" s="97">
        <f t="shared" si="2"/>
        <v>0</v>
      </c>
      <c r="X58" s="76"/>
      <c r="Z58" s="98">
        <f t="shared" si="0"/>
        <v>3.58</v>
      </c>
      <c r="AA58" s="99">
        <f t="shared" si="4"/>
        <v>5.13</v>
      </c>
    </row>
    <row r="59" spans="1:27" x14ac:dyDescent="0.25">
      <c r="A59" s="95">
        <f t="shared" ca="1" si="3"/>
        <v>45271</v>
      </c>
      <c r="B59" s="96">
        <v>56</v>
      </c>
      <c r="C59" s="89">
        <v>1019.4</v>
      </c>
      <c r="D59" s="90">
        <v>125.6</v>
      </c>
      <c r="E59" s="90"/>
      <c r="F59" s="90">
        <v>3.4688099999999999</v>
      </c>
      <c r="G59" s="90">
        <v>4.4440200000000001</v>
      </c>
      <c r="H59" s="91"/>
      <c r="I59" s="89">
        <v>0</v>
      </c>
      <c r="J59" s="90">
        <v>0</v>
      </c>
      <c r="K59" s="90">
        <v>0</v>
      </c>
      <c r="L59" s="90">
        <v>0</v>
      </c>
      <c r="M59" s="90">
        <v>0</v>
      </c>
      <c r="N59" s="91">
        <v>0</v>
      </c>
      <c r="O59" s="89">
        <v>0</v>
      </c>
      <c r="P59" s="90">
        <v>0</v>
      </c>
      <c r="Q59" s="90">
        <v>0</v>
      </c>
      <c r="R59" s="90">
        <v>0</v>
      </c>
      <c r="S59" s="90">
        <v>0</v>
      </c>
      <c r="T59" s="91">
        <v>0</v>
      </c>
      <c r="V59" s="92">
        <f t="shared" si="1"/>
        <v>3.58</v>
      </c>
      <c r="W59" s="97">
        <f t="shared" si="2"/>
        <v>0</v>
      </c>
      <c r="X59" s="76"/>
      <c r="Z59" s="98">
        <f t="shared" si="0"/>
        <v>3.58</v>
      </c>
      <c r="AA59" s="99">
        <f t="shared" si="4"/>
        <v>5.13</v>
      </c>
    </row>
    <row r="60" spans="1:27" x14ac:dyDescent="0.25">
      <c r="A60" s="95">
        <f t="shared" ca="1" si="3"/>
        <v>45271</v>
      </c>
      <c r="B60" s="96">
        <v>57</v>
      </c>
      <c r="C60" s="89">
        <v>690.6</v>
      </c>
      <c r="D60" s="90">
        <v>125.4</v>
      </c>
      <c r="E60" s="90"/>
      <c r="F60" s="90">
        <v>3.6497899999999999</v>
      </c>
      <c r="G60" s="90">
        <v>4.4440400000000002</v>
      </c>
      <c r="H60" s="91"/>
      <c r="I60" s="89">
        <v>0</v>
      </c>
      <c r="J60" s="90">
        <v>0</v>
      </c>
      <c r="K60" s="90">
        <v>0</v>
      </c>
      <c r="L60" s="90">
        <v>0</v>
      </c>
      <c r="M60" s="90">
        <v>0</v>
      </c>
      <c r="N60" s="91">
        <v>0</v>
      </c>
      <c r="O60" s="89">
        <v>0</v>
      </c>
      <c r="P60" s="90">
        <v>0</v>
      </c>
      <c r="Q60" s="90">
        <v>0</v>
      </c>
      <c r="R60" s="90">
        <v>0</v>
      </c>
      <c r="S60" s="90">
        <v>0</v>
      </c>
      <c r="T60" s="91">
        <v>0</v>
      </c>
      <c r="V60" s="92">
        <f t="shared" si="1"/>
        <v>3.77</v>
      </c>
      <c r="W60" s="97">
        <f t="shared" si="2"/>
        <v>0</v>
      </c>
      <c r="X60" s="76"/>
      <c r="Z60" s="98">
        <f t="shared" si="0"/>
        <v>3.77</v>
      </c>
      <c r="AA60" s="99">
        <f t="shared" si="4"/>
        <v>5.13</v>
      </c>
    </row>
    <row r="61" spans="1:27" x14ac:dyDescent="0.25">
      <c r="A61" s="95">
        <f t="shared" ca="1" si="3"/>
        <v>45271</v>
      </c>
      <c r="B61" s="96">
        <v>58</v>
      </c>
      <c r="C61" s="89">
        <v>701.5</v>
      </c>
      <c r="D61" s="90">
        <v>125.3</v>
      </c>
      <c r="E61" s="90"/>
      <c r="F61" s="90">
        <v>3.7670599999999999</v>
      </c>
      <c r="G61" s="90">
        <v>4.4213500000000003</v>
      </c>
      <c r="H61" s="91"/>
      <c r="I61" s="89">
        <v>0</v>
      </c>
      <c r="J61" s="90">
        <v>0</v>
      </c>
      <c r="K61" s="90">
        <v>0</v>
      </c>
      <c r="L61" s="90">
        <v>0</v>
      </c>
      <c r="M61" s="90">
        <v>0</v>
      </c>
      <c r="N61" s="91">
        <v>0</v>
      </c>
      <c r="O61" s="89">
        <v>0</v>
      </c>
      <c r="P61" s="90">
        <v>0</v>
      </c>
      <c r="Q61" s="90">
        <v>0</v>
      </c>
      <c r="R61" s="90">
        <v>0</v>
      </c>
      <c r="S61" s="90">
        <v>0</v>
      </c>
      <c r="T61" s="91">
        <v>0</v>
      </c>
      <c r="V61" s="92">
        <f t="shared" si="1"/>
        <v>3.87</v>
      </c>
      <c r="W61" s="97">
        <f t="shared" si="2"/>
        <v>0</v>
      </c>
      <c r="X61" s="76"/>
      <c r="Z61" s="98">
        <f t="shared" si="0"/>
        <v>3.87</v>
      </c>
      <c r="AA61" s="99">
        <f t="shared" si="4"/>
        <v>5.13</v>
      </c>
    </row>
    <row r="62" spans="1:27" x14ac:dyDescent="0.25">
      <c r="A62" s="95">
        <f t="shared" ca="1" si="3"/>
        <v>45271</v>
      </c>
      <c r="B62" s="96">
        <v>59</v>
      </c>
      <c r="C62" s="89">
        <v>751.5</v>
      </c>
      <c r="D62" s="90">
        <v>125.1</v>
      </c>
      <c r="E62" s="90"/>
      <c r="F62" s="90">
        <v>3.6539600000000001</v>
      </c>
      <c r="G62" s="90">
        <v>4.4440900000000001</v>
      </c>
      <c r="H62" s="91"/>
      <c r="I62" s="89">
        <v>0</v>
      </c>
      <c r="J62" s="90">
        <v>0</v>
      </c>
      <c r="K62" s="90">
        <v>0</v>
      </c>
      <c r="L62" s="90">
        <v>0</v>
      </c>
      <c r="M62" s="90">
        <v>0</v>
      </c>
      <c r="N62" s="91">
        <v>0</v>
      </c>
      <c r="O62" s="89">
        <v>0</v>
      </c>
      <c r="P62" s="90">
        <v>0</v>
      </c>
      <c r="Q62" s="90">
        <v>0</v>
      </c>
      <c r="R62" s="90">
        <v>0</v>
      </c>
      <c r="S62" s="90">
        <v>0</v>
      </c>
      <c r="T62" s="91">
        <v>0</v>
      </c>
      <c r="V62" s="92">
        <f t="shared" si="1"/>
        <v>3.77</v>
      </c>
      <c r="W62" s="97">
        <f t="shared" si="2"/>
        <v>0</v>
      </c>
      <c r="X62" s="76"/>
      <c r="Z62" s="98">
        <f t="shared" si="0"/>
        <v>3.77</v>
      </c>
      <c r="AA62" s="99">
        <f t="shared" si="4"/>
        <v>5.13</v>
      </c>
    </row>
    <row r="63" spans="1:27" x14ac:dyDescent="0.25">
      <c r="A63" s="95">
        <f t="shared" ca="1" si="3"/>
        <v>45271</v>
      </c>
      <c r="B63" s="96">
        <v>60</v>
      </c>
      <c r="C63" s="89">
        <v>810.4</v>
      </c>
      <c r="D63" s="90">
        <v>125.1</v>
      </c>
      <c r="E63" s="90"/>
      <c r="F63" s="90">
        <v>3.8004000000000002</v>
      </c>
      <c r="G63" s="90">
        <v>4.5009100000000002</v>
      </c>
      <c r="H63" s="91"/>
      <c r="I63" s="89">
        <v>0</v>
      </c>
      <c r="J63" s="90">
        <v>0</v>
      </c>
      <c r="K63" s="90">
        <v>0</v>
      </c>
      <c r="L63" s="90">
        <v>0</v>
      </c>
      <c r="M63" s="90">
        <v>0</v>
      </c>
      <c r="N63" s="91">
        <v>0</v>
      </c>
      <c r="O63" s="89">
        <v>0</v>
      </c>
      <c r="P63" s="90">
        <v>0</v>
      </c>
      <c r="Q63" s="90">
        <v>0</v>
      </c>
      <c r="R63" s="90">
        <v>0</v>
      </c>
      <c r="S63" s="90">
        <v>0</v>
      </c>
      <c r="T63" s="91">
        <v>0</v>
      </c>
      <c r="V63" s="92">
        <f t="shared" si="1"/>
        <v>3.89</v>
      </c>
      <c r="W63" s="97">
        <f t="shared" si="2"/>
        <v>0</v>
      </c>
      <c r="X63" s="76"/>
      <c r="Z63" s="98">
        <f t="shared" si="0"/>
        <v>3.89</v>
      </c>
      <c r="AA63" s="99">
        <f t="shared" si="4"/>
        <v>5.13</v>
      </c>
    </row>
    <row r="64" spans="1:27" x14ac:dyDescent="0.25">
      <c r="A64" s="95">
        <f t="shared" ca="1" si="3"/>
        <v>45271</v>
      </c>
      <c r="B64" s="96">
        <v>61</v>
      </c>
      <c r="C64" s="89">
        <v>638</v>
      </c>
      <c r="D64" s="90">
        <v>325</v>
      </c>
      <c r="E64" s="90"/>
      <c r="F64" s="90">
        <v>4.3246499999999992</v>
      </c>
      <c r="G64" s="90">
        <v>4.9009399999999994</v>
      </c>
      <c r="H64" s="91"/>
      <c r="I64" s="89">
        <v>0</v>
      </c>
      <c r="J64" s="90">
        <v>0</v>
      </c>
      <c r="K64" s="90">
        <v>0</v>
      </c>
      <c r="L64" s="90">
        <v>0</v>
      </c>
      <c r="M64" s="90">
        <v>0</v>
      </c>
      <c r="N64" s="91">
        <v>0</v>
      </c>
      <c r="O64" s="89">
        <v>0</v>
      </c>
      <c r="P64" s="90">
        <v>0</v>
      </c>
      <c r="Q64" s="90">
        <v>0</v>
      </c>
      <c r="R64" s="90">
        <v>0</v>
      </c>
      <c r="S64" s="90">
        <v>0</v>
      </c>
      <c r="T64" s="91">
        <v>0</v>
      </c>
      <c r="V64" s="92">
        <f t="shared" si="1"/>
        <v>4.5199999999999996</v>
      </c>
      <c r="W64" s="97">
        <f t="shared" si="2"/>
        <v>0</v>
      </c>
      <c r="X64" s="76"/>
      <c r="Z64" s="98">
        <f t="shared" si="0"/>
        <v>4.5199999999999996</v>
      </c>
      <c r="AA64" s="99">
        <f t="shared" si="4"/>
        <v>5.13</v>
      </c>
    </row>
    <row r="65" spans="1:27" x14ac:dyDescent="0.25">
      <c r="A65" s="95">
        <f t="shared" ca="1" si="3"/>
        <v>45271</v>
      </c>
      <c r="B65" s="96">
        <v>62</v>
      </c>
      <c r="C65" s="89">
        <v>849</v>
      </c>
      <c r="D65" s="90">
        <v>231.39</v>
      </c>
      <c r="E65" s="90"/>
      <c r="F65" s="90">
        <v>4.4380600000000001</v>
      </c>
      <c r="G65" s="90">
        <v>5.0003100000000007</v>
      </c>
      <c r="H65" s="91"/>
      <c r="I65" s="89">
        <v>0</v>
      </c>
      <c r="J65" s="90">
        <v>0</v>
      </c>
      <c r="K65" s="90">
        <v>0</v>
      </c>
      <c r="L65" s="90">
        <v>0</v>
      </c>
      <c r="M65" s="90">
        <v>0</v>
      </c>
      <c r="N65" s="91">
        <v>0</v>
      </c>
      <c r="O65" s="89">
        <v>0</v>
      </c>
      <c r="P65" s="90">
        <v>0</v>
      </c>
      <c r="Q65" s="90">
        <v>0</v>
      </c>
      <c r="R65" s="90">
        <v>0</v>
      </c>
      <c r="S65" s="90">
        <v>0</v>
      </c>
      <c r="T65" s="91">
        <v>0</v>
      </c>
      <c r="V65" s="92">
        <f t="shared" si="1"/>
        <v>4.5599999999999996</v>
      </c>
      <c r="W65" s="97">
        <f t="shared" si="2"/>
        <v>0</v>
      </c>
      <c r="X65" s="76"/>
      <c r="Z65" s="98">
        <f t="shared" si="0"/>
        <v>4.5599999999999996</v>
      </c>
      <c r="AA65" s="99">
        <f t="shared" si="4"/>
        <v>5.13</v>
      </c>
    </row>
    <row r="66" spans="1:27" x14ac:dyDescent="0.25">
      <c r="A66" s="95">
        <f t="shared" ca="1" si="3"/>
        <v>45271</v>
      </c>
      <c r="B66" s="96">
        <v>63</v>
      </c>
      <c r="C66" s="89">
        <v>1174.04</v>
      </c>
      <c r="D66" s="90">
        <v>24.6</v>
      </c>
      <c r="E66" s="90"/>
      <c r="F66" s="90">
        <v>4.5009399999999999</v>
      </c>
      <c r="G66" s="90">
        <v>5.1007600000000002</v>
      </c>
      <c r="H66" s="91"/>
      <c r="I66" s="89">
        <v>0</v>
      </c>
      <c r="J66" s="90">
        <v>0</v>
      </c>
      <c r="K66" s="90">
        <v>0</v>
      </c>
      <c r="L66" s="90">
        <v>0</v>
      </c>
      <c r="M66" s="90">
        <v>0</v>
      </c>
      <c r="N66" s="91">
        <v>0</v>
      </c>
      <c r="O66" s="89">
        <v>0</v>
      </c>
      <c r="P66" s="90">
        <v>0</v>
      </c>
      <c r="Q66" s="90">
        <v>0</v>
      </c>
      <c r="R66" s="90">
        <v>0</v>
      </c>
      <c r="S66" s="90">
        <v>0</v>
      </c>
      <c r="T66" s="91">
        <v>0</v>
      </c>
      <c r="V66" s="92">
        <f t="shared" si="1"/>
        <v>4.51</v>
      </c>
      <c r="W66" s="97">
        <f t="shared" si="2"/>
        <v>0</v>
      </c>
      <c r="X66" s="76"/>
      <c r="Z66" s="98">
        <f t="shared" si="0"/>
        <v>4.51</v>
      </c>
      <c r="AA66" s="99">
        <f t="shared" si="4"/>
        <v>5.13</v>
      </c>
    </row>
    <row r="67" spans="1:27" x14ac:dyDescent="0.25">
      <c r="A67" s="95">
        <f t="shared" ca="1" si="3"/>
        <v>45271</v>
      </c>
      <c r="B67" s="96">
        <v>64</v>
      </c>
      <c r="C67" s="89">
        <v>1158.8</v>
      </c>
      <c r="D67" s="90">
        <v>24.5</v>
      </c>
      <c r="E67" s="90"/>
      <c r="F67" s="90">
        <v>4.5479099999999999</v>
      </c>
      <c r="G67" s="90">
        <v>5.1007799999999994</v>
      </c>
      <c r="H67" s="91"/>
      <c r="I67" s="89">
        <v>0</v>
      </c>
      <c r="J67" s="90">
        <v>0</v>
      </c>
      <c r="K67" s="90">
        <v>0</v>
      </c>
      <c r="L67" s="90">
        <v>0</v>
      </c>
      <c r="M67" s="90">
        <v>0</v>
      </c>
      <c r="N67" s="91">
        <v>0</v>
      </c>
      <c r="O67" s="89">
        <v>0</v>
      </c>
      <c r="P67" s="90">
        <v>0</v>
      </c>
      <c r="Q67" s="90">
        <v>0</v>
      </c>
      <c r="R67" s="90">
        <v>0</v>
      </c>
      <c r="S67" s="90">
        <v>0</v>
      </c>
      <c r="T67" s="91">
        <v>0</v>
      </c>
      <c r="V67" s="92">
        <f t="shared" si="1"/>
        <v>4.5599999999999996</v>
      </c>
      <c r="W67" s="97">
        <f t="shared" si="2"/>
        <v>0</v>
      </c>
      <c r="X67" s="76"/>
      <c r="Z67" s="98">
        <f t="shared" si="0"/>
        <v>4.5599999999999996</v>
      </c>
      <c r="AA67" s="99">
        <f t="shared" si="4"/>
        <v>5.13</v>
      </c>
    </row>
    <row r="68" spans="1:27" x14ac:dyDescent="0.25">
      <c r="A68" s="95">
        <f t="shared" ca="1" si="3"/>
        <v>45271</v>
      </c>
      <c r="B68" s="96">
        <v>65</v>
      </c>
      <c r="C68" s="89">
        <v>462.28999999999996</v>
      </c>
      <c r="D68" s="90">
        <v>24.6</v>
      </c>
      <c r="E68" s="90"/>
      <c r="F68" s="90">
        <v>4.8008599999999992</v>
      </c>
      <c r="G68" s="90">
        <v>5.4005299999999998</v>
      </c>
      <c r="H68" s="91"/>
      <c r="I68" s="89">
        <v>0</v>
      </c>
      <c r="J68" s="90">
        <v>0</v>
      </c>
      <c r="K68" s="90">
        <v>0</v>
      </c>
      <c r="L68" s="90">
        <v>0</v>
      </c>
      <c r="M68" s="90">
        <v>0</v>
      </c>
      <c r="N68" s="91">
        <v>0</v>
      </c>
      <c r="O68" s="89">
        <v>0</v>
      </c>
      <c r="P68" s="90">
        <v>0</v>
      </c>
      <c r="Q68" s="90">
        <v>0</v>
      </c>
      <c r="R68" s="90">
        <v>0</v>
      </c>
      <c r="S68" s="90">
        <v>0</v>
      </c>
      <c r="T68" s="91">
        <v>0</v>
      </c>
      <c r="V68" s="92">
        <f t="shared" si="1"/>
        <v>4.83</v>
      </c>
      <c r="W68" s="97">
        <f t="shared" si="2"/>
        <v>0</v>
      </c>
      <c r="X68" s="76"/>
      <c r="Z68" s="98">
        <f t="shared" ref="Z68:Z99" si="5">MAX(V68:X68)</f>
        <v>4.83</v>
      </c>
      <c r="AA68" s="99">
        <f t="shared" si="4"/>
        <v>5.13</v>
      </c>
    </row>
    <row r="69" spans="1:27" x14ac:dyDescent="0.25">
      <c r="A69" s="95">
        <f t="shared" ca="1" si="3"/>
        <v>45271</v>
      </c>
      <c r="B69" s="96">
        <v>66</v>
      </c>
      <c r="C69" s="89">
        <v>380.20000000000005</v>
      </c>
      <c r="D69" s="90">
        <v>24.4</v>
      </c>
      <c r="E69" s="90"/>
      <c r="F69" s="90">
        <v>4.8487099999999996</v>
      </c>
      <c r="G69" s="90">
        <v>5.40055</v>
      </c>
      <c r="H69" s="91"/>
      <c r="I69" s="89">
        <v>0</v>
      </c>
      <c r="J69" s="90">
        <v>0</v>
      </c>
      <c r="K69" s="90">
        <v>0</v>
      </c>
      <c r="L69" s="90">
        <v>0</v>
      </c>
      <c r="M69" s="90">
        <v>0</v>
      </c>
      <c r="N69" s="91">
        <v>0</v>
      </c>
      <c r="O69" s="89">
        <v>0</v>
      </c>
      <c r="P69" s="90">
        <v>0</v>
      </c>
      <c r="Q69" s="90">
        <v>0</v>
      </c>
      <c r="R69" s="90">
        <v>0</v>
      </c>
      <c r="S69" s="90">
        <v>0</v>
      </c>
      <c r="T69" s="91">
        <v>0</v>
      </c>
      <c r="V69" s="92">
        <f t="shared" ref="V69:V99" si="6">IFERROR(ROUND(((C69*F69)+(I69*L69)+(O69*R69)+(D69*G69)+(J69*M69)+(P69*S69))/(C69+D69+I69+J69+O69+P69),2),0)</f>
        <v>4.88</v>
      </c>
      <c r="W69" s="97">
        <f t="shared" ref="W69:W99" si="7">IFERROR(ROUND(((E69*H69)+(K69*N69)+(Q69*T69))/(E69+K69+Q69),2),0)</f>
        <v>0</v>
      </c>
      <c r="X69" s="76"/>
      <c r="Z69" s="98">
        <f t="shared" si="5"/>
        <v>4.88</v>
      </c>
      <c r="AA69" s="99">
        <f t="shared" si="4"/>
        <v>5.13</v>
      </c>
    </row>
    <row r="70" spans="1:27" x14ac:dyDescent="0.25">
      <c r="A70" s="95">
        <f t="shared" ref="A70:A99" ca="1" si="8">$A$4</f>
        <v>45271</v>
      </c>
      <c r="B70" s="96">
        <v>67</v>
      </c>
      <c r="C70" s="89">
        <v>332.1</v>
      </c>
      <c r="D70" s="90">
        <v>24.2</v>
      </c>
      <c r="E70" s="90"/>
      <c r="F70" s="90">
        <v>4.9993500000000006</v>
      </c>
      <c r="G70" s="90">
        <v>5.4006000000000007</v>
      </c>
      <c r="H70" s="91"/>
      <c r="I70" s="89">
        <v>0</v>
      </c>
      <c r="J70" s="90">
        <v>0</v>
      </c>
      <c r="K70" s="90">
        <v>0</v>
      </c>
      <c r="L70" s="90">
        <v>0</v>
      </c>
      <c r="M70" s="90">
        <v>0</v>
      </c>
      <c r="N70" s="91">
        <v>0</v>
      </c>
      <c r="O70" s="89">
        <v>0</v>
      </c>
      <c r="P70" s="90">
        <v>0</v>
      </c>
      <c r="Q70" s="90">
        <v>0</v>
      </c>
      <c r="R70" s="90">
        <v>0</v>
      </c>
      <c r="S70" s="90">
        <v>0</v>
      </c>
      <c r="T70" s="91">
        <v>0</v>
      </c>
      <c r="V70" s="92">
        <f t="shared" si="6"/>
        <v>5.03</v>
      </c>
      <c r="W70" s="97">
        <f t="shared" si="7"/>
        <v>0</v>
      </c>
      <c r="X70" s="76"/>
      <c r="Z70" s="98">
        <f t="shared" si="5"/>
        <v>5.03</v>
      </c>
      <c r="AA70" s="99">
        <f t="shared" ref="AA70:AA99" si="9">AA69</f>
        <v>5.13</v>
      </c>
    </row>
    <row r="71" spans="1:27" x14ac:dyDescent="0.25">
      <c r="A71" s="95">
        <f t="shared" ca="1" si="8"/>
        <v>45271</v>
      </c>
      <c r="B71" s="96">
        <v>68</v>
      </c>
      <c r="C71" s="89">
        <v>317.60000000000002</v>
      </c>
      <c r="D71" s="90">
        <v>24</v>
      </c>
      <c r="E71" s="90"/>
      <c r="F71" s="90">
        <v>5.4266899999999998</v>
      </c>
      <c r="G71" s="90">
        <v>5.3006200000000003</v>
      </c>
      <c r="H71" s="91"/>
      <c r="I71" s="89">
        <v>0</v>
      </c>
      <c r="J71" s="90">
        <v>0</v>
      </c>
      <c r="K71" s="90">
        <v>0</v>
      </c>
      <c r="L71" s="90">
        <v>0</v>
      </c>
      <c r="M71" s="90">
        <v>0</v>
      </c>
      <c r="N71" s="91">
        <v>0</v>
      </c>
      <c r="O71" s="89">
        <v>0</v>
      </c>
      <c r="P71" s="90">
        <v>0</v>
      </c>
      <c r="Q71" s="90">
        <v>0</v>
      </c>
      <c r="R71" s="90">
        <v>0</v>
      </c>
      <c r="S71" s="90">
        <v>0</v>
      </c>
      <c r="T71" s="91">
        <v>0</v>
      </c>
      <c r="V71" s="92">
        <f t="shared" si="6"/>
        <v>5.42</v>
      </c>
      <c r="W71" s="97">
        <f t="shared" si="7"/>
        <v>0</v>
      </c>
      <c r="X71" s="76"/>
      <c r="Z71" s="98">
        <f t="shared" si="5"/>
        <v>5.42</v>
      </c>
      <c r="AA71" s="99">
        <f t="shared" si="9"/>
        <v>5.13</v>
      </c>
    </row>
    <row r="72" spans="1:27" x14ac:dyDescent="0.25">
      <c r="A72" s="95">
        <f t="shared" ca="1" si="8"/>
        <v>45271</v>
      </c>
      <c r="B72" s="100">
        <v>69</v>
      </c>
      <c r="C72" s="89">
        <v>847.59</v>
      </c>
      <c r="D72" s="90">
        <v>78.58</v>
      </c>
      <c r="E72" s="90"/>
      <c r="F72" s="90">
        <v>4.5708599999999997</v>
      </c>
      <c r="G72" s="90">
        <v>5.00082</v>
      </c>
      <c r="H72" s="91"/>
      <c r="I72" s="89">
        <v>0</v>
      </c>
      <c r="J72" s="90">
        <v>0</v>
      </c>
      <c r="K72" s="90">
        <v>0</v>
      </c>
      <c r="L72" s="90">
        <v>0</v>
      </c>
      <c r="M72" s="90">
        <v>0</v>
      </c>
      <c r="N72" s="91">
        <v>0</v>
      </c>
      <c r="O72" s="89">
        <v>0</v>
      </c>
      <c r="P72" s="90">
        <v>0</v>
      </c>
      <c r="Q72" s="90">
        <v>0</v>
      </c>
      <c r="R72" s="90">
        <v>0</v>
      </c>
      <c r="S72" s="90">
        <v>0</v>
      </c>
      <c r="T72" s="91">
        <v>0</v>
      </c>
      <c r="V72" s="92">
        <f t="shared" si="6"/>
        <v>4.6100000000000003</v>
      </c>
      <c r="W72" s="97">
        <f t="shared" si="7"/>
        <v>0</v>
      </c>
      <c r="X72" s="76"/>
      <c r="Z72" s="98">
        <f t="shared" si="5"/>
        <v>4.6100000000000003</v>
      </c>
      <c r="AA72" s="99">
        <f t="shared" si="9"/>
        <v>5.13</v>
      </c>
    </row>
    <row r="73" spans="1:27" x14ac:dyDescent="0.25">
      <c r="A73" s="95">
        <f t="shared" ca="1" si="8"/>
        <v>45271</v>
      </c>
      <c r="B73" s="100">
        <v>70</v>
      </c>
      <c r="C73" s="89">
        <v>1238.8</v>
      </c>
      <c r="D73" s="90">
        <v>73.300000000000011</v>
      </c>
      <c r="E73" s="90"/>
      <c r="F73" s="90">
        <v>4.54725</v>
      </c>
      <c r="G73" s="90">
        <v>5.0008299999999997</v>
      </c>
      <c r="H73" s="91"/>
      <c r="I73" s="89">
        <v>0</v>
      </c>
      <c r="J73" s="90">
        <v>0</v>
      </c>
      <c r="K73" s="90">
        <v>0</v>
      </c>
      <c r="L73" s="90">
        <v>0</v>
      </c>
      <c r="M73" s="90">
        <v>0</v>
      </c>
      <c r="N73" s="91">
        <v>0</v>
      </c>
      <c r="O73" s="89">
        <v>0</v>
      </c>
      <c r="P73" s="90">
        <v>0</v>
      </c>
      <c r="Q73" s="90">
        <v>0</v>
      </c>
      <c r="R73" s="90">
        <v>0</v>
      </c>
      <c r="S73" s="90">
        <v>0</v>
      </c>
      <c r="T73" s="91">
        <v>0</v>
      </c>
      <c r="V73" s="92">
        <f t="shared" si="6"/>
        <v>4.57</v>
      </c>
      <c r="W73" s="97">
        <f t="shared" si="7"/>
        <v>0</v>
      </c>
      <c r="X73" s="76"/>
      <c r="Z73" s="98">
        <f t="shared" si="5"/>
        <v>4.57</v>
      </c>
      <c r="AA73" s="99">
        <f t="shared" si="9"/>
        <v>5.13</v>
      </c>
    </row>
    <row r="74" spans="1:27" x14ac:dyDescent="0.25">
      <c r="A74" s="95">
        <f t="shared" ca="1" si="8"/>
        <v>45271</v>
      </c>
      <c r="B74" s="100">
        <v>71</v>
      </c>
      <c r="C74" s="89">
        <v>1163.04</v>
      </c>
      <c r="D74" s="90">
        <v>23.4</v>
      </c>
      <c r="E74" s="90"/>
      <c r="F74" s="90">
        <v>4.57036</v>
      </c>
      <c r="G74" s="90">
        <v>5.7405299999999997</v>
      </c>
      <c r="H74" s="91"/>
      <c r="I74" s="89">
        <v>0</v>
      </c>
      <c r="J74" s="90">
        <v>0</v>
      </c>
      <c r="K74" s="90">
        <v>0</v>
      </c>
      <c r="L74" s="90">
        <v>0</v>
      </c>
      <c r="M74" s="90">
        <v>0</v>
      </c>
      <c r="N74" s="91">
        <v>0</v>
      </c>
      <c r="O74" s="89">
        <v>0</v>
      </c>
      <c r="P74" s="90">
        <v>0</v>
      </c>
      <c r="Q74" s="90">
        <v>0</v>
      </c>
      <c r="R74" s="90">
        <v>0</v>
      </c>
      <c r="S74" s="90">
        <v>0</v>
      </c>
      <c r="T74" s="91">
        <v>0</v>
      </c>
      <c r="V74" s="92">
        <f t="shared" si="6"/>
        <v>4.59</v>
      </c>
      <c r="W74" s="97">
        <f t="shared" si="7"/>
        <v>0</v>
      </c>
      <c r="X74" s="76"/>
      <c r="Z74" s="98">
        <f t="shared" si="5"/>
        <v>4.59</v>
      </c>
      <c r="AA74" s="99">
        <f t="shared" si="9"/>
        <v>5.13</v>
      </c>
    </row>
    <row r="75" spans="1:27" x14ac:dyDescent="0.25">
      <c r="A75" s="95">
        <f t="shared" ca="1" si="8"/>
        <v>45271</v>
      </c>
      <c r="B75" s="100">
        <v>72</v>
      </c>
      <c r="C75" s="89">
        <v>1005.3</v>
      </c>
      <c r="D75" s="90">
        <v>23.2</v>
      </c>
      <c r="E75" s="90"/>
      <c r="F75" s="90">
        <v>4.5802700000000005</v>
      </c>
      <c r="G75" s="90">
        <v>7.0001600000000002</v>
      </c>
      <c r="H75" s="91"/>
      <c r="I75" s="89">
        <v>0</v>
      </c>
      <c r="J75" s="90">
        <v>0</v>
      </c>
      <c r="K75" s="90">
        <v>0</v>
      </c>
      <c r="L75" s="90">
        <v>0</v>
      </c>
      <c r="M75" s="90">
        <v>0</v>
      </c>
      <c r="N75" s="91">
        <v>0</v>
      </c>
      <c r="O75" s="89">
        <v>0</v>
      </c>
      <c r="P75" s="90">
        <v>0</v>
      </c>
      <c r="Q75" s="90">
        <v>0</v>
      </c>
      <c r="R75" s="90">
        <v>0</v>
      </c>
      <c r="S75" s="90">
        <v>0</v>
      </c>
      <c r="T75" s="91">
        <v>0</v>
      </c>
      <c r="V75" s="92">
        <f t="shared" si="6"/>
        <v>4.63</v>
      </c>
      <c r="W75" s="97">
        <f t="shared" si="7"/>
        <v>0</v>
      </c>
      <c r="X75" s="76"/>
      <c r="Z75" s="98">
        <f t="shared" si="5"/>
        <v>4.63</v>
      </c>
      <c r="AA75" s="99">
        <f t="shared" si="9"/>
        <v>5.13</v>
      </c>
    </row>
    <row r="76" spans="1:27" x14ac:dyDescent="0.25">
      <c r="A76" s="95">
        <f t="shared" ca="1" si="8"/>
        <v>45271</v>
      </c>
      <c r="B76" s="100">
        <v>73</v>
      </c>
      <c r="C76" s="89">
        <v>761.84999999999991</v>
      </c>
      <c r="D76" s="90">
        <v>23</v>
      </c>
      <c r="E76" s="90"/>
      <c r="F76" s="90">
        <v>4.8006700000000002</v>
      </c>
      <c r="G76" s="90">
        <v>7.7779699999999998</v>
      </c>
      <c r="H76" s="91"/>
      <c r="I76" s="89">
        <v>0</v>
      </c>
      <c r="J76" s="90">
        <v>0</v>
      </c>
      <c r="K76" s="90">
        <v>0</v>
      </c>
      <c r="L76" s="90">
        <v>0</v>
      </c>
      <c r="M76" s="90">
        <v>0</v>
      </c>
      <c r="N76" s="91">
        <v>0</v>
      </c>
      <c r="O76" s="89">
        <v>0</v>
      </c>
      <c r="P76" s="90">
        <v>0</v>
      </c>
      <c r="Q76" s="90">
        <v>0</v>
      </c>
      <c r="R76" s="90">
        <v>0</v>
      </c>
      <c r="S76" s="90">
        <v>0</v>
      </c>
      <c r="T76" s="91">
        <v>0</v>
      </c>
      <c r="V76" s="92">
        <f t="shared" si="6"/>
        <v>4.8899999999999997</v>
      </c>
      <c r="W76" s="97">
        <f t="shared" si="7"/>
        <v>0</v>
      </c>
      <c r="X76" s="76"/>
      <c r="Z76" s="98">
        <f t="shared" si="5"/>
        <v>4.8899999999999997</v>
      </c>
      <c r="AA76" s="99">
        <f t="shared" si="9"/>
        <v>5.13</v>
      </c>
    </row>
    <row r="77" spans="1:27" x14ac:dyDescent="0.25">
      <c r="A77" s="95">
        <f t="shared" ca="1" si="8"/>
        <v>45271</v>
      </c>
      <c r="B77" s="100">
        <v>74</v>
      </c>
      <c r="C77" s="89">
        <v>598.29999999999995</v>
      </c>
      <c r="D77" s="90">
        <v>23</v>
      </c>
      <c r="E77" s="90"/>
      <c r="F77" s="90">
        <v>5.4602599999999999</v>
      </c>
      <c r="G77" s="90">
        <v>12</v>
      </c>
      <c r="H77" s="91"/>
      <c r="I77" s="89">
        <v>0</v>
      </c>
      <c r="J77" s="90">
        <v>0</v>
      </c>
      <c r="K77" s="90">
        <v>0</v>
      </c>
      <c r="L77" s="90">
        <v>0</v>
      </c>
      <c r="M77" s="90">
        <v>0</v>
      </c>
      <c r="N77" s="91">
        <v>0</v>
      </c>
      <c r="O77" s="89">
        <v>0</v>
      </c>
      <c r="P77" s="90">
        <v>0</v>
      </c>
      <c r="Q77" s="90">
        <v>0</v>
      </c>
      <c r="R77" s="90">
        <v>0</v>
      </c>
      <c r="S77" s="90">
        <v>0</v>
      </c>
      <c r="T77" s="91">
        <v>0</v>
      </c>
      <c r="V77" s="92">
        <f t="shared" si="6"/>
        <v>5.7</v>
      </c>
      <c r="W77" s="97">
        <f t="shared" si="7"/>
        <v>0</v>
      </c>
      <c r="X77" s="76"/>
      <c r="Z77" s="98">
        <f t="shared" si="5"/>
        <v>5.7</v>
      </c>
      <c r="AA77" s="99">
        <f t="shared" si="9"/>
        <v>5.13</v>
      </c>
    </row>
    <row r="78" spans="1:27" x14ac:dyDescent="0.25">
      <c r="A78" s="95">
        <f t="shared" ca="1" si="8"/>
        <v>45271</v>
      </c>
      <c r="B78" s="100">
        <v>75</v>
      </c>
      <c r="C78" s="101">
        <v>663.40000000000009</v>
      </c>
      <c r="D78" s="102">
        <v>23</v>
      </c>
      <c r="E78" s="102"/>
      <c r="F78" s="102">
        <v>7.1099700000000006</v>
      </c>
      <c r="G78" s="102">
        <v>8.8885900000000007</v>
      </c>
      <c r="H78" s="103"/>
      <c r="I78" s="101">
        <v>0</v>
      </c>
      <c r="J78" s="102">
        <v>0</v>
      </c>
      <c r="K78" s="102">
        <v>0</v>
      </c>
      <c r="L78" s="102">
        <v>0</v>
      </c>
      <c r="M78" s="102">
        <v>0</v>
      </c>
      <c r="N78" s="103">
        <v>0</v>
      </c>
      <c r="O78" s="89">
        <v>0</v>
      </c>
      <c r="P78" s="90">
        <v>0</v>
      </c>
      <c r="Q78" s="90">
        <v>0</v>
      </c>
      <c r="R78" s="90">
        <v>0</v>
      </c>
      <c r="S78" s="90">
        <v>0</v>
      </c>
      <c r="T78" s="91">
        <v>0</v>
      </c>
      <c r="V78" s="92">
        <f t="shared" si="6"/>
        <v>7.17</v>
      </c>
      <c r="W78" s="97">
        <f t="shared" si="7"/>
        <v>0</v>
      </c>
      <c r="X78" s="76"/>
      <c r="Z78" s="98">
        <f t="shared" si="5"/>
        <v>7.17</v>
      </c>
      <c r="AA78" s="99">
        <f t="shared" si="9"/>
        <v>5.13</v>
      </c>
    </row>
    <row r="79" spans="1:27" x14ac:dyDescent="0.25">
      <c r="A79" s="95">
        <f t="shared" ca="1" si="8"/>
        <v>45271</v>
      </c>
      <c r="B79" s="100">
        <v>76</v>
      </c>
      <c r="C79" s="101">
        <v>575.70000000000005</v>
      </c>
      <c r="D79" s="102">
        <v>23</v>
      </c>
      <c r="E79" s="102"/>
      <c r="F79" s="102">
        <v>7.8005300000000002</v>
      </c>
      <c r="G79" s="102">
        <v>12</v>
      </c>
      <c r="H79" s="103"/>
      <c r="I79" s="101">
        <v>0</v>
      </c>
      <c r="J79" s="102">
        <v>0</v>
      </c>
      <c r="K79" s="102">
        <v>0</v>
      </c>
      <c r="L79" s="102">
        <v>0</v>
      </c>
      <c r="M79" s="102">
        <v>0</v>
      </c>
      <c r="N79" s="103">
        <v>0</v>
      </c>
      <c r="O79" s="89">
        <v>0</v>
      </c>
      <c r="P79" s="90">
        <v>0</v>
      </c>
      <c r="Q79" s="90">
        <v>0</v>
      </c>
      <c r="R79" s="90">
        <v>0</v>
      </c>
      <c r="S79" s="90">
        <v>0</v>
      </c>
      <c r="T79" s="91">
        <v>0</v>
      </c>
      <c r="V79" s="92">
        <f t="shared" si="6"/>
        <v>7.96</v>
      </c>
      <c r="W79" s="97">
        <f t="shared" si="7"/>
        <v>0</v>
      </c>
      <c r="X79" s="76"/>
      <c r="Z79" s="98">
        <f t="shared" si="5"/>
        <v>7.96</v>
      </c>
      <c r="AA79" s="99">
        <f t="shared" si="9"/>
        <v>5.13</v>
      </c>
    </row>
    <row r="80" spans="1:27" x14ac:dyDescent="0.25">
      <c r="A80" s="95">
        <f t="shared" ca="1" si="8"/>
        <v>45271</v>
      </c>
      <c r="B80" s="100">
        <v>77</v>
      </c>
      <c r="C80" s="101">
        <v>575.79999999999995</v>
      </c>
      <c r="D80" s="102">
        <v>23</v>
      </c>
      <c r="E80" s="102"/>
      <c r="F80" s="102">
        <v>8.8880999999999997</v>
      </c>
      <c r="G80" s="102">
        <v>12</v>
      </c>
      <c r="H80" s="103"/>
      <c r="I80" s="101">
        <v>0</v>
      </c>
      <c r="J80" s="102">
        <v>0</v>
      </c>
      <c r="K80" s="102">
        <v>0</v>
      </c>
      <c r="L80" s="102">
        <v>0</v>
      </c>
      <c r="M80" s="102">
        <v>0</v>
      </c>
      <c r="N80" s="103">
        <v>0</v>
      </c>
      <c r="O80" s="89">
        <v>0</v>
      </c>
      <c r="P80" s="90">
        <v>0</v>
      </c>
      <c r="Q80" s="90">
        <v>0</v>
      </c>
      <c r="R80" s="90">
        <v>0</v>
      </c>
      <c r="S80" s="90">
        <v>0</v>
      </c>
      <c r="T80" s="91">
        <v>0</v>
      </c>
      <c r="V80" s="92">
        <f t="shared" si="6"/>
        <v>9.01</v>
      </c>
      <c r="W80" s="97">
        <f t="shared" si="7"/>
        <v>0</v>
      </c>
      <c r="X80" s="76"/>
      <c r="Z80" s="98">
        <f t="shared" si="5"/>
        <v>9.01</v>
      </c>
      <c r="AA80" s="99">
        <f t="shared" si="9"/>
        <v>5.13</v>
      </c>
    </row>
    <row r="81" spans="1:27" x14ac:dyDescent="0.25">
      <c r="A81" s="95">
        <f t="shared" ca="1" si="8"/>
        <v>45271</v>
      </c>
      <c r="B81" s="100">
        <v>78</v>
      </c>
      <c r="C81" s="101">
        <v>575.79999999999995</v>
      </c>
      <c r="D81" s="102">
        <v>23</v>
      </c>
      <c r="E81" s="102"/>
      <c r="F81" s="102">
        <v>7.9983399999999998</v>
      </c>
      <c r="G81" s="102">
        <v>12</v>
      </c>
      <c r="H81" s="103"/>
      <c r="I81" s="101">
        <v>0</v>
      </c>
      <c r="J81" s="102">
        <v>0</v>
      </c>
      <c r="K81" s="102">
        <v>0</v>
      </c>
      <c r="L81" s="102">
        <v>0</v>
      </c>
      <c r="M81" s="102">
        <v>0</v>
      </c>
      <c r="N81" s="103">
        <v>0</v>
      </c>
      <c r="O81" s="89">
        <v>0</v>
      </c>
      <c r="P81" s="90">
        <v>0</v>
      </c>
      <c r="Q81" s="90">
        <v>0</v>
      </c>
      <c r="R81" s="90">
        <v>0</v>
      </c>
      <c r="S81" s="90">
        <v>0</v>
      </c>
      <c r="T81" s="91">
        <v>0</v>
      </c>
      <c r="V81" s="92">
        <f t="shared" si="6"/>
        <v>8.15</v>
      </c>
      <c r="W81" s="97">
        <f t="shared" si="7"/>
        <v>0</v>
      </c>
      <c r="X81" s="76"/>
      <c r="Z81" s="98">
        <f t="shared" si="5"/>
        <v>8.15</v>
      </c>
      <c r="AA81" s="99">
        <f t="shared" si="9"/>
        <v>5.13</v>
      </c>
    </row>
    <row r="82" spans="1:27" x14ac:dyDescent="0.25">
      <c r="A82" s="95">
        <f t="shared" ca="1" si="8"/>
        <v>45271</v>
      </c>
      <c r="B82" s="100">
        <v>79</v>
      </c>
      <c r="C82" s="101">
        <v>575.79999999999995</v>
      </c>
      <c r="D82" s="102">
        <v>23</v>
      </c>
      <c r="E82" s="102"/>
      <c r="F82" s="102">
        <v>7.8007499999999999</v>
      </c>
      <c r="G82" s="102">
        <v>8.8885699999999996</v>
      </c>
      <c r="H82" s="103"/>
      <c r="I82" s="101">
        <v>0</v>
      </c>
      <c r="J82" s="102">
        <v>0</v>
      </c>
      <c r="K82" s="102">
        <v>0</v>
      </c>
      <c r="L82" s="102">
        <v>0</v>
      </c>
      <c r="M82" s="102">
        <v>0</v>
      </c>
      <c r="N82" s="103">
        <v>0</v>
      </c>
      <c r="O82" s="89">
        <v>0</v>
      </c>
      <c r="P82" s="90">
        <v>0</v>
      </c>
      <c r="Q82" s="90">
        <v>0</v>
      </c>
      <c r="R82" s="90">
        <v>0</v>
      </c>
      <c r="S82" s="90">
        <v>0</v>
      </c>
      <c r="T82" s="91">
        <v>0</v>
      </c>
      <c r="V82" s="92">
        <f t="shared" si="6"/>
        <v>7.84</v>
      </c>
      <c r="W82" s="97">
        <f t="shared" si="7"/>
        <v>0</v>
      </c>
      <c r="X82" s="76"/>
      <c r="Z82" s="98">
        <f t="shared" si="5"/>
        <v>7.84</v>
      </c>
      <c r="AA82" s="99">
        <f t="shared" si="9"/>
        <v>5.13</v>
      </c>
    </row>
    <row r="83" spans="1:27" x14ac:dyDescent="0.25">
      <c r="A83" s="95">
        <f t="shared" ca="1" si="8"/>
        <v>45271</v>
      </c>
      <c r="B83" s="100">
        <v>80</v>
      </c>
      <c r="C83" s="101">
        <v>575.79999999999995</v>
      </c>
      <c r="D83" s="102">
        <v>23</v>
      </c>
      <c r="E83" s="102"/>
      <c r="F83" s="102">
        <v>7.80063</v>
      </c>
      <c r="G83" s="102">
        <v>7.0008999999999997</v>
      </c>
      <c r="H83" s="103"/>
      <c r="I83" s="101">
        <v>0</v>
      </c>
      <c r="J83" s="102">
        <v>0</v>
      </c>
      <c r="K83" s="102">
        <v>0</v>
      </c>
      <c r="L83" s="102">
        <v>0</v>
      </c>
      <c r="M83" s="102">
        <v>0</v>
      </c>
      <c r="N83" s="103">
        <v>0</v>
      </c>
      <c r="O83" s="89">
        <v>0</v>
      </c>
      <c r="P83" s="90">
        <v>0</v>
      </c>
      <c r="Q83" s="90">
        <v>0</v>
      </c>
      <c r="R83" s="90">
        <v>0</v>
      </c>
      <c r="S83" s="90">
        <v>0</v>
      </c>
      <c r="T83" s="91">
        <v>0</v>
      </c>
      <c r="V83" s="92">
        <f t="shared" si="6"/>
        <v>7.77</v>
      </c>
      <c r="W83" s="97">
        <f t="shared" si="7"/>
        <v>0</v>
      </c>
      <c r="X83" s="76"/>
      <c r="Z83" s="98">
        <f t="shared" si="5"/>
        <v>7.77</v>
      </c>
      <c r="AA83" s="99">
        <f t="shared" si="9"/>
        <v>5.13</v>
      </c>
    </row>
    <row r="84" spans="1:27" x14ac:dyDescent="0.25">
      <c r="A84" s="95">
        <f t="shared" ca="1" si="8"/>
        <v>45271</v>
      </c>
      <c r="B84" s="100">
        <v>81</v>
      </c>
      <c r="C84" s="101">
        <v>671.30000000000007</v>
      </c>
      <c r="D84" s="102">
        <v>23</v>
      </c>
      <c r="E84" s="102"/>
      <c r="F84" s="102">
        <v>7.4918300000000002</v>
      </c>
      <c r="G84" s="102">
        <v>12</v>
      </c>
      <c r="H84" s="103"/>
      <c r="I84" s="101">
        <v>0</v>
      </c>
      <c r="J84" s="102">
        <v>0</v>
      </c>
      <c r="K84" s="102">
        <v>0</v>
      </c>
      <c r="L84" s="102">
        <v>0</v>
      </c>
      <c r="M84" s="102">
        <v>0</v>
      </c>
      <c r="N84" s="103">
        <v>0</v>
      </c>
      <c r="O84" s="89">
        <v>0</v>
      </c>
      <c r="P84" s="90">
        <v>0</v>
      </c>
      <c r="Q84" s="90">
        <v>0</v>
      </c>
      <c r="R84" s="90">
        <v>0</v>
      </c>
      <c r="S84" s="90">
        <v>0</v>
      </c>
      <c r="T84" s="91">
        <v>0</v>
      </c>
      <c r="V84" s="92">
        <f t="shared" si="6"/>
        <v>7.64</v>
      </c>
      <c r="W84" s="97">
        <f t="shared" si="7"/>
        <v>0</v>
      </c>
      <c r="X84" s="76"/>
      <c r="Z84" s="98">
        <f t="shared" si="5"/>
        <v>7.64</v>
      </c>
      <c r="AA84" s="99">
        <f t="shared" si="9"/>
        <v>5.13</v>
      </c>
    </row>
    <row r="85" spans="1:27" x14ac:dyDescent="0.25">
      <c r="A85" s="95">
        <f t="shared" ca="1" si="8"/>
        <v>45271</v>
      </c>
      <c r="B85" s="100">
        <v>82</v>
      </c>
      <c r="C85" s="101">
        <v>676.30000000000007</v>
      </c>
      <c r="D85" s="102">
        <v>23</v>
      </c>
      <c r="E85" s="102"/>
      <c r="F85" s="102">
        <v>7.3654700000000002</v>
      </c>
      <c r="G85" s="102">
        <v>7.7777500000000002</v>
      </c>
      <c r="H85" s="103"/>
      <c r="I85" s="101">
        <v>0</v>
      </c>
      <c r="J85" s="102">
        <v>0</v>
      </c>
      <c r="K85" s="102">
        <v>0</v>
      </c>
      <c r="L85" s="102">
        <v>0</v>
      </c>
      <c r="M85" s="102">
        <v>0</v>
      </c>
      <c r="N85" s="103">
        <v>0</v>
      </c>
      <c r="O85" s="89">
        <v>0</v>
      </c>
      <c r="P85" s="90">
        <v>0</v>
      </c>
      <c r="Q85" s="90">
        <v>0</v>
      </c>
      <c r="R85" s="90">
        <v>0</v>
      </c>
      <c r="S85" s="90">
        <v>0</v>
      </c>
      <c r="T85" s="91">
        <v>0</v>
      </c>
      <c r="V85" s="92">
        <f t="shared" si="6"/>
        <v>7.38</v>
      </c>
      <c r="W85" s="97">
        <f t="shared" si="7"/>
        <v>0</v>
      </c>
      <c r="X85" s="76"/>
      <c r="Z85" s="98">
        <f t="shared" si="5"/>
        <v>7.38</v>
      </c>
      <c r="AA85" s="99">
        <f t="shared" si="9"/>
        <v>5.13</v>
      </c>
    </row>
    <row r="86" spans="1:27" x14ac:dyDescent="0.25">
      <c r="A86" s="95">
        <f t="shared" ca="1" si="8"/>
        <v>45271</v>
      </c>
      <c r="B86" s="100">
        <v>83</v>
      </c>
      <c r="C86" s="101">
        <v>661.99</v>
      </c>
      <c r="D86" s="102">
        <v>23</v>
      </c>
      <c r="E86" s="102"/>
      <c r="F86" s="102">
        <v>6.9993100000000004</v>
      </c>
      <c r="G86" s="102">
        <v>7.7775400000000001</v>
      </c>
      <c r="H86" s="103"/>
      <c r="I86" s="101">
        <v>0</v>
      </c>
      <c r="J86" s="102">
        <v>0</v>
      </c>
      <c r="K86" s="102">
        <v>0</v>
      </c>
      <c r="L86" s="102">
        <v>0</v>
      </c>
      <c r="M86" s="102">
        <v>0</v>
      </c>
      <c r="N86" s="103">
        <v>0</v>
      </c>
      <c r="O86" s="89">
        <v>0</v>
      </c>
      <c r="P86" s="90">
        <v>0</v>
      </c>
      <c r="Q86" s="90">
        <v>0</v>
      </c>
      <c r="R86" s="90">
        <v>0</v>
      </c>
      <c r="S86" s="90">
        <v>0</v>
      </c>
      <c r="T86" s="91">
        <v>0</v>
      </c>
      <c r="V86" s="92">
        <f t="shared" si="6"/>
        <v>7.03</v>
      </c>
      <c r="W86" s="97">
        <f t="shared" si="7"/>
        <v>0</v>
      </c>
      <c r="X86" s="76"/>
      <c r="Z86" s="98">
        <f t="shared" si="5"/>
        <v>7.03</v>
      </c>
      <c r="AA86" s="99">
        <f t="shared" si="9"/>
        <v>5.13</v>
      </c>
    </row>
    <row r="87" spans="1:27" x14ac:dyDescent="0.25">
      <c r="A87" s="95">
        <f t="shared" ca="1" si="8"/>
        <v>45271</v>
      </c>
      <c r="B87" s="100">
        <v>84</v>
      </c>
      <c r="C87" s="101">
        <v>626.1</v>
      </c>
      <c r="D87" s="102">
        <v>23</v>
      </c>
      <c r="E87" s="102"/>
      <c r="F87" s="102">
        <v>6.9989499999999998</v>
      </c>
      <c r="G87" s="102">
        <v>7.5003500000000001</v>
      </c>
      <c r="H87" s="103"/>
      <c r="I87" s="101">
        <v>0</v>
      </c>
      <c r="J87" s="102">
        <v>0</v>
      </c>
      <c r="K87" s="102">
        <v>0</v>
      </c>
      <c r="L87" s="102">
        <v>0</v>
      </c>
      <c r="M87" s="102">
        <v>0</v>
      </c>
      <c r="N87" s="103">
        <v>0</v>
      </c>
      <c r="O87" s="89">
        <v>0</v>
      </c>
      <c r="P87" s="90">
        <v>0</v>
      </c>
      <c r="Q87" s="90">
        <v>0</v>
      </c>
      <c r="R87" s="90">
        <v>0</v>
      </c>
      <c r="S87" s="90">
        <v>0</v>
      </c>
      <c r="T87" s="91">
        <v>0</v>
      </c>
      <c r="V87" s="92">
        <f t="shared" si="6"/>
        <v>7.02</v>
      </c>
      <c r="W87" s="97">
        <f t="shared" si="7"/>
        <v>0</v>
      </c>
      <c r="X87" s="76"/>
      <c r="Z87" s="98">
        <f t="shared" si="5"/>
        <v>7.02</v>
      </c>
      <c r="AA87" s="99">
        <f t="shared" si="9"/>
        <v>5.13</v>
      </c>
    </row>
    <row r="88" spans="1:27" x14ac:dyDescent="0.25">
      <c r="A88" s="95">
        <f t="shared" ca="1" si="8"/>
        <v>45271</v>
      </c>
      <c r="B88" s="100">
        <v>85</v>
      </c>
      <c r="C88" s="101">
        <v>685.90000000000009</v>
      </c>
      <c r="D88" s="102">
        <v>23</v>
      </c>
      <c r="E88" s="102"/>
      <c r="F88" s="102">
        <v>7.3650900000000004</v>
      </c>
      <c r="G88" s="102">
        <v>7.5000799999999996</v>
      </c>
      <c r="H88" s="103"/>
      <c r="I88" s="101">
        <v>0</v>
      </c>
      <c r="J88" s="102">
        <v>0</v>
      </c>
      <c r="K88" s="102">
        <v>0</v>
      </c>
      <c r="L88" s="102">
        <v>0</v>
      </c>
      <c r="M88" s="102">
        <v>0</v>
      </c>
      <c r="N88" s="103">
        <v>0</v>
      </c>
      <c r="O88" s="89">
        <v>0</v>
      </c>
      <c r="P88" s="90">
        <v>0</v>
      </c>
      <c r="Q88" s="90">
        <v>0</v>
      </c>
      <c r="R88" s="90">
        <v>0</v>
      </c>
      <c r="S88" s="90">
        <v>0</v>
      </c>
      <c r="T88" s="91">
        <v>0</v>
      </c>
      <c r="V88" s="92">
        <f t="shared" si="6"/>
        <v>7.37</v>
      </c>
      <c r="W88" s="97">
        <f t="shared" si="7"/>
        <v>0</v>
      </c>
      <c r="X88" s="76"/>
      <c r="Z88" s="98">
        <f t="shared" si="5"/>
        <v>7.37</v>
      </c>
      <c r="AA88" s="99">
        <f t="shared" si="9"/>
        <v>5.13</v>
      </c>
    </row>
    <row r="89" spans="1:27" x14ac:dyDescent="0.25">
      <c r="A89" s="95">
        <f t="shared" ca="1" si="8"/>
        <v>45271</v>
      </c>
      <c r="B89" s="100">
        <v>86</v>
      </c>
      <c r="C89" s="101">
        <v>619.5</v>
      </c>
      <c r="D89" s="102">
        <v>23</v>
      </c>
      <c r="E89" s="102"/>
      <c r="F89" s="102">
        <v>6.9980099999999998</v>
      </c>
      <c r="G89" s="102">
        <v>7.5009399999999999</v>
      </c>
      <c r="H89" s="103"/>
      <c r="I89" s="101">
        <v>0</v>
      </c>
      <c r="J89" s="102">
        <v>0</v>
      </c>
      <c r="K89" s="102">
        <v>0</v>
      </c>
      <c r="L89" s="102">
        <v>0</v>
      </c>
      <c r="M89" s="102">
        <v>0</v>
      </c>
      <c r="N89" s="103">
        <v>0</v>
      </c>
      <c r="O89" s="89">
        <v>0</v>
      </c>
      <c r="P89" s="90">
        <v>0</v>
      </c>
      <c r="Q89" s="90">
        <v>0</v>
      </c>
      <c r="R89" s="90">
        <v>0</v>
      </c>
      <c r="S89" s="90">
        <v>0</v>
      </c>
      <c r="T89" s="91">
        <v>0</v>
      </c>
      <c r="V89" s="92">
        <f t="shared" si="6"/>
        <v>7.02</v>
      </c>
      <c r="W89" s="97">
        <f t="shared" si="7"/>
        <v>0</v>
      </c>
      <c r="X89" s="76"/>
      <c r="Z89" s="98">
        <f t="shared" si="5"/>
        <v>7.02</v>
      </c>
      <c r="AA89" s="99">
        <f t="shared" si="9"/>
        <v>5.13</v>
      </c>
    </row>
    <row r="90" spans="1:27" x14ac:dyDescent="0.25">
      <c r="A90" s="95">
        <f t="shared" ca="1" si="8"/>
        <v>45271</v>
      </c>
      <c r="B90" s="100">
        <v>87</v>
      </c>
      <c r="C90" s="101">
        <v>639.4</v>
      </c>
      <c r="D90" s="102">
        <v>23</v>
      </c>
      <c r="E90" s="102"/>
      <c r="F90" s="102">
        <v>6.0093300000000003</v>
      </c>
      <c r="G90" s="102">
        <v>6.5098700000000003</v>
      </c>
      <c r="H90" s="103"/>
      <c r="I90" s="101">
        <v>0</v>
      </c>
      <c r="J90" s="102">
        <v>0</v>
      </c>
      <c r="K90" s="102">
        <v>0</v>
      </c>
      <c r="L90" s="102">
        <v>0</v>
      </c>
      <c r="M90" s="102">
        <v>0</v>
      </c>
      <c r="N90" s="103">
        <v>0</v>
      </c>
      <c r="O90" s="89">
        <v>0</v>
      </c>
      <c r="P90" s="90">
        <v>0</v>
      </c>
      <c r="Q90" s="90">
        <v>0</v>
      </c>
      <c r="R90" s="90">
        <v>0</v>
      </c>
      <c r="S90" s="90">
        <v>0</v>
      </c>
      <c r="T90" s="91">
        <v>0</v>
      </c>
      <c r="V90" s="92">
        <f t="shared" si="6"/>
        <v>6.03</v>
      </c>
      <c r="W90" s="97">
        <f t="shared" si="7"/>
        <v>0</v>
      </c>
      <c r="X90" s="76"/>
      <c r="Z90" s="98">
        <f t="shared" si="5"/>
        <v>6.03</v>
      </c>
      <c r="AA90" s="99">
        <f t="shared" si="9"/>
        <v>5.13</v>
      </c>
    </row>
    <row r="91" spans="1:27" x14ac:dyDescent="0.25">
      <c r="A91" s="95">
        <f t="shared" ca="1" si="8"/>
        <v>45271</v>
      </c>
      <c r="B91" s="100">
        <v>88</v>
      </c>
      <c r="C91" s="101">
        <v>610.1</v>
      </c>
      <c r="D91" s="102">
        <v>23</v>
      </c>
      <c r="E91" s="102"/>
      <c r="F91" s="102">
        <v>5.4607900000000003</v>
      </c>
      <c r="G91" s="102">
        <v>6.5090600000000007</v>
      </c>
      <c r="H91" s="103"/>
      <c r="I91" s="101">
        <v>0</v>
      </c>
      <c r="J91" s="102">
        <v>0</v>
      </c>
      <c r="K91" s="102">
        <v>0</v>
      </c>
      <c r="L91" s="102">
        <v>0</v>
      </c>
      <c r="M91" s="102">
        <v>0</v>
      </c>
      <c r="N91" s="103">
        <v>0</v>
      </c>
      <c r="O91" s="89">
        <v>0</v>
      </c>
      <c r="P91" s="90">
        <v>0</v>
      </c>
      <c r="Q91" s="90">
        <v>0</v>
      </c>
      <c r="R91" s="90">
        <v>0</v>
      </c>
      <c r="S91" s="90">
        <v>0</v>
      </c>
      <c r="T91" s="91">
        <v>0</v>
      </c>
      <c r="V91" s="92">
        <f t="shared" si="6"/>
        <v>5.5</v>
      </c>
      <c r="W91" s="97">
        <f t="shared" si="7"/>
        <v>0</v>
      </c>
      <c r="X91" s="76"/>
      <c r="Z91" s="98">
        <f t="shared" si="5"/>
        <v>5.5</v>
      </c>
      <c r="AA91" s="99">
        <f t="shared" si="9"/>
        <v>5.13</v>
      </c>
    </row>
    <row r="92" spans="1:27" x14ac:dyDescent="0.25">
      <c r="A92" s="95">
        <f t="shared" ca="1" si="8"/>
        <v>45271</v>
      </c>
      <c r="B92" s="100">
        <v>89</v>
      </c>
      <c r="C92" s="101">
        <v>601.29999999999995</v>
      </c>
      <c r="D92" s="102">
        <v>23</v>
      </c>
      <c r="E92" s="102"/>
      <c r="F92" s="102">
        <v>6.2302499999999998</v>
      </c>
      <c r="G92" s="102">
        <v>6.5098500000000001</v>
      </c>
      <c r="H92" s="103"/>
      <c r="I92" s="101">
        <v>0</v>
      </c>
      <c r="J92" s="102">
        <v>0</v>
      </c>
      <c r="K92" s="102">
        <v>0</v>
      </c>
      <c r="L92" s="102">
        <v>0</v>
      </c>
      <c r="M92" s="102">
        <v>0</v>
      </c>
      <c r="N92" s="103">
        <v>0</v>
      </c>
      <c r="O92" s="89">
        <v>0</v>
      </c>
      <c r="P92" s="90">
        <v>0</v>
      </c>
      <c r="Q92" s="90">
        <v>0</v>
      </c>
      <c r="R92" s="90">
        <v>0</v>
      </c>
      <c r="S92" s="90">
        <v>0</v>
      </c>
      <c r="T92" s="91">
        <v>0</v>
      </c>
      <c r="V92" s="92">
        <f t="shared" si="6"/>
        <v>6.24</v>
      </c>
      <c r="W92" s="97">
        <f t="shared" si="7"/>
        <v>0</v>
      </c>
      <c r="X92" s="76"/>
      <c r="Z92" s="98">
        <f t="shared" si="5"/>
        <v>6.24</v>
      </c>
      <c r="AA92" s="99">
        <f t="shared" si="9"/>
        <v>5.13</v>
      </c>
    </row>
    <row r="93" spans="1:27" x14ac:dyDescent="0.25">
      <c r="A93" s="95">
        <f t="shared" ca="1" si="8"/>
        <v>45271</v>
      </c>
      <c r="B93" s="100">
        <v>90</v>
      </c>
      <c r="C93" s="101">
        <v>418.1</v>
      </c>
      <c r="D93" s="102">
        <v>23</v>
      </c>
      <c r="E93" s="102"/>
      <c r="F93" s="102">
        <v>6.4992299999999998</v>
      </c>
      <c r="G93" s="102">
        <v>6.5092299999999996</v>
      </c>
      <c r="H93" s="103"/>
      <c r="I93" s="101">
        <v>0</v>
      </c>
      <c r="J93" s="102">
        <v>0</v>
      </c>
      <c r="K93" s="102">
        <v>0</v>
      </c>
      <c r="L93" s="102">
        <v>0</v>
      </c>
      <c r="M93" s="102">
        <v>0</v>
      </c>
      <c r="N93" s="103">
        <v>0</v>
      </c>
      <c r="O93" s="89">
        <v>0</v>
      </c>
      <c r="P93" s="90">
        <v>0</v>
      </c>
      <c r="Q93" s="90">
        <v>0</v>
      </c>
      <c r="R93" s="90">
        <v>0</v>
      </c>
      <c r="S93" s="90">
        <v>0</v>
      </c>
      <c r="T93" s="91">
        <v>0</v>
      </c>
      <c r="V93" s="92">
        <f t="shared" si="6"/>
        <v>6.5</v>
      </c>
      <c r="W93" s="97">
        <f t="shared" si="7"/>
        <v>0</v>
      </c>
      <c r="X93" s="76"/>
      <c r="Z93" s="98">
        <f t="shared" si="5"/>
        <v>6.5</v>
      </c>
      <c r="AA93" s="99">
        <f t="shared" si="9"/>
        <v>5.13</v>
      </c>
    </row>
    <row r="94" spans="1:27" x14ac:dyDescent="0.25">
      <c r="A94" s="95">
        <f t="shared" ca="1" si="8"/>
        <v>45271</v>
      </c>
      <c r="B94" s="100">
        <v>91</v>
      </c>
      <c r="C94" s="101">
        <v>425.6</v>
      </c>
      <c r="D94" s="102">
        <v>23</v>
      </c>
      <c r="E94" s="102"/>
      <c r="F94" s="102">
        <v>6.2308699999999995</v>
      </c>
      <c r="G94" s="102">
        <v>6.0009499999999996</v>
      </c>
      <c r="H94" s="103"/>
      <c r="I94" s="101">
        <v>0</v>
      </c>
      <c r="J94" s="102">
        <v>0</v>
      </c>
      <c r="K94" s="102">
        <v>0</v>
      </c>
      <c r="L94" s="102">
        <v>0</v>
      </c>
      <c r="M94" s="102">
        <v>0</v>
      </c>
      <c r="N94" s="103">
        <v>0</v>
      </c>
      <c r="O94" s="89">
        <v>0</v>
      </c>
      <c r="P94" s="90">
        <v>0</v>
      </c>
      <c r="Q94" s="90">
        <v>0</v>
      </c>
      <c r="R94" s="90">
        <v>0</v>
      </c>
      <c r="S94" s="90">
        <v>0</v>
      </c>
      <c r="T94" s="91">
        <v>0</v>
      </c>
      <c r="V94" s="92">
        <f t="shared" si="6"/>
        <v>6.22</v>
      </c>
      <c r="W94" s="97">
        <f t="shared" si="7"/>
        <v>0</v>
      </c>
      <c r="X94" s="76"/>
      <c r="Z94" s="98">
        <f t="shared" si="5"/>
        <v>6.22</v>
      </c>
      <c r="AA94" s="99">
        <f t="shared" si="9"/>
        <v>5.13</v>
      </c>
    </row>
    <row r="95" spans="1:27" x14ac:dyDescent="0.25">
      <c r="A95" s="95">
        <f t="shared" ca="1" si="8"/>
        <v>45271</v>
      </c>
      <c r="B95" s="100">
        <v>92</v>
      </c>
      <c r="C95" s="101">
        <v>406.7</v>
      </c>
      <c r="D95" s="102">
        <v>23</v>
      </c>
      <c r="E95" s="102"/>
      <c r="F95" s="102">
        <v>6.4993299999999996</v>
      </c>
      <c r="G95" s="102">
        <v>6.0009700000000006</v>
      </c>
      <c r="H95" s="103"/>
      <c r="I95" s="101">
        <v>0</v>
      </c>
      <c r="J95" s="102">
        <v>0</v>
      </c>
      <c r="K95" s="102">
        <v>0</v>
      </c>
      <c r="L95" s="102">
        <v>0</v>
      </c>
      <c r="M95" s="102">
        <v>0</v>
      </c>
      <c r="N95" s="103">
        <v>0</v>
      </c>
      <c r="O95" s="89">
        <v>0</v>
      </c>
      <c r="P95" s="90">
        <v>0</v>
      </c>
      <c r="Q95" s="90">
        <v>0</v>
      </c>
      <c r="R95" s="90">
        <v>0</v>
      </c>
      <c r="S95" s="90">
        <v>0</v>
      </c>
      <c r="T95" s="91">
        <v>0</v>
      </c>
      <c r="V95" s="92">
        <f t="shared" si="6"/>
        <v>6.47</v>
      </c>
      <c r="W95" s="97">
        <f t="shared" si="7"/>
        <v>0</v>
      </c>
      <c r="X95" s="76"/>
      <c r="Z95" s="98">
        <f t="shared" si="5"/>
        <v>6.47</v>
      </c>
      <c r="AA95" s="99">
        <f t="shared" si="9"/>
        <v>5.13</v>
      </c>
    </row>
    <row r="96" spans="1:27" x14ac:dyDescent="0.25">
      <c r="A96" s="95">
        <f t="shared" ca="1" si="8"/>
        <v>45271</v>
      </c>
      <c r="B96" s="100">
        <v>93</v>
      </c>
      <c r="C96" s="101">
        <v>421.2</v>
      </c>
      <c r="D96" s="102">
        <v>23</v>
      </c>
      <c r="E96" s="102"/>
      <c r="F96" s="102">
        <v>6.2306499999999998</v>
      </c>
      <c r="G96" s="102">
        <v>5.7278400000000005</v>
      </c>
      <c r="H96" s="103"/>
      <c r="I96" s="101">
        <v>0</v>
      </c>
      <c r="J96" s="102">
        <v>0</v>
      </c>
      <c r="K96" s="102">
        <v>0</v>
      </c>
      <c r="L96" s="102">
        <v>0</v>
      </c>
      <c r="M96" s="102">
        <v>0</v>
      </c>
      <c r="N96" s="103">
        <v>0</v>
      </c>
      <c r="O96" s="89">
        <v>0</v>
      </c>
      <c r="P96" s="90">
        <v>0</v>
      </c>
      <c r="Q96" s="90">
        <v>0</v>
      </c>
      <c r="R96" s="90">
        <v>0</v>
      </c>
      <c r="S96" s="90">
        <v>0</v>
      </c>
      <c r="T96" s="91">
        <v>0</v>
      </c>
      <c r="V96" s="92">
        <f t="shared" si="6"/>
        <v>6.2</v>
      </c>
      <c r="W96" s="97">
        <f t="shared" si="7"/>
        <v>0</v>
      </c>
      <c r="X96" s="76"/>
      <c r="Z96" s="98">
        <f t="shared" si="5"/>
        <v>6.2</v>
      </c>
      <c r="AA96" s="99">
        <f t="shared" si="9"/>
        <v>5.13</v>
      </c>
    </row>
    <row r="97" spans="1:27" x14ac:dyDescent="0.25">
      <c r="A97" s="95">
        <f t="shared" ca="1" si="8"/>
        <v>45271</v>
      </c>
      <c r="B97" s="100">
        <v>94</v>
      </c>
      <c r="C97" s="101">
        <v>424.29999999999995</v>
      </c>
      <c r="D97" s="102">
        <v>23</v>
      </c>
      <c r="E97" s="102"/>
      <c r="F97" s="102">
        <v>6.9980099999999998</v>
      </c>
      <c r="G97" s="102">
        <v>5.7278400000000005</v>
      </c>
      <c r="H97" s="103"/>
      <c r="I97" s="101">
        <v>0</v>
      </c>
      <c r="J97" s="102">
        <v>0</v>
      </c>
      <c r="K97" s="102">
        <v>0</v>
      </c>
      <c r="L97" s="102">
        <v>0</v>
      </c>
      <c r="M97" s="102">
        <v>0</v>
      </c>
      <c r="N97" s="103">
        <v>0</v>
      </c>
      <c r="O97" s="89">
        <v>0</v>
      </c>
      <c r="P97" s="90">
        <v>0</v>
      </c>
      <c r="Q97" s="90">
        <v>0</v>
      </c>
      <c r="R97" s="90">
        <v>0</v>
      </c>
      <c r="S97" s="90">
        <v>0</v>
      </c>
      <c r="T97" s="91">
        <v>0</v>
      </c>
      <c r="V97" s="92">
        <f t="shared" si="6"/>
        <v>6.93</v>
      </c>
      <c r="W97" s="97">
        <f t="shared" si="7"/>
        <v>0</v>
      </c>
      <c r="X97" s="76"/>
      <c r="Z97" s="98">
        <f t="shared" si="5"/>
        <v>6.93</v>
      </c>
      <c r="AA97" s="99">
        <f t="shared" si="9"/>
        <v>5.13</v>
      </c>
    </row>
    <row r="98" spans="1:27" x14ac:dyDescent="0.25">
      <c r="A98" s="95">
        <f t="shared" ca="1" si="8"/>
        <v>45271</v>
      </c>
      <c r="B98" s="100">
        <v>95</v>
      </c>
      <c r="C98" s="101">
        <v>434.5</v>
      </c>
      <c r="D98" s="102">
        <v>23</v>
      </c>
      <c r="E98" s="102"/>
      <c r="F98" s="102">
        <v>6.9999599999999997</v>
      </c>
      <c r="G98" s="102">
        <v>5.7278400000000005</v>
      </c>
      <c r="H98" s="103"/>
      <c r="I98" s="101">
        <v>0</v>
      </c>
      <c r="J98" s="102">
        <v>0</v>
      </c>
      <c r="K98" s="102">
        <v>0</v>
      </c>
      <c r="L98" s="102">
        <v>0</v>
      </c>
      <c r="M98" s="102">
        <v>0</v>
      </c>
      <c r="N98" s="103">
        <v>0</v>
      </c>
      <c r="O98" s="89">
        <v>0</v>
      </c>
      <c r="P98" s="90">
        <v>0</v>
      </c>
      <c r="Q98" s="90">
        <v>0</v>
      </c>
      <c r="R98" s="90">
        <v>0</v>
      </c>
      <c r="S98" s="90">
        <v>0</v>
      </c>
      <c r="T98" s="91">
        <v>0</v>
      </c>
      <c r="V98" s="92">
        <f t="shared" si="6"/>
        <v>6.94</v>
      </c>
      <c r="W98" s="97">
        <f t="shared" si="7"/>
        <v>0</v>
      </c>
      <c r="X98" s="76"/>
      <c r="Z98" s="98">
        <f t="shared" si="5"/>
        <v>6.94</v>
      </c>
      <c r="AA98" s="99">
        <f t="shared" si="9"/>
        <v>5.13</v>
      </c>
    </row>
    <row r="99" spans="1:27" ht="15.75" thickBot="1" x14ac:dyDescent="0.3">
      <c r="A99" s="95">
        <f t="shared" ca="1" si="8"/>
        <v>45271</v>
      </c>
      <c r="B99" s="104">
        <v>96</v>
      </c>
      <c r="C99" s="105">
        <v>424.90000000000003</v>
      </c>
      <c r="D99" s="106">
        <v>23</v>
      </c>
      <c r="E99" s="106"/>
      <c r="F99" s="106">
        <v>6.9735699999999996</v>
      </c>
      <c r="G99" s="106">
        <v>5.7275799999999997</v>
      </c>
      <c r="H99" s="107"/>
      <c r="I99" s="105">
        <v>0</v>
      </c>
      <c r="J99" s="106">
        <v>0</v>
      </c>
      <c r="K99" s="106">
        <v>0</v>
      </c>
      <c r="L99" s="106">
        <v>0</v>
      </c>
      <c r="M99" s="106">
        <v>0</v>
      </c>
      <c r="N99" s="107">
        <v>0</v>
      </c>
      <c r="O99" s="108">
        <v>0</v>
      </c>
      <c r="P99" s="109">
        <v>0</v>
      </c>
      <c r="Q99" s="109">
        <v>0</v>
      </c>
      <c r="R99" s="109">
        <v>0</v>
      </c>
      <c r="S99" s="109">
        <v>0</v>
      </c>
      <c r="T99" s="110">
        <v>0</v>
      </c>
      <c r="V99" s="92">
        <f t="shared" si="6"/>
        <v>6.91</v>
      </c>
      <c r="W99" s="97">
        <f t="shared" si="7"/>
        <v>0</v>
      </c>
      <c r="X99" s="76"/>
      <c r="Z99" s="98">
        <f t="shared" si="5"/>
        <v>6.91</v>
      </c>
      <c r="AA99" s="99">
        <f t="shared" si="9"/>
        <v>5.13</v>
      </c>
    </row>
  </sheetData>
  <mergeCells count="13">
    <mergeCell ref="V2:V3"/>
    <mergeCell ref="W2:W3"/>
    <mergeCell ref="Z2:Z3"/>
    <mergeCell ref="AA2:AA3"/>
    <mergeCell ref="A1:T1"/>
    <mergeCell ref="A2:A3"/>
    <mergeCell ref="B2:B3"/>
    <mergeCell ref="C2:E2"/>
    <mergeCell ref="F2:H2"/>
    <mergeCell ref="I2:K2"/>
    <mergeCell ref="L2:N2"/>
    <mergeCell ref="O2:Q2"/>
    <mergeCell ref="R2:T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C4C0E-4877-4D05-80A9-7DFF1ECC1FDA}">
  <sheetPr codeName="Sheet6"/>
  <dimension ref="A1:B501"/>
  <sheetViews>
    <sheetView workbookViewId="0"/>
  </sheetViews>
  <sheetFormatPr defaultRowHeight="15" x14ac:dyDescent="0.25"/>
  <sheetData>
    <row r="1" spans="1:2" x14ac:dyDescent="0.25">
      <c r="A1" s="76" t="str">
        <f>CustomerData!B:B</f>
        <v>CustomerName</v>
      </c>
      <c r="B1" s="76" t="str">
        <f>CustomerData!A:A</f>
        <v>Id</v>
      </c>
    </row>
    <row r="2" spans="1:2" x14ac:dyDescent="0.25">
      <c r="A2" s="76" t="str">
        <f>CustomerData!B:B</f>
        <v>APRL_DC_TOTAL</v>
      </c>
      <c r="B2" s="76">
        <f>CustomerData!A:A</f>
        <v>1</v>
      </c>
    </row>
    <row r="3" spans="1:2" x14ac:dyDescent="0.25">
      <c r="A3" s="76" t="str">
        <f>CustomerData!B:B</f>
        <v>APRL_FUEL_COST</v>
      </c>
      <c r="B3" s="76">
        <f>CustomerData!A:A</f>
        <v>2</v>
      </c>
    </row>
    <row r="4" spans="1:2" x14ac:dyDescent="0.25">
      <c r="A4" s="76" t="str">
        <f>CustomerData!B:B</f>
        <v>APRL_SG_TOTAL</v>
      </c>
      <c r="B4" s="76">
        <f>CustomerData!A:A</f>
        <v>3</v>
      </c>
    </row>
    <row r="5" spans="1:2" x14ac:dyDescent="0.25">
      <c r="A5" s="76" t="str">
        <f>CustomerData!B:B</f>
        <v>DEMO</v>
      </c>
      <c r="B5" s="76">
        <f>CustomerData!A:A</f>
        <v>4</v>
      </c>
    </row>
    <row r="6" spans="1:2" x14ac:dyDescent="0.25">
      <c r="A6" s="76" t="str">
        <f>CustomerData!B:B</f>
        <v>ABC</v>
      </c>
      <c r="B6" s="76">
        <f>CustomerData!A:A</f>
        <v>5</v>
      </c>
    </row>
    <row r="7" spans="1:2" x14ac:dyDescent="0.25">
      <c r="A7" s="76" t="str">
        <f>CustomerData!B:B</f>
        <v>RDPPC</v>
      </c>
      <c r="B7" s="76">
        <f>CustomerData!A:A</f>
        <v>6</v>
      </c>
    </row>
    <row r="8" spans="1:2" x14ac:dyDescent="0.25">
      <c r="A8" s="76" t="str">
        <f>CustomerData!B:B</f>
        <v>IEX_TANGEDCO</v>
      </c>
      <c r="B8" s="76">
        <f>CustomerData!A:A</f>
        <v>7</v>
      </c>
    </row>
    <row r="9" spans="1:2" x14ac:dyDescent="0.25">
      <c r="A9" s="76" t="str">
        <f>CustomerData!B:B</f>
        <v>IEX_Assam</v>
      </c>
      <c r="B9" s="76">
        <f>CustomerData!A:A</f>
        <v>8</v>
      </c>
    </row>
    <row r="10" spans="1:2" x14ac:dyDescent="0.25">
      <c r="A10" s="76" t="str">
        <f>CustomerData!B:B</f>
        <v>RTM_IEX</v>
      </c>
      <c r="B10" s="76">
        <f>CustomerData!A:A</f>
        <v>9</v>
      </c>
    </row>
    <row r="11" spans="1:2" x14ac:dyDescent="0.25">
      <c r="A11" s="76" t="str">
        <f>CustomerData!B:B</f>
        <v>IEX</v>
      </c>
      <c r="B11" s="76">
        <f>CustomerData!A:A</f>
        <v>10</v>
      </c>
    </row>
    <row r="12" spans="1:2" x14ac:dyDescent="0.25">
      <c r="A12" s="76" t="str">
        <f>CustomerData!B:B</f>
        <v>AWL_Alwar_33KV</v>
      </c>
      <c r="B12" s="76">
        <f>CustomerData!A:A</f>
        <v>11</v>
      </c>
    </row>
    <row r="13" spans="1:2" x14ac:dyDescent="0.25">
      <c r="A13" s="76" t="str">
        <f>CustomerData!B:B</f>
        <v>AWL_Bundi_33KV</v>
      </c>
      <c r="B13" s="76">
        <f>CustomerData!A:A</f>
        <v>12</v>
      </c>
    </row>
    <row r="14" spans="1:2" x14ac:dyDescent="0.25">
      <c r="A14" s="76" t="str">
        <f>CustomerData!B:B</f>
        <v>Honda_Cars_India_Ltd</v>
      </c>
      <c r="B14" s="76">
        <f>CustomerData!A:A</f>
        <v>13</v>
      </c>
    </row>
    <row r="15" spans="1:2" x14ac:dyDescent="0.25">
      <c r="A15" s="76" t="str">
        <f>CustomerData!B:B</f>
        <v>IEX_ APDCL</v>
      </c>
      <c r="B15" s="76">
        <f>CustomerData!A:A</f>
        <v>14</v>
      </c>
    </row>
    <row r="16" spans="1:2" x14ac:dyDescent="0.25">
      <c r="A16" s="76" t="str">
        <f>CustomerData!B:B</f>
        <v>IEX_Intra_WBSEDCL</v>
      </c>
      <c r="B16" s="76">
        <f>CustomerData!A:A</f>
        <v>15</v>
      </c>
    </row>
    <row r="17" spans="1:2" x14ac:dyDescent="0.25">
      <c r="A17" s="76" t="str">
        <f>CustomerData!B:B</f>
        <v>IEX_GOA</v>
      </c>
      <c r="B17" s="76">
        <f>CustomerData!A:A</f>
        <v>16</v>
      </c>
    </row>
    <row r="18" spans="1:2" x14ac:dyDescent="0.25">
      <c r="A18" s="76" t="str">
        <f>CustomerData!B:B</f>
        <v>IEX_BSPHCL</v>
      </c>
      <c r="B18" s="76">
        <f>CustomerData!A:A</f>
        <v>17</v>
      </c>
    </row>
    <row r="19" spans="1:2" x14ac:dyDescent="0.25">
      <c r="A19" s="76" t="str">
        <f>CustomerData!B:B</f>
        <v>IEX_JBVN</v>
      </c>
      <c r="B19" s="76">
        <f>CustomerData!A:A</f>
        <v>18</v>
      </c>
    </row>
    <row r="20" spans="1:2" x14ac:dyDescent="0.25">
      <c r="A20" s="76" t="str">
        <f>CustomerData!B:B</f>
        <v>IEX_KSEB</v>
      </c>
      <c r="B20" s="76">
        <f>CustomerData!A:A</f>
        <v>19</v>
      </c>
    </row>
    <row r="21" spans="1:2" x14ac:dyDescent="0.25">
      <c r="A21" s="76" t="str">
        <f>CustomerData!B:B</f>
        <v>IEX_NPCL</v>
      </c>
      <c r="B21" s="76">
        <f>CustomerData!A:A</f>
        <v>20</v>
      </c>
    </row>
    <row r="22" spans="1:2" x14ac:dyDescent="0.25">
      <c r="A22" s="76" t="str">
        <f>CustomerData!B:B</f>
        <v>IEX_Vedanta SEZ</v>
      </c>
      <c r="B22" s="76">
        <f>CustomerData!A:A</f>
        <v>21</v>
      </c>
    </row>
    <row r="23" spans="1:2" x14ac:dyDescent="0.25">
      <c r="A23" s="76" t="str">
        <f>CustomerData!B:B</f>
        <v>RTM_PXIL</v>
      </c>
      <c r="B23" s="76">
        <f>CustomerData!A:A</f>
        <v>22</v>
      </c>
    </row>
    <row r="24" spans="1:2" x14ac:dyDescent="0.25">
      <c r="A24" s="76" t="str">
        <f>CustomerData!B:B</f>
        <v>AEL_AEML</v>
      </c>
      <c r="B24" s="76">
        <f>CustomerData!A:A</f>
        <v>23</v>
      </c>
    </row>
    <row r="25" spans="1:2" x14ac:dyDescent="0.25">
      <c r="A25" s="76" t="str">
        <f>CustomerData!B:B</f>
        <v>HPX_TN</v>
      </c>
      <c r="B25" s="76">
        <f>CustomerData!A:A</f>
        <v>24</v>
      </c>
    </row>
    <row r="26" spans="1:2" x14ac:dyDescent="0.25">
      <c r="A26" s="76" t="str">
        <f>CustomerData!B:B</f>
        <v>HPX _ST</v>
      </c>
      <c r="B26" s="76">
        <f>CustomerData!A:A</f>
        <v>25</v>
      </c>
    </row>
    <row r="27" spans="1:2" x14ac:dyDescent="0.25">
      <c r="A27" s="76" t="str">
        <f>CustomerData!B:B</f>
        <v>IEX_ST</v>
      </c>
      <c r="B27" s="76">
        <f>CustomerData!A:A</f>
        <v>26</v>
      </c>
    </row>
    <row r="28" spans="1:2" x14ac:dyDescent="0.25">
      <c r="A28" s="76">
        <f>CustomerData!B:B</f>
        <v>0</v>
      </c>
      <c r="B28" s="76">
        <f>CustomerData!A:A</f>
        <v>0</v>
      </c>
    </row>
    <row r="29" spans="1:2" x14ac:dyDescent="0.25">
      <c r="A29" s="76">
        <f>CustomerData!B:B</f>
        <v>0</v>
      </c>
      <c r="B29" s="76">
        <f>CustomerData!A:A</f>
        <v>0</v>
      </c>
    </row>
    <row r="30" spans="1:2" x14ac:dyDescent="0.25">
      <c r="A30" s="76">
        <f>CustomerData!B:B</f>
        <v>0</v>
      </c>
      <c r="B30" s="76">
        <f>CustomerData!A:A</f>
        <v>0</v>
      </c>
    </row>
    <row r="31" spans="1:2" x14ac:dyDescent="0.25">
      <c r="A31" s="76">
        <f>CustomerData!B:B</f>
        <v>0</v>
      </c>
      <c r="B31" s="76">
        <f>CustomerData!A:A</f>
        <v>0</v>
      </c>
    </row>
    <row r="32" spans="1:2" x14ac:dyDescent="0.25">
      <c r="A32" s="76">
        <f>CustomerData!B:B</f>
        <v>0</v>
      </c>
      <c r="B32" s="76">
        <f>CustomerData!A:A</f>
        <v>0</v>
      </c>
    </row>
    <row r="33" spans="1:2" x14ac:dyDescent="0.25">
      <c r="A33" s="76">
        <f>CustomerData!B:B</f>
        <v>0</v>
      </c>
      <c r="B33" s="76">
        <f>CustomerData!A:A</f>
        <v>0</v>
      </c>
    </row>
    <row r="34" spans="1:2" x14ac:dyDescent="0.25">
      <c r="A34" s="76">
        <f>CustomerData!B:B</f>
        <v>0</v>
      </c>
      <c r="B34" s="76">
        <f>CustomerData!A:A</f>
        <v>0</v>
      </c>
    </row>
    <row r="35" spans="1:2" x14ac:dyDescent="0.25">
      <c r="A35" s="76">
        <f>CustomerData!B:B</f>
        <v>0</v>
      </c>
      <c r="B35" s="76">
        <f>CustomerData!A:A</f>
        <v>0</v>
      </c>
    </row>
    <row r="36" spans="1:2" x14ac:dyDescent="0.25">
      <c r="A36" s="76">
        <f>CustomerData!B:B</f>
        <v>0</v>
      </c>
      <c r="B36" s="76">
        <f>CustomerData!A:A</f>
        <v>0</v>
      </c>
    </row>
    <row r="37" spans="1:2" x14ac:dyDescent="0.25">
      <c r="A37" s="76">
        <f>CustomerData!B:B</f>
        <v>0</v>
      </c>
      <c r="B37" s="76">
        <f>CustomerData!A:A</f>
        <v>0</v>
      </c>
    </row>
    <row r="38" spans="1:2" x14ac:dyDescent="0.25">
      <c r="A38" s="76">
        <f>CustomerData!B:B</f>
        <v>0</v>
      </c>
      <c r="B38" s="76">
        <f>CustomerData!A:A</f>
        <v>0</v>
      </c>
    </row>
    <row r="39" spans="1:2" x14ac:dyDescent="0.25">
      <c r="A39" s="76">
        <f>CustomerData!B:B</f>
        <v>0</v>
      </c>
      <c r="B39" s="76">
        <f>CustomerData!A:A</f>
        <v>0</v>
      </c>
    </row>
    <row r="40" spans="1:2" x14ac:dyDescent="0.25">
      <c r="A40" s="76">
        <f>CustomerData!B:B</f>
        <v>0</v>
      </c>
      <c r="B40" s="76">
        <f>CustomerData!A:A</f>
        <v>0</v>
      </c>
    </row>
    <row r="41" spans="1:2" x14ac:dyDescent="0.25">
      <c r="A41" s="76">
        <f>CustomerData!B:B</f>
        <v>0</v>
      </c>
      <c r="B41" s="76">
        <f>CustomerData!A:A</f>
        <v>0</v>
      </c>
    </row>
    <row r="42" spans="1:2" x14ac:dyDescent="0.25">
      <c r="A42" s="76">
        <f>CustomerData!B:B</f>
        <v>0</v>
      </c>
      <c r="B42" s="76">
        <f>CustomerData!A:A</f>
        <v>0</v>
      </c>
    </row>
    <row r="43" spans="1:2" x14ac:dyDescent="0.25">
      <c r="A43" s="76">
        <f>CustomerData!B:B</f>
        <v>0</v>
      </c>
      <c r="B43" s="76">
        <f>CustomerData!A:A</f>
        <v>0</v>
      </c>
    </row>
    <row r="44" spans="1:2" x14ac:dyDescent="0.25">
      <c r="A44" s="76">
        <f>CustomerData!B:B</f>
        <v>0</v>
      </c>
      <c r="B44" s="76">
        <f>CustomerData!A:A</f>
        <v>0</v>
      </c>
    </row>
    <row r="45" spans="1:2" x14ac:dyDescent="0.25">
      <c r="A45" s="76">
        <f>CustomerData!B:B</f>
        <v>0</v>
      </c>
      <c r="B45" s="76">
        <f>CustomerData!A:A</f>
        <v>0</v>
      </c>
    </row>
    <row r="46" spans="1:2" x14ac:dyDescent="0.25">
      <c r="A46" s="76">
        <f>CustomerData!B:B</f>
        <v>0</v>
      </c>
      <c r="B46" s="76">
        <f>CustomerData!A:A</f>
        <v>0</v>
      </c>
    </row>
    <row r="47" spans="1:2" x14ac:dyDescent="0.25">
      <c r="A47" s="76">
        <f>CustomerData!B:B</f>
        <v>0</v>
      </c>
      <c r="B47" s="76">
        <f>CustomerData!A:A</f>
        <v>0</v>
      </c>
    </row>
    <row r="48" spans="1:2" x14ac:dyDescent="0.25">
      <c r="A48" s="76">
        <f>CustomerData!B:B</f>
        <v>0</v>
      </c>
      <c r="B48" s="76">
        <f>CustomerData!A:A</f>
        <v>0</v>
      </c>
    </row>
    <row r="49" spans="1:2" x14ac:dyDescent="0.25">
      <c r="A49" s="76">
        <f>CustomerData!B:B</f>
        <v>0</v>
      </c>
      <c r="B49" s="76">
        <f>CustomerData!A:A</f>
        <v>0</v>
      </c>
    </row>
    <row r="50" spans="1:2" x14ac:dyDescent="0.25">
      <c r="A50" s="76">
        <f>CustomerData!B:B</f>
        <v>0</v>
      </c>
      <c r="B50" s="76">
        <f>CustomerData!A:A</f>
        <v>0</v>
      </c>
    </row>
    <row r="51" spans="1:2" x14ac:dyDescent="0.25">
      <c r="A51" s="76">
        <f>CustomerData!B:B</f>
        <v>0</v>
      </c>
      <c r="B51" s="76">
        <f>CustomerData!A:A</f>
        <v>0</v>
      </c>
    </row>
    <row r="52" spans="1:2" x14ac:dyDescent="0.25">
      <c r="A52" s="76">
        <f>CustomerData!B:B</f>
        <v>0</v>
      </c>
      <c r="B52" s="76">
        <f>CustomerData!A:A</f>
        <v>0</v>
      </c>
    </row>
    <row r="53" spans="1:2" x14ac:dyDescent="0.25">
      <c r="A53" s="76">
        <f>CustomerData!B:B</f>
        <v>0</v>
      </c>
      <c r="B53" s="76">
        <f>CustomerData!A:A</f>
        <v>0</v>
      </c>
    </row>
    <row r="54" spans="1:2" x14ac:dyDescent="0.25">
      <c r="A54" s="76">
        <f>CustomerData!B:B</f>
        <v>0</v>
      </c>
      <c r="B54" s="76">
        <f>CustomerData!A:A</f>
        <v>0</v>
      </c>
    </row>
    <row r="55" spans="1:2" x14ac:dyDescent="0.25">
      <c r="A55" s="76">
        <f>CustomerData!B:B</f>
        <v>0</v>
      </c>
      <c r="B55" s="76">
        <f>CustomerData!A:A</f>
        <v>0</v>
      </c>
    </row>
    <row r="56" spans="1:2" x14ac:dyDescent="0.25">
      <c r="A56" s="76">
        <f>CustomerData!B:B</f>
        <v>0</v>
      </c>
      <c r="B56" s="76">
        <f>CustomerData!A:A</f>
        <v>0</v>
      </c>
    </row>
    <row r="57" spans="1:2" x14ac:dyDescent="0.25">
      <c r="A57" s="76">
        <f>CustomerData!B:B</f>
        <v>0</v>
      </c>
      <c r="B57" s="76">
        <f>CustomerData!A:A</f>
        <v>0</v>
      </c>
    </row>
    <row r="58" spans="1:2" x14ac:dyDescent="0.25">
      <c r="A58" s="76">
        <f>CustomerData!B:B</f>
        <v>0</v>
      </c>
      <c r="B58" s="76">
        <f>CustomerData!A:A</f>
        <v>0</v>
      </c>
    </row>
    <row r="59" spans="1:2" x14ac:dyDescent="0.25">
      <c r="A59" s="76">
        <f>CustomerData!B:B</f>
        <v>0</v>
      </c>
      <c r="B59" s="76">
        <f>CustomerData!A:A</f>
        <v>0</v>
      </c>
    </row>
    <row r="60" spans="1:2" x14ac:dyDescent="0.25">
      <c r="A60" s="76">
        <f>CustomerData!B:B</f>
        <v>0</v>
      </c>
      <c r="B60" s="76">
        <f>CustomerData!A:A</f>
        <v>0</v>
      </c>
    </row>
    <row r="61" spans="1:2" x14ac:dyDescent="0.25">
      <c r="A61" s="76">
        <f>CustomerData!B:B</f>
        <v>0</v>
      </c>
      <c r="B61" s="76">
        <f>CustomerData!A:A</f>
        <v>0</v>
      </c>
    </row>
    <row r="62" spans="1:2" x14ac:dyDescent="0.25">
      <c r="A62" s="76">
        <f>CustomerData!B:B</f>
        <v>0</v>
      </c>
      <c r="B62" s="76">
        <f>CustomerData!A:A</f>
        <v>0</v>
      </c>
    </row>
    <row r="63" spans="1:2" x14ac:dyDescent="0.25">
      <c r="A63" s="76">
        <f>CustomerData!B:B</f>
        <v>0</v>
      </c>
      <c r="B63" s="76">
        <f>CustomerData!A:A</f>
        <v>0</v>
      </c>
    </row>
    <row r="64" spans="1:2" x14ac:dyDescent="0.25">
      <c r="A64" s="76">
        <f>CustomerData!B:B</f>
        <v>0</v>
      </c>
      <c r="B64" s="76">
        <f>CustomerData!A:A</f>
        <v>0</v>
      </c>
    </row>
    <row r="65" spans="1:2" x14ac:dyDescent="0.25">
      <c r="A65" s="76">
        <f>CustomerData!B:B</f>
        <v>0</v>
      </c>
      <c r="B65" s="76">
        <f>CustomerData!A:A</f>
        <v>0</v>
      </c>
    </row>
    <row r="66" spans="1:2" x14ac:dyDescent="0.25">
      <c r="A66" s="76">
        <f>CustomerData!B:B</f>
        <v>0</v>
      </c>
      <c r="B66" s="76">
        <f>CustomerData!A:A</f>
        <v>0</v>
      </c>
    </row>
    <row r="67" spans="1:2" x14ac:dyDescent="0.25">
      <c r="A67" s="76">
        <f>CustomerData!B:B</f>
        <v>0</v>
      </c>
      <c r="B67" s="76">
        <f>CustomerData!A:A</f>
        <v>0</v>
      </c>
    </row>
    <row r="68" spans="1:2" x14ac:dyDescent="0.25">
      <c r="A68" s="76">
        <f>CustomerData!B:B</f>
        <v>0</v>
      </c>
      <c r="B68" s="76">
        <f>CustomerData!A:A</f>
        <v>0</v>
      </c>
    </row>
    <row r="69" spans="1:2" x14ac:dyDescent="0.25">
      <c r="A69" s="76">
        <f>CustomerData!B:B</f>
        <v>0</v>
      </c>
      <c r="B69" s="76">
        <f>CustomerData!A:A</f>
        <v>0</v>
      </c>
    </row>
    <row r="70" spans="1:2" x14ac:dyDescent="0.25">
      <c r="A70" s="76">
        <f>CustomerData!B:B</f>
        <v>0</v>
      </c>
      <c r="B70" s="76">
        <f>CustomerData!A:A</f>
        <v>0</v>
      </c>
    </row>
    <row r="71" spans="1:2" x14ac:dyDescent="0.25">
      <c r="A71" s="76">
        <f>CustomerData!B:B</f>
        <v>0</v>
      </c>
      <c r="B71" s="76">
        <f>CustomerData!A:A</f>
        <v>0</v>
      </c>
    </row>
    <row r="72" spans="1:2" x14ac:dyDescent="0.25">
      <c r="A72" s="76">
        <f>CustomerData!B:B</f>
        <v>0</v>
      </c>
      <c r="B72" s="76">
        <f>CustomerData!A:A</f>
        <v>0</v>
      </c>
    </row>
    <row r="73" spans="1:2" x14ac:dyDescent="0.25">
      <c r="A73" s="76">
        <f>CustomerData!B:B</f>
        <v>0</v>
      </c>
      <c r="B73" s="76">
        <f>CustomerData!A:A</f>
        <v>0</v>
      </c>
    </row>
    <row r="74" spans="1:2" x14ac:dyDescent="0.25">
      <c r="A74" s="76">
        <f>CustomerData!B:B</f>
        <v>0</v>
      </c>
      <c r="B74" s="76">
        <f>CustomerData!A:A</f>
        <v>0</v>
      </c>
    </row>
    <row r="75" spans="1:2" x14ac:dyDescent="0.25">
      <c r="A75" s="76">
        <f>CustomerData!B:B</f>
        <v>0</v>
      </c>
      <c r="B75" s="76">
        <f>CustomerData!A:A</f>
        <v>0</v>
      </c>
    </row>
    <row r="76" spans="1:2" x14ac:dyDescent="0.25">
      <c r="A76" s="76">
        <f>CustomerData!B:B</f>
        <v>0</v>
      </c>
      <c r="B76" s="76">
        <f>CustomerData!A:A</f>
        <v>0</v>
      </c>
    </row>
    <row r="77" spans="1:2" x14ac:dyDescent="0.25">
      <c r="A77" s="76">
        <f>CustomerData!B:B</f>
        <v>0</v>
      </c>
      <c r="B77" s="76">
        <f>CustomerData!A:A</f>
        <v>0</v>
      </c>
    </row>
    <row r="78" spans="1:2" x14ac:dyDescent="0.25">
      <c r="A78" s="76">
        <f>CustomerData!B:B</f>
        <v>0</v>
      </c>
      <c r="B78" s="76">
        <f>CustomerData!A:A</f>
        <v>0</v>
      </c>
    </row>
    <row r="79" spans="1:2" x14ac:dyDescent="0.25">
      <c r="A79" s="76">
        <f>CustomerData!B:B</f>
        <v>0</v>
      </c>
      <c r="B79" s="76">
        <f>CustomerData!A:A</f>
        <v>0</v>
      </c>
    </row>
    <row r="80" spans="1:2" x14ac:dyDescent="0.25">
      <c r="A80" s="76">
        <f>CustomerData!B:B</f>
        <v>0</v>
      </c>
      <c r="B80" s="76">
        <f>CustomerData!A:A</f>
        <v>0</v>
      </c>
    </row>
    <row r="81" spans="1:2" x14ac:dyDescent="0.25">
      <c r="A81" s="76">
        <f>CustomerData!B:B</f>
        <v>0</v>
      </c>
      <c r="B81" s="76">
        <f>CustomerData!A:A</f>
        <v>0</v>
      </c>
    </row>
    <row r="82" spans="1:2" x14ac:dyDescent="0.25">
      <c r="A82" s="76">
        <f>CustomerData!B:B</f>
        <v>0</v>
      </c>
      <c r="B82" s="76">
        <f>CustomerData!A:A</f>
        <v>0</v>
      </c>
    </row>
    <row r="83" spans="1:2" x14ac:dyDescent="0.25">
      <c r="A83" s="76">
        <f>CustomerData!B:B</f>
        <v>0</v>
      </c>
      <c r="B83" s="76">
        <f>CustomerData!A:A</f>
        <v>0</v>
      </c>
    </row>
    <row r="84" spans="1:2" x14ac:dyDescent="0.25">
      <c r="A84" s="76">
        <f>CustomerData!B:B</f>
        <v>0</v>
      </c>
      <c r="B84" s="76">
        <f>CustomerData!A:A</f>
        <v>0</v>
      </c>
    </row>
    <row r="85" spans="1:2" x14ac:dyDescent="0.25">
      <c r="A85" s="76">
        <f>CustomerData!B:B</f>
        <v>0</v>
      </c>
      <c r="B85" s="76">
        <f>CustomerData!A:A</f>
        <v>0</v>
      </c>
    </row>
    <row r="86" spans="1:2" x14ac:dyDescent="0.25">
      <c r="A86" s="76">
        <f>CustomerData!B:B</f>
        <v>0</v>
      </c>
      <c r="B86" s="76">
        <f>CustomerData!A:A</f>
        <v>0</v>
      </c>
    </row>
    <row r="87" spans="1:2" x14ac:dyDescent="0.25">
      <c r="A87" s="76">
        <f>CustomerData!B:B</f>
        <v>0</v>
      </c>
      <c r="B87" s="76">
        <f>CustomerData!A:A</f>
        <v>0</v>
      </c>
    </row>
    <row r="88" spans="1:2" x14ac:dyDescent="0.25">
      <c r="A88" s="76">
        <f>CustomerData!B:B</f>
        <v>0</v>
      </c>
      <c r="B88" s="76">
        <f>CustomerData!A:A</f>
        <v>0</v>
      </c>
    </row>
    <row r="89" spans="1:2" x14ac:dyDescent="0.25">
      <c r="A89" s="76">
        <f>CustomerData!B:B</f>
        <v>0</v>
      </c>
      <c r="B89" s="76">
        <f>CustomerData!A:A</f>
        <v>0</v>
      </c>
    </row>
    <row r="90" spans="1:2" x14ac:dyDescent="0.25">
      <c r="A90" s="76">
        <f>CustomerData!B:B</f>
        <v>0</v>
      </c>
      <c r="B90" s="76">
        <f>CustomerData!A:A</f>
        <v>0</v>
      </c>
    </row>
    <row r="91" spans="1:2" x14ac:dyDescent="0.25">
      <c r="A91" s="76">
        <f>CustomerData!B:B</f>
        <v>0</v>
      </c>
      <c r="B91" s="76">
        <f>CustomerData!A:A</f>
        <v>0</v>
      </c>
    </row>
    <row r="92" spans="1:2" x14ac:dyDescent="0.25">
      <c r="A92" s="76">
        <f>CustomerData!B:B</f>
        <v>0</v>
      </c>
      <c r="B92" s="76">
        <f>CustomerData!A:A</f>
        <v>0</v>
      </c>
    </row>
    <row r="93" spans="1:2" x14ac:dyDescent="0.25">
      <c r="A93" s="76">
        <f>CustomerData!B:B</f>
        <v>0</v>
      </c>
      <c r="B93" s="76">
        <f>CustomerData!A:A</f>
        <v>0</v>
      </c>
    </row>
    <row r="94" spans="1:2" x14ac:dyDescent="0.25">
      <c r="A94" s="76">
        <f>CustomerData!B:B</f>
        <v>0</v>
      </c>
      <c r="B94" s="76">
        <f>CustomerData!A:A</f>
        <v>0</v>
      </c>
    </row>
    <row r="95" spans="1:2" x14ac:dyDescent="0.25">
      <c r="A95" s="76">
        <f>CustomerData!B:B</f>
        <v>0</v>
      </c>
      <c r="B95" s="76">
        <f>CustomerData!A:A</f>
        <v>0</v>
      </c>
    </row>
    <row r="96" spans="1:2" x14ac:dyDescent="0.25">
      <c r="A96" s="76">
        <f>CustomerData!B:B</f>
        <v>0</v>
      </c>
      <c r="B96" s="76">
        <f>CustomerData!A:A</f>
        <v>0</v>
      </c>
    </row>
    <row r="97" spans="1:2" x14ac:dyDescent="0.25">
      <c r="A97" s="76">
        <f>CustomerData!B:B</f>
        <v>0</v>
      </c>
      <c r="B97" s="76">
        <f>CustomerData!A:A</f>
        <v>0</v>
      </c>
    </row>
    <row r="98" spans="1:2" x14ac:dyDescent="0.25">
      <c r="A98" s="76">
        <f>CustomerData!B:B</f>
        <v>0</v>
      </c>
      <c r="B98" s="76">
        <f>CustomerData!A:A</f>
        <v>0</v>
      </c>
    </row>
    <row r="99" spans="1:2" x14ac:dyDescent="0.25">
      <c r="A99" s="76">
        <f>CustomerData!B:B</f>
        <v>0</v>
      </c>
      <c r="B99" s="76">
        <f>CustomerData!A:A</f>
        <v>0</v>
      </c>
    </row>
    <row r="100" spans="1:2" x14ac:dyDescent="0.25">
      <c r="A100" s="76">
        <f>CustomerData!B:B</f>
        <v>0</v>
      </c>
      <c r="B100" s="76">
        <f>CustomerData!A:A</f>
        <v>0</v>
      </c>
    </row>
    <row r="101" spans="1:2" x14ac:dyDescent="0.25">
      <c r="A101" s="76">
        <f>CustomerData!B:B</f>
        <v>0</v>
      </c>
      <c r="B101" s="76">
        <f>CustomerData!A:A</f>
        <v>0</v>
      </c>
    </row>
    <row r="102" spans="1:2" x14ac:dyDescent="0.25">
      <c r="A102" s="76">
        <f>CustomerData!B:B</f>
        <v>0</v>
      </c>
      <c r="B102" s="76">
        <f>CustomerData!A:A</f>
        <v>0</v>
      </c>
    </row>
    <row r="103" spans="1:2" x14ac:dyDescent="0.25">
      <c r="A103" s="76">
        <f>CustomerData!B:B</f>
        <v>0</v>
      </c>
      <c r="B103" s="76">
        <f>CustomerData!A:A</f>
        <v>0</v>
      </c>
    </row>
    <row r="104" spans="1:2" x14ac:dyDescent="0.25">
      <c r="A104" s="76">
        <f>CustomerData!B:B</f>
        <v>0</v>
      </c>
      <c r="B104" s="76">
        <f>CustomerData!A:A</f>
        <v>0</v>
      </c>
    </row>
    <row r="105" spans="1:2" x14ac:dyDescent="0.25">
      <c r="A105" s="76">
        <f>CustomerData!B:B</f>
        <v>0</v>
      </c>
      <c r="B105" s="76">
        <f>CustomerData!A:A</f>
        <v>0</v>
      </c>
    </row>
    <row r="106" spans="1:2" x14ac:dyDescent="0.25">
      <c r="A106" s="76">
        <f>CustomerData!B:B</f>
        <v>0</v>
      </c>
      <c r="B106" s="76">
        <f>CustomerData!A:A</f>
        <v>0</v>
      </c>
    </row>
    <row r="107" spans="1:2" x14ac:dyDescent="0.25">
      <c r="A107" s="76">
        <f>CustomerData!B:B</f>
        <v>0</v>
      </c>
      <c r="B107" s="76">
        <f>CustomerData!A:A</f>
        <v>0</v>
      </c>
    </row>
    <row r="108" spans="1:2" x14ac:dyDescent="0.25">
      <c r="A108" s="76">
        <f>CustomerData!B:B</f>
        <v>0</v>
      </c>
      <c r="B108" s="76">
        <f>CustomerData!A:A</f>
        <v>0</v>
      </c>
    </row>
    <row r="109" spans="1:2" x14ac:dyDescent="0.25">
      <c r="A109" s="76">
        <f>CustomerData!B:B</f>
        <v>0</v>
      </c>
      <c r="B109" s="76">
        <f>CustomerData!A:A</f>
        <v>0</v>
      </c>
    </row>
    <row r="110" spans="1:2" x14ac:dyDescent="0.25">
      <c r="A110" s="76">
        <f>CustomerData!B:B</f>
        <v>0</v>
      </c>
      <c r="B110" s="76">
        <f>CustomerData!A:A</f>
        <v>0</v>
      </c>
    </row>
    <row r="111" spans="1:2" x14ac:dyDescent="0.25">
      <c r="A111" s="76">
        <f>CustomerData!B:B</f>
        <v>0</v>
      </c>
      <c r="B111" s="76">
        <f>CustomerData!A:A</f>
        <v>0</v>
      </c>
    </row>
    <row r="112" spans="1:2" x14ac:dyDescent="0.25">
      <c r="A112" s="76">
        <f>CustomerData!B:B</f>
        <v>0</v>
      </c>
      <c r="B112" s="76">
        <f>CustomerData!A:A</f>
        <v>0</v>
      </c>
    </row>
    <row r="113" spans="1:2" x14ac:dyDescent="0.25">
      <c r="A113" s="76">
        <f>CustomerData!B:B</f>
        <v>0</v>
      </c>
      <c r="B113" s="76">
        <f>CustomerData!A:A</f>
        <v>0</v>
      </c>
    </row>
    <row r="114" spans="1:2" x14ac:dyDescent="0.25">
      <c r="A114" s="76">
        <f>CustomerData!B:B</f>
        <v>0</v>
      </c>
      <c r="B114" s="76">
        <f>CustomerData!A:A</f>
        <v>0</v>
      </c>
    </row>
    <row r="115" spans="1:2" x14ac:dyDescent="0.25">
      <c r="A115" s="76">
        <f>CustomerData!B:B</f>
        <v>0</v>
      </c>
      <c r="B115" s="76">
        <f>CustomerData!A:A</f>
        <v>0</v>
      </c>
    </row>
    <row r="116" spans="1:2" x14ac:dyDescent="0.25">
      <c r="A116" s="76">
        <f>CustomerData!B:B</f>
        <v>0</v>
      </c>
      <c r="B116" s="76">
        <f>CustomerData!A:A</f>
        <v>0</v>
      </c>
    </row>
    <row r="117" spans="1:2" x14ac:dyDescent="0.25">
      <c r="A117" s="76">
        <f>CustomerData!B:B</f>
        <v>0</v>
      </c>
      <c r="B117" s="76">
        <f>CustomerData!A:A</f>
        <v>0</v>
      </c>
    </row>
    <row r="118" spans="1:2" x14ac:dyDescent="0.25">
      <c r="A118" s="76">
        <f>CustomerData!B:B</f>
        <v>0</v>
      </c>
      <c r="B118" s="76">
        <f>CustomerData!A:A</f>
        <v>0</v>
      </c>
    </row>
    <row r="119" spans="1:2" x14ac:dyDescent="0.25">
      <c r="A119" s="76">
        <f>CustomerData!B:B</f>
        <v>0</v>
      </c>
      <c r="B119" s="76">
        <f>CustomerData!A:A</f>
        <v>0</v>
      </c>
    </row>
    <row r="120" spans="1:2" x14ac:dyDescent="0.25">
      <c r="A120" s="76">
        <f>CustomerData!B:B</f>
        <v>0</v>
      </c>
      <c r="B120" s="76">
        <f>CustomerData!A:A</f>
        <v>0</v>
      </c>
    </row>
    <row r="121" spans="1:2" x14ac:dyDescent="0.25">
      <c r="A121" s="76">
        <f>CustomerData!B:B</f>
        <v>0</v>
      </c>
      <c r="B121" s="76">
        <f>CustomerData!A:A</f>
        <v>0</v>
      </c>
    </row>
    <row r="122" spans="1:2" x14ac:dyDescent="0.25">
      <c r="A122" s="76">
        <f>CustomerData!B:B</f>
        <v>0</v>
      </c>
      <c r="B122" s="76">
        <f>CustomerData!A:A</f>
        <v>0</v>
      </c>
    </row>
    <row r="123" spans="1:2" x14ac:dyDescent="0.25">
      <c r="A123" s="76">
        <f>CustomerData!B:B</f>
        <v>0</v>
      </c>
      <c r="B123" s="76">
        <f>CustomerData!A:A</f>
        <v>0</v>
      </c>
    </row>
    <row r="124" spans="1:2" x14ac:dyDescent="0.25">
      <c r="A124" s="76">
        <f>CustomerData!B:B</f>
        <v>0</v>
      </c>
      <c r="B124" s="76">
        <f>CustomerData!A:A</f>
        <v>0</v>
      </c>
    </row>
    <row r="125" spans="1:2" x14ac:dyDescent="0.25">
      <c r="A125" s="76">
        <f>CustomerData!B:B</f>
        <v>0</v>
      </c>
      <c r="B125" s="76">
        <f>CustomerData!A:A</f>
        <v>0</v>
      </c>
    </row>
    <row r="126" spans="1:2" x14ac:dyDescent="0.25">
      <c r="A126" s="76">
        <f>CustomerData!B:B</f>
        <v>0</v>
      </c>
      <c r="B126" s="76">
        <f>CustomerData!A:A</f>
        <v>0</v>
      </c>
    </row>
    <row r="127" spans="1:2" x14ac:dyDescent="0.25">
      <c r="A127" s="76">
        <f>CustomerData!B:B</f>
        <v>0</v>
      </c>
      <c r="B127" s="76">
        <f>CustomerData!A:A</f>
        <v>0</v>
      </c>
    </row>
    <row r="128" spans="1:2" x14ac:dyDescent="0.25">
      <c r="A128" s="76">
        <f>CustomerData!B:B</f>
        <v>0</v>
      </c>
      <c r="B128" s="76">
        <f>CustomerData!A:A</f>
        <v>0</v>
      </c>
    </row>
    <row r="129" spans="1:2" x14ac:dyDescent="0.25">
      <c r="A129" s="76">
        <f>CustomerData!B:B</f>
        <v>0</v>
      </c>
      <c r="B129" s="76">
        <f>CustomerData!A:A</f>
        <v>0</v>
      </c>
    </row>
    <row r="130" spans="1:2" x14ac:dyDescent="0.25">
      <c r="A130" s="76">
        <f>CustomerData!B:B</f>
        <v>0</v>
      </c>
      <c r="B130" s="76">
        <f>CustomerData!A:A</f>
        <v>0</v>
      </c>
    </row>
    <row r="131" spans="1:2" x14ac:dyDescent="0.25">
      <c r="A131" s="76">
        <f>CustomerData!B:B</f>
        <v>0</v>
      </c>
      <c r="B131" s="76">
        <f>CustomerData!A:A</f>
        <v>0</v>
      </c>
    </row>
    <row r="132" spans="1:2" x14ac:dyDescent="0.25">
      <c r="A132" s="76">
        <f>CustomerData!B:B</f>
        <v>0</v>
      </c>
      <c r="B132" s="76">
        <f>CustomerData!A:A</f>
        <v>0</v>
      </c>
    </row>
    <row r="133" spans="1:2" x14ac:dyDescent="0.25">
      <c r="A133" s="76">
        <f>CustomerData!B:B</f>
        <v>0</v>
      </c>
      <c r="B133" s="76">
        <f>CustomerData!A:A</f>
        <v>0</v>
      </c>
    </row>
    <row r="134" spans="1:2" x14ac:dyDescent="0.25">
      <c r="A134" s="76">
        <f>CustomerData!B:B</f>
        <v>0</v>
      </c>
      <c r="B134" s="76">
        <f>CustomerData!A:A</f>
        <v>0</v>
      </c>
    </row>
    <row r="135" spans="1:2" x14ac:dyDescent="0.25">
      <c r="A135" s="76">
        <f>CustomerData!B:B</f>
        <v>0</v>
      </c>
      <c r="B135" s="76">
        <f>CustomerData!A:A</f>
        <v>0</v>
      </c>
    </row>
    <row r="136" spans="1:2" x14ac:dyDescent="0.25">
      <c r="A136" s="76">
        <f>CustomerData!B:B</f>
        <v>0</v>
      </c>
      <c r="B136" s="76">
        <f>CustomerData!A:A</f>
        <v>0</v>
      </c>
    </row>
    <row r="137" spans="1:2" x14ac:dyDescent="0.25">
      <c r="A137" s="76">
        <f>CustomerData!B:B</f>
        <v>0</v>
      </c>
      <c r="B137" s="76">
        <f>CustomerData!A:A</f>
        <v>0</v>
      </c>
    </row>
    <row r="138" spans="1:2" x14ac:dyDescent="0.25">
      <c r="A138" s="76">
        <f>CustomerData!B:B</f>
        <v>0</v>
      </c>
      <c r="B138" s="76">
        <f>CustomerData!A:A</f>
        <v>0</v>
      </c>
    </row>
    <row r="139" spans="1:2" x14ac:dyDescent="0.25">
      <c r="A139" s="76">
        <f>CustomerData!B:B</f>
        <v>0</v>
      </c>
      <c r="B139" s="76">
        <f>CustomerData!A:A</f>
        <v>0</v>
      </c>
    </row>
    <row r="140" spans="1:2" x14ac:dyDescent="0.25">
      <c r="A140" s="76">
        <f>CustomerData!B:B</f>
        <v>0</v>
      </c>
      <c r="B140" s="76">
        <f>CustomerData!A:A</f>
        <v>0</v>
      </c>
    </row>
    <row r="141" spans="1:2" x14ac:dyDescent="0.25">
      <c r="A141" s="76">
        <f>CustomerData!B:B</f>
        <v>0</v>
      </c>
      <c r="B141" s="76">
        <f>CustomerData!A:A</f>
        <v>0</v>
      </c>
    </row>
    <row r="142" spans="1:2" x14ac:dyDescent="0.25">
      <c r="A142" s="76">
        <f>CustomerData!B:B</f>
        <v>0</v>
      </c>
      <c r="B142" s="76">
        <f>CustomerData!A:A</f>
        <v>0</v>
      </c>
    </row>
    <row r="143" spans="1:2" x14ac:dyDescent="0.25">
      <c r="A143" s="76">
        <f>CustomerData!B:B</f>
        <v>0</v>
      </c>
      <c r="B143" s="76">
        <f>CustomerData!A:A</f>
        <v>0</v>
      </c>
    </row>
    <row r="144" spans="1:2" x14ac:dyDescent="0.25">
      <c r="A144" s="76">
        <f>CustomerData!B:B</f>
        <v>0</v>
      </c>
      <c r="B144" s="76">
        <f>CustomerData!A:A</f>
        <v>0</v>
      </c>
    </row>
    <row r="145" spans="1:2" x14ac:dyDescent="0.25">
      <c r="A145" s="76">
        <f>CustomerData!B:B</f>
        <v>0</v>
      </c>
      <c r="B145" s="76">
        <f>CustomerData!A:A</f>
        <v>0</v>
      </c>
    </row>
    <row r="146" spans="1:2" x14ac:dyDescent="0.25">
      <c r="A146" s="76">
        <f>CustomerData!B:B</f>
        <v>0</v>
      </c>
      <c r="B146" s="76">
        <f>CustomerData!A:A</f>
        <v>0</v>
      </c>
    </row>
    <row r="147" spans="1:2" x14ac:dyDescent="0.25">
      <c r="A147" s="76">
        <f>CustomerData!B:B</f>
        <v>0</v>
      </c>
      <c r="B147" s="76">
        <f>CustomerData!A:A</f>
        <v>0</v>
      </c>
    </row>
    <row r="148" spans="1:2" x14ac:dyDescent="0.25">
      <c r="A148" s="76">
        <f>CustomerData!B:B</f>
        <v>0</v>
      </c>
      <c r="B148" s="76">
        <f>CustomerData!A:A</f>
        <v>0</v>
      </c>
    </row>
    <row r="149" spans="1:2" x14ac:dyDescent="0.25">
      <c r="A149" s="76">
        <f>CustomerData!B:B</f>
        <v>0</v>
      </c>
      <c r="B149" s="76">
        <f>CustomerData!A:A</f>
        <v>0</v>
      </c>
    </row>
    <row r="150" spans="1:2" x14ac:dyDescent="0.25">
      <c r="A150" s="76">
        <f>CustomerData!B:B</f>
        <v>0</v>
      </c>
      <c r="B150" s="76">
        <f>CustomerData!A:A</f>
        <v>0</v>
      </c>
    </row>
    <row r="151" spans="1:2" x14ac:dyDescent="0.25">
      <c r="A151" s="76">
        <f>CustomerData!B:B</f>
        <v>0</v>
      </c>
      <c r="B151" s="76">
        <f>CustomerData!A:A</f>
        <v>0</v>
      </c>
    </row>
    <row r="152" spans="1:2" x14ac:dyDescent="0.25">
      <c r="A152" s="76">
        <f>CustomerData!B:B</f>
        <v>0</v>
      </c>
      <c r="B152" s="76">
        <f>CustomerData!A:A</f>
        <v>0</v>
      </c>
    </row>
    <row r="153" spans="1:2" x14ac:dyDescent="0.25">
      <c r="A153" s="76">
        <f>CustomerData!B:B</f>
        <v>0</v>
      </c>
      <c r="B153" s="76">
        <f>CustomerData!A:A</f>
        <v>0</v>
      </c>
    </row>
    <row r="154" spans="1:2" x14ac:dyDescent="0.25">
      <c r="A154" s="76">
        <f>CustomerData!B:B</f>
        <v>0</v>
      </c>
      <c r="B154" s="76">
        <f>CustomerData!A:A</f>
        <v>0</v>
      </c>
    </row>
    <row r="155" spans="1:2" x14ac:dyDescent="0.25">
      <c r="A155" s="76">
        <f>CustomerData!B:B</f>
        <v>0</v>
      </c>
      <c r="B155" s="76">
        <f>CustomerData!A:A</f>
        <v>0</v>
      </c>
    </row>
    <row r="156" spans="1:2" x14ac:dyDescent="0.25">
      <c r="A156" s="76">
        <f>CustomerData!B:B</f>
        <v>0</v>
      </c>
      <c r="B156" s="76">
        <f>CustomerData!A:A</f>
        <v>0</v>
      </c>
    </row>
    <row r="157" spans="1:2" x14ac:dyDescent="0.25">
      <c r="A157" s="76">
        <f>CustomerData!B:B</f>
        <v>0</v>
      </c>
      <c r="B157" s="76">
        <f>CustomerData!A:A</f>
        <v>0</v>
      </c>
    </row>
    <row r="158" spans="1:2" x14ac:dyDescent="0.25">
      <c r="A158" s="76">
        <f>CustomerData!B:B</f>
        <v>0</v>
      </c>
      <c r="B158" s="76">
        <f>CustomerData!A:A</f>
        <v>0</v>
      </c>
    </row>
    <row r="159" spans="1:2" x14ac:dyDescent="0.25">
      <c r="A159" s="76">
        <f>CustomerData!B:B</f>
        <v>0</v>
      </c>
      <c r="B159" s="76">
        <f>CustomerData!A:A</f>
        <v>0</v>
      </c>
    </row>
    <row r="160" spans="1:2" x14ac:dyDescent="0.25">
      <c r="A160" s="76">
        <f>CustomerData!B:B</f>
        <v>0</v>
      </c>
      <c r="B160" s="76">
        <f>CustomerData!A:A</f>
        <v>0</v>
      </c>
    </row>
    <row r="161" spans="1:2" x14ac:dyDescent="0.25">
      <c r="A161" s="76">
        <f>CustomerData!B:B</f>
        <v>0</v>
      </c>
      <c r="B161" s="76">
        <f>CustomerData!A:A</f>
        <v>0</v>
      </c>
    </row>
    <row r="162" spans="1:2" x14ac:dyDescent="0.25">
      <c r="A162" s="76">
        <f>CustomerData!B:B</f>
        <v>0</v>
      </c>
      <c r="B162" s="76">
        <f>CustomerData!A:A</f>
        <v>0</v>
      </c>
    </row>
    <row r="163" spans="1:2" x14ac:dyDescent="0.25">
      <c r="A163" s="76">
        <f>CustomerData!B:B</f>
        <v>0</v>
      </c>
      <c r="B163" s="76">
        <f>CustomerData!A:A</f>
        <v>0</v>
      </c>
    </row>
    <row r="164" spans="1:2" x14ac:dyDescent="0.25">
      <c r="A164" s="76">
        <f>CustomerData!B:B</f>
        <v>0</v>
      </c>
      <c r="B164" s="76">
        <f>CustomerData!A:A</f>
        <v>0</v>
      </c>
    </row>
    <row r="165" spans="1:2" x14ac:dyDescent="0.25">
      <c r="A165" s="76">
        <f>CustomerData!B:B</f>
        <v>0</v>
      </c>
      <c r="B165" s="76">
        <f>CustomerData!A:A</f>
        <v>0</v>
      </c>
    </row>
    <row r="166" spans="1:2" x14ac:dyDescent="0.25">
      <c r="A166" s="76">
        <f>CustomerData!B:B</f>
        <v>0</v>
      </c>
      <c r="B166" s="76">
        <f>CustomerData!A:A</f>
        <v>0</v>
      </c>
    </row>
    <row r="167" spans="1:2" x14ac:dyDescent="0.25">
      <c r="A167" s="76">
        <f>CustomerData!B:B</f>
        <v>0</v>
      </c>
      <c r="B167" s="76">
        <f>CustomerData!A:A</f>
        <v>0</v>
      </c>
    </row>
    <row r="168" spans="1:2" x14ac:dyDescent="0.25">
      <c r="A168" s="76">
        <f>CustomerData!B:B</f>
        <v>0</v>
      </c>
      <c r="B168" s="76">
        <f>CustomerData!A:A</f>
        <v>0</v>
      </c>
    </row>
    <row r="169" spans="1:2" x14ac:dyDescent="0.25">
      <c r="A169" s="76">
        <f>CustomerData!B:B</f>
        <v>0</v>
      </c>
      <c r="B169" s="76">
        <f>CustomerData!A:A</f>
        <v>0</v>
      </c>
    </row>
    <row r="170" spans="1:2" x14ac:dyDescent="0.25">
      <c r="A170" s="76">
        <f>CustomerData!B:B</f>
        <v>0</v>
      </c>
      <c r="B170" s="76">
        <f>CustomerData!A:A</f>
        <v>0</v>
      </c>
    </row>
    <row r="171" spans="1:2" x14ac:dyDescent="0.25">
      <c r="A171" s="76">
        <f>CustomerData!B:B</f>
        <v>0</v>
      </c>
      <c r="B171" s="76">
        <f>CustomerData!A:A</f>
        <v>0</v>
      </c>
    </row>
    <row r="172" spans="1:2" x14ac:dyDescent="0.25">
      <c r="A172" s="76">
        <f>CustomerData!B:B</f>
        <v>0</v>
      </c>
      <c r="B172" s="76">
        <f>CustomerData!A:A</f>
        <v>0</v>
      </c>
    </row>
    <row r="173" spans="1:2" x14ac:dyDescent="0.25">
      <c r="A173" s="76">
        <f>CustomerData!B:B</f>
        <v>0</v>
      </c>
      <c r="B173" s="76">
        <f>CustomerData!A:A</f>
        <v>0</v>
      </c>
    </row>
    <row r="174" spans="1:2" x14ac:dyDescent="0.25">
      <c r="A174" s="76">
        <f>CustomerData!B:B</f>
        <v>0</v>
      </c>
      <c r="B174" s="76">
        <f>CustomerData!A:A</f>
        <v>0</v>
      </c>
    </row>
    <row r="175" spans="1:2" x14ac:dyDescent="0.25">
      <c r="A175" s="76">
        <f>CustomerData!B:B</f>
        <v>0</v>
      </c>
      <c r="B175" s="76">
        <f>CustomerData!A:A</f>
        <v>0</v>
      </c>
    </row>
    <row r="176" spans="1:2" x14ac:dyDescent="0.25">
      <c r="A176" s="76">
        <f>CustomerData!B:B</f>
        <v>0</v>
      </c>
      <c r="B176" s="76">
        <f>CustomerData!A:A</f>
        <v>0</v>
      </c>
    </row>
    <row r="177" spans="1:2" x14ac:dyDescent="0.25">
      <c r="A177" s="76">
        <f>CustomerData!B:B</f>
        <v>0</v>
      </c>
      <c r="B177" s="76">
        <f>CustomerData!A:A</f>
        <v>0</v>
      </c>
    </row>
    <row r="178" spans="1:2" x14ac:dyDescent="0.25">
      <c r="A178" s="76">
        <f>CustomerData!B:B</f>
        <v>0</v>
      </c>
      <c r="B178" s="76">
        <f>CustomerData!A:A</f>
        <v>0</v>
      </c>
    </row>
    <row r="179" spans="1:2" x14ac:dyDescent="0.25">
      <c r="A179" s="76">
        <f>CustomerData!B:B</f>
        <v>0</v>
      </c>
      <c r="B179" s="76">
        <f>CustomerData!A:A</f>
        <v>0</v>
      </c>
    </row>
    <row r="180" spans="1:2" x14ac:dyDescent="0.25">
      <c r="A180" s="76">
        <f>CustomerData!B:B</f>
        <v>0</v>
      </c>
      <c r="B180" s="76">
        <f>CustomerData!A:A</f>
        <v>0</v>
      </c>
    </row>
    <row r="181" spans="1:2" x14ac:dyDescent="0.25">
      <c r="A181" s="76">
        <f>CustomerData!B:B</f>
        <v>0</v>
      </c>
      <c r="B181" s="76">
        <f>CustomerData!A:A</f>
        <v>0</v>
      </c>
    </row>
    <row r="182" spans="1:2" x14ac:dyDescent="0.25">
      <c r="A182" s="76">
        <f>CustomerData!B:B</f>
        <v>0</v>
      </c>
      <c r="B182" s="76">
        <f>CustomerData!A:A</f>
        <v>0</v>
      </c>
    </row>
    <row r="183" spans="1:2" x14ac:dyDescent="0.25">
      <c r="A183" s="76">
        <f>CustomerData!B:B</f>
        <v>0</v>
      </c>
      <c r="B183" s="76">
        <f>CustomerData!A:A</f>
        <v>0</v>
      </c>
    </row>
    <row r="184" spans="1:2" x14ac:dyDescent="0.25">
      <c r="A184" s="76">
        <f>CustomerData!B:B</f>
        <v>0</v>
      </c>
      <c r="B184" s="76">
        <f>CustomerData!A:A</f>
        <v>0</v>
      </c>
    </row>
    <row r="185" spans="1:2" x14ac:dyDescent="0.25">
      <c r="A185" s="76">
        <f>CustomerData!B:B</f>
        <v>0</v>
      </c>
      <c r="B185" s="76">
        <f>CustomerData!A:A</f>
        <v>0</v>
      </c>
    </row>
    <row r="186" spans="1:2" x14ac:dyDescent="0.25">
      <c r="A186" s="76">
        <f>CustomerData!B:B</f>
        <v>0</v>
      </c>
      <c r="B186" s="76">
        <f>CustomerData!A:A</f>
        <v>0</v>
      </c>
    </row>
    <row r="187" spans="1:2" x14ac:dyDescent="0.25">
      <c r="A187" s="76">
        <f>CustomerData!B:B</f>
        <v>0</v>
      </c>
      <c r="B187" s="76">
        <f>CustomerData!A:A</f>
        <v>0</v>
      </c>
    </row>
    <row r="188" spans="1:2" x14ac:dyDescent="0.25">
      <c r="A188" s="76">
        <f>CustomerData!B:B</f>
        <v>0</v>
      </c>
      <c r="B188" s="76">
        <f>CustomerData!A:A</f>
        <v>0</v>
      </c>
    </row>
    <row r="189" spans="1:2" x14ac:dyDescent="0.25">
      <c r="A189" s="76">
        <f>CustomerData!B:B</f>
        <v>0</v>
      </c>
      <c r="B189" s="76">
        <f>CustomerData!A:A</f>
        <v>0</v>
      </c>
    </row>
    <row r="190" spans="1:2" x14ac:dyDescent="0.25">
      <c r="A190" s="76">
        <f>CustomerData!B:B</f>
        <v>0</v>
      </c>
      <c r="B190" s="76">
        <f>CustomerData!A:A</f>
        <v>0</v>
      </c>
    </row>
    <row r="191" spans="1:2" x14ac:dyDescent="0.25">
      <c r="A191" s="76">
        <f>CustomerData!B:B</f>
        <v>0</v>
      </c>
      <c r="B191" s="76">
        <f>CustomerData!A:A</f>
        <v>0</v>
      </c>
    </row>
    <row r="192" spans="1:2" x14ac:dyDescent="0.25">
      <c r="A192" s="76">
        <f>CustomerData!B:B</f>
        <v>0</v>
      </c>
      <c r="B192" s="76">
        <f>CustomerData!A:A</f>
        <v>0</v>
      </c>
    </row>
    <row r="193" spans="1:2" x14ac:dyDescent="0.25">
      <c r="A193" s="76">
        <f>CustomerData!B:B</f>
        <v>0</v>
      </c>
      <c r="B193" s="76">
        <f>CustomerData!A:A</f>
        <v>0</v>
      </c>
    </row>
    <row r="194" spans="1:2" x14ac:dyDescent="0.25">
      <c r="A194" s="76">
        <f>CustomerData!B:B</f>
        <v>0</v>
      </c>
      <c r="B194" s="76">
        <f>CustomerData!A:A</f>
        <v>0</v>
      </c>
    </row>
    <row r="195" spans="1:2" x14ac:dyDescent="0.25">
      <c r="A195" s="76">
        <f>CustomerData!B:B</f>
        <v>0</v>
      </c>
      <c r="B195" s="76">
        <f>CustomerData!A:A</f>
        <v>0</v>
      </c>
    </row>
    <row r="196" spans="1:2" x14ac:dyDescent="0.25">
      <c r="A196" s="76">
        <f>CustomerData!B:B</f>
        <v>0</v>
      </c>
      <c r="B196" s="76">
        <f>CustomerData!A:A</f>
        <v>0</v>
      </c>
    </row>
    <row r="197" spans="1:2" x14ac:dyDescent="0.25">
      <c r="A197" s="76">
        <f>CustomerData!B:B</f>
        <v>0</v>
      </c>
      <c r="B197" s="76">
        <f>CustomerData!A:A</f>
        <v>0</v>
      </c>
    </row>
    <row r="198" spans="1:2" x14ac:dyDescent="0.25">
      <c r="A198" s="76">
        <f>CustomerData!B:B</f>
        <v>0</v>
      </c>
      <c r="B198" s="76">
        <f>CustomerData!A:A</f>
        <v>0</v>
      </c>
    </row>
    <row r="199" spans="1:2" x14ac:dyDescent="0.25">
      <c r="A199" s="76">
        <f>CustomerData!B:B</f>
        <v>0</v>
      </c>
      <c r="B199" s="76">
        <f>CustomerData!A:A</f>
        <v>0</v>
      </c>
    </row>
    <row r="200" spans="1:2" x14ac:dyDescent="0.25">
      <c r="A200" s="76">
        <f>CustomerData!B:B</f>
        <v>0</v>
      </c>
      <c r="B200" s="76">
        <f>CustomerData!A:A</f>
        <v>0</v>
      </c>
    </row>
    <row r="201" spans="1:2" x14ac:dyDescent="0.25">
      <c r="A201" s="76">
        <f>CustomerData!B:B</f>
        <v>0</v>
      </c>
      <c r="B201" s="76">
        <f>CustomerData!A:A</f>
        <v>0</v>
      </c>
    </row>
    <row r="202" spans="1:2" x14ac:dyDescent="0.25">
      <c r="A202" s="76">
        <f>CustomerData!B:B</f>
        <v>0</v>
      </c>
      <c r="B202" s="76">
        <f>CustomerData!A:A</f>
        <v>0</v>
      </c>
    </row>
    <row r="203" spans="1:2" x14ac:dyDescent="0.25">
      <c r="A203" s="76">
        <f>CustomerData!B:B</f>
        <v>0</v>
      </c>
      <c r="B203" s="76">
        <f>CustomerData!A:A</f>
        <v>0</v>
      </c>
    </row>
    <row r="204" spans="1:2" x14ac:dyDescent="0.25">
      <c r="A204" s="76">
        <f>CustomerData!B:B</f>
        <v>0</v>
      </c>
      <c r="B204" s="76">
        <f>CustomerData!A:A</f>
        <v>0</v>
      </c>
    </row>
    <row r="205" spans="1:2" x14ac:dyDescent="0.25">
      <c r="A205" s="76">
        <f>CustomerData!B:B</f>
        <v>0</v>
      </c>
      <c r="B205" s="76">
        <f>CustomerData!A:A</f>
        <v>0</v>
      </c>
    </row>
    <row r="206" spans="1:2" x14ac:dyDescent="0.25">
      <c r="A206" s="76">
        <f>CustomerData!B:B</f>
        <v>0</v>
      </c>
      <c r="B206" s="76">
        <f>CustomerData!A:A</f>
        <v>0</v>
      </c>
    </row>
    <row r="207" spans="1:2" x14ac:dyDescent="0.25">
      <c r="A207" s="76">
        <f>CustomerData!B:B</f>
        <v>0</v>
      </c>
      <c r="B207" s="76">
        <f>CustomerData!A:A</f>
        <v>0</v>
      </c>
    </row>
    <row r="208" spans="1:2" x14ac:dyDescent="0.25">
      <c r="A208" s="76">
        <f>CustomerData!B:B</f>
        <v>0</v>
      </c>
      <c r="B208" s="76">
        <f>CustomerData!A:A</f>
        <v>0</v>
      </c>
    </row>
    <row r="209" spans="1:2" x14ac:dyDescent="0.25">
      <c r="A209" s="76">
        <f>CustomerData!B:B</f>
        <v>0</v>
      </c>
      <c r="B209" s="76">
        <f>CustomerData!A:A</f>
        <v>0</v>
      </c>
    </row>
    <row r="210" spans="1:2" x14ac:dyDescent="0.25">
      <c r="A210" s="76">
        <f>CustomerData!B:B</f>
        <v>0</v>
      </c>
      <c r="B210" s="76">
        <f>CustomerData!A:A</f>
        <v>0</v>
      </c>
    </row>
    <row r="211" spans="1:2" x14ac:dyDescent="0.25">
      <c r="A211" s="76">
        <f>CustomerData!B:B</f>
        <v>0</v>
      </c>
      <c r="B211" s="76">
        <f>CustomerData!A:A</f>
        <v>0</v>
      </c>
    </row>
    <row r="212" spans="1:2" x14ac:dyDescent="0.25">
      <c r="A212" s="76">
        <f>CustomerData!B:B</f>
        <v>0</v>
      </c>
      <c r="B212" s="76">
        <f>CustomerData!A:A</f>
        <v>0</v>
      </c>
    </row>
    <row r="213" spans="1:2" x14ac:dyDescent="0.25">
      <c r="A213" s="76">
        <f>CustomerData!B:B</f>
        <v>0</v>
      </c>
      <c r="B213" s="76">
        <f>CustomerData!A:A</f>
        <v>0</v>
      </c>
    </row>
    <row r="214" spans="1:2" x14ac:dyDescent="0.25">
      <c r="A214" s="76">
        <f>CustomerData!B:B</f>
        <v>0</v>
      </c>
      <c r="B214" s="76">
        <f>CustomerData!A:A</f>
        <v>0</v>
      </c>
    </row>
    <row r="215" spans="1:2" x14ac:dyDescent="0.25">
      <c r="A215" s="76">
        <f>CustomerData!B:B</f>
        <v>0</v>
      </c>
      <c r="B215" s="76">
        <f>CustomerData!A:A</f>
        <v>0</v>
      </c>
    </row>
    <row r="216" spans="1:2" x14ac:dyDescent="0.25">
      <c r="A216" s="76">
        <f>CustomerData!B:B</f>
        <v>0</v>
      </c>
      <c r="B216" s="76">
        <f>CustomerData!A:A</f>
        <v>0</v>
      </c>
    </row>
    <row r="217" spans="1:2" x14ac:dyDescent="0.25">
      <c r="A217" s="76">
        <f>CustomerData!B:B</f>
        <v>0</v>
      </c>
      <c r="B217" s="76">
        <f>CustomerData!A:A</f>
        <v>0</v>
      </c>
    </row>
    <row r="218" spans="1:2" x14ac:dyDescent="0.25">
      <c r="A218" s="76">
        <f>CustomerData!B:B</f>
        <v>0</v>
      </c>
      <c r="B218" s="76">
        <f>CustomerData!A:A</f>
        <v>0</v>
      </c>
    </row>
    <row r="219" spans="1:2" x14ac:dyDescent="0.25">
      <c r="A219" s="76">
        <f>CustomerData!B:B</f>
        <v>0</v>
      </c>
      <c r="B219" s="76">
        <f>CustomerData!A:A</f>
        <v>0</v>
      </c>
    </row>
    <row r="220" spans="1:2" x14ac:dyDescent="0.25">
      <c r="A220" s="76">
        <f>CustomerData!B:B</f>
        <v>0</v>
      </c>
      <c r="B220" s="76">
        <f>CustomerData!A:A</f>
        <v>0</v>
      </c>
    </row>
    <row r="221" spans="1:2" x14ac:dyDescent="0.25">
      <c r="A221" s="76">
        <f>CustomerData!B:B</f>
        <v>0</v>
      </c>
      <c r="B221" s="76">
        <f>CustomerData!A:A</f>
        <v>0</v>
      </c>
    </row>
    <row r="222" spans="1:2" x14ac:dyDescent="0.25">
      <c r="A222" s="76">
        <f>CustomerData!B:B</f>
        <v>0</v>
      </c>
      <c r="B222" s="76">
        <f>CustomerData!A:A</f>
        <v>0</v>
      </c>
    </row>
    <row r="223" spans="1:2" x14ac:dyDescent="0.25">
      <c r="A223" s="76">
        <f>CustomerData!B:B</f>
        <v>0</v>
      </c>
      <c r="B223" s="76">
        <f>CustomerData!A:A</f>
        <v>0</v>
      </c>
    </row>
    <row r="224" spans="1:2" x14ac:dyDescent="0.25">
      <c r="A224" s="76">
        <f>CustomerData!B:B</f>
        <v>0</v>
      </c>
      <c r="B224" s="76">
        <f>CustomerData!A:A</f>
        <v>0</v>
      </c>
    </row>
    <row r="225" spans="1:2" x14ac:dyDescent="0.25">
      <c r="A225" s="76">
        <f>CustomerData!B:B</f>
        <v>0</v>
      </c>
      <c r="B225" s="76">
        <f>CustomerData!A:A</f>
        <v>0</v>
      </c>
    </row>
    <row r="226" spans="1:2" x14ac:dyDescent="0.25">
      <c r="A226" s="76">
        <f>CustomerData!B:B</f>
        <v>0</v>
      </c>
      <c r="B226" s="76">
        <f>CustomerData!A:A</f>
        <v>0</v>
      </c>
    </row>
    <row r="227" spans="1:2" x14ac:dyDescent="0.25">
      <c r="A227" s="76">
        <f>CustomerData!B:B</f>
        <v>0</v>
      </c>
      <c r="B227" s="76">
        <f>CustomerData!A:A</f>
        <v>0</v>
      </c>
    </row>
    <row r="228" spans="1:2" x14ac:dyDescent="0.25">
      <c r="A228" s="76">
        <f>CustomerData!B:B</f>
        <v>0</v>
      </c>
      <c r="B228" s="76">
        <f>CustomerData!A:A</f>
        <v>0</v>
      </c>
    </row>
    <row r="229" spans="1:2" x14ac:dyDescent="0.25">
      <c r="A229" s="76">
        <f>CustomerData!B:B</f>
        <v>0</v>
      </c>
      <c r="B229" s="76">
        <f>CustomerData!A:A</f>
        <v>0</v>
      </c>
    </row>
    <row r="230" spans="1:2" x14ac:dyDescent="0.25">
      <c r="A230" s="76">
        <f>CustomerData!B:B</f>
        <v>0</v>
      </c>
      <c r="B230" s="76">
        <f>CustomerData!A:A</f>
        <v>0</v>
      </c>
    </row>
    <row r="231" spans="1:2" x14ac:dyDescent="0.25">
      <c r="A231" s="76">
        <f>CustomerData!B:B</f>
        <v>0</v>
      </c>
      <c r="B231" s="76">
        <f>CustomerData!A:A</f>
        <v>0</v>
      </c>
    </row>
    <row r="232" spans="1:2" x14ac:dyDescent="0.25">
      <c r="A232" s="76">
        <f>CustomerData!B:B</f>
        <v>0</v>
      </c>
      <c r="B232" s="76">
        <f>CustomerData!A:A</f>
        <v>0</v>
      </c>
    </row>
    <row r="233" spans="1:2" x14ac:dyDescent="0.25">
      <c r="A233" s="76">
        <f>CustomerData!B:B</f>
        <v>0</v>
      </c>
      <c r="B233" s="76">
        <f>CustomerData!A:A</f>
        <v>0</v>
      </c>
    </row>
    <row r="234" spans="1:2" x14ac:dyDescent="0.25">
      <c r="A234" s="76">
        <f>CustomerData!B:B</f>
        <v>0</v>
      </c>
      <c r="B234" s="76">
        <f>CustomerData!A:A</f>
        <v>0</v>
      </c>
    </row>
    <row r="235" spans="1:2" x14ac:dyDescent="0.25">
      <c r="A235" s="76">
        <f>CustomerData!B:B</f>
        <v>0</v>
      </c>
      <c r="B235" s="76">
        <f>CustomerData!A:A</f>
        <v>0</v>
      </c>
    </row>
    <row r="236" spans="1:2" x14ac:dyDescent="0.25">
      <c r="A236" s="76">
        <f>CustomerData!B:B</f>
        <v>0</v>
      </c>
      <c r="B236" s="76">
        <f>CustomerData!A:A</f>
        <v>0</v>
      </c>
    </row>
    <row r="237" spans="1:2" x14ac:dyDescent="0.25">
      <c r="A237" s="76">
        <f>CustomerData!B:B</f>
        <v>0</v>
      </c>
      <c r="B237" s="76">
        <f>CustomerData!A:A</f>
        <v>0</v>
      </c>
    </row>
    <row r="238" spans="1:2" x14ac:dyDescent="0.25">
      <c r="A238" s="76">
        <f>CustomerData!B:B</f>
        <v>0</v>
      </c>
      <c r="B238" s="76">
        <f>CustomerData!A:A</f>
        <v>0</v>
      </c>
    </row>
    <row r="239" spans="1:2" x14ac:dyDescent="0.25">
      <c r="A239" s="76">
        <f>CustomerData!B:B</f>
        <v>0</v>
      </c>
      <c r="B239" s="76">
        <f>CustomerData!A:A</f>
        <v>0</v>
      </c>
    </row>
    <row r="240" spans="1:2" x14ac:dyDescent="0.25">
      <c r="A240" s="76">
        <f>CustomerData!B:B</f>
        <v>0</v>
      </c>
      <c r="B240" s="76">
        <f>CustomerData!A:A</f>
        <v>0</v>
      </c>
    </row>
    <row r="241" spans="1:2" x14ac:dyDescent="0.25">
      <c r="A241" s="76">
        <f>CustomerData!B:B</f>
        <v>0</v>
      </c>
      <c r="B241" s="76">
        <f>CustomerData!A:A</f>
        <v>0</v>
      </c>
    </row>
    <row r="242" spans="1:2" x14ac:dyDescent="0.25">
      <c r="A242" s="76">
        <f>CustomerData!B:B</f>
        <v>0</v>
      </c>
      <c r="B242" s="76">
        <f>CustomerData!A:A</f>
        <v>0</v>
      </c>
    </row>
    <row r="243" spans="1:2" x14ac:dyDescent="0.25">
      <c r="A243" s="76">
        <f>CustomerData!B:B</f>
        <v>0</v>
      </c>
      <c r="B243" s="76">
        <f>CustomerData!A:A</f>
        <v>0</v>
      </c>
    </row>
    <row r="244" spans="1:2" x14ac:dyDescent="0.25">
      <c r="A244" s="76">
        <f>CustomerData!B:B</f>
        <v>0</v>
      </c>
      <c r="B244" s="76">
        <f>CustomerData!A:A</f>
        <v>0</v>
      </c>
    </row>
    <row r="245" spans="1:2" x14ac:dyDescent="0.25">
      <c r="A245" s="76">
        <f>CustomerData!B:B</f>
        <v>0</v>
      </c>
      <c r="B245" s="76">
        <f>CustomerData!A:A</f>
        <v>0</v>
      </c>
    </row>
    <row r="246" spans="1:2" x14ac:dyDescent="0.25">
      <c r="A246" s="76">
        <f>CustomerData!B:B</f>
        <v>0</v>
      </c>
      <c r="B246" s="76">
        <f>CustomerData!A:A</f>
        <v>0</v>
      </c>
    </row>
    <row r="247" spans="1:2" x14ac:dyDescent="0.25">
      <c r="A247" s="76">
        <f>CustomerData!B:B</f>
        <v>0</v>
      </c>
      <c r="B247" s="76">
        <f>CustomerData!A:A</f>
        <v>0</v>
      </c>
    </row>
    <row r="248" spans="1:2" x14ac:dyDescent="0.25">
      <c r="A248" s="76">
        <f>CustomerData!B:B</f>
        <v>0</v>
      </c>
      <c r="B248" s="76">
        <f>CustomerData!A:A</f>
        <v>0</v>
      </c>
    </row>
    <row r="249" spans="1:2" x14ac:dyDescent="0.25">
      <c r="A249" s="76">
        <f>CustomerData!B:B</f>
        <v>0</v>
      </c>
      <c r="B249" s="76">
        <f>CustomerData!A:A</f>
        <v>0</v>
      </c>
    </row>
    <row r="250" spans="1:2" x14ac:dyDescent="0.25">
      <c r="A250" s="76">
        <f>CustomerData!B:B</f>
        <v>0</v>
      </c>
      <c r="B250" s="76">
        <f>CustomerData!A:A</f>
        <v>0</v>
      </c>
    </row>
    <row r="251" spans="1:2" x14ac:dyDescent="0.25">
      <c r="A251" s="76">
        <f>CustomerData!B:B</f>
        <v>0</v>
      </c>
      <c r="B251" s="76">
        <f>CustomerData!A:A</f>
        <v>0</v>
      </c>
    </row>
    <row r="252" spans="1:2" x14ac:dyDescent="0.25">
      <c r="A252" s="76">
        <f>CustomerData!B:B</f>
        <v>0</v>
      </c>
      <c r="B252" s="76">
        <f>CustomerData!A:A</f>
        <v>0</v>
      </c>
    </row>
    <row r="253" spans="1:2" x14ac:dyDescent="0.25">
      <c r="A253" s="76">
        <f>CustomerData!B:B</f>
        <v>0</v>
      </c>
      <c r="B253" s="76">
        <f>CustomerData!A:A</f>
        <v>0</v>
      </c>
    </row>
    <row r="254" spans="1:2" x14ac:dyDescent="0.25">
      <c r="A254" s="76">
        <f>CustomerData!B:B</f>
        <v>0</v>
      </c>
      <c r="B254" s="76">
        <f>CustomerData!A:A</f>
        <v>0</v>
      </c>
    </row>
    <row r="255" spans="1:2" x14ac:dyDescent="0.25">
      <c r="A255" s="76">
        <f>CustomerData!B:B</f>
        <v>0</v>
      </c>
      <c r="B255" s="76">
        <f>CustomerData!A:A</f>
        <v>0</v>
      </c>
    </row>
    <row r="256" spans="1:2" x14ac:dyDescent="0.25">
      <c r="A256" s="76">
        <f>CustomerData!B:B</f>
        <v>0</v>
      </c>
      <c r="B256" s="76">
        <f>CustomerData!A:A</f>
        <v>0</v>
      </c>
    </row>
    <row r="257" spans="1:2" x14ac:dyDescent="0.25">
      <c r="A257" s="76">
        <f>CustomerData!B:B</f>
        <v>0</v>
      </c>
      <c r="B257" s="76">
        <f>CustomerData!A:A</f>
        <v>0</v>
      </c>
    </row>
    <row r="258" spans="1:2" x14ac:dyDescent="0.25">
      <c r="A258" s="76">
        <f>CustomerData!B:B</f>
        <v>0</v>
      </c>
      <c r="B258" s="76">
        <f>CustomerData!A:A</f>
        <v>0</v>
      </c>
    </row>
    <row r="259" spans="1:2" x14ac:dyDescent="0.25">
      <c r="A259" s="76">
        <f>CustomerData!B:B</f>
        <v>0</v>
      </c>
      <c r="B259" s="76">
        <f>CustomerData!A:A</f>
        <v>0</v>
      </c>
    </row>
    <row r="260" spans="1:2" x14ac:dyDescent="0.25">
      <c r="A260" s="76">
        <f>CustomerData!B:B</f>
        <v>0</v>
      </c>
      <c r="B260" s="76">
        <f>CustomerData!A:A</f>
        <v>0</v>
      </c>
    </row>
    <row r="261" spans="1:2" x14ac:dyDescent="0.25">
      <c r="A261" s="76">
        <f>CustomerData!B:B</f>
        <v>0</v>
      </c>
      <c r="B261" s="76">
        <f>CustomerData!A:A</f>
        <v>0</v>
      </c>
    </row>
    <row r="262" spans="1:2" x14ac:dyDescent="0.25">
      <c r="A262" s="76">
        <f>CustomerData!B:B</f>
        <v>0</v>
      </c>
      <c r="B262" s="76">
        <f>CustomerData!A:A</f>
        <v>0</v>
      </c>
    </row>
    <row r="263" spans="1:2" x14ac:dyDescent="0.25">
      <c r="A263" s="76">
        <f>CustomerData!B:B</f>
        <v>0</v>
      </c>
      <c r="B263" s="76">
        <f>CustomerData!A:A</f>
        <v>0</v>
      </c>
    </row>
    <row r="264" spans="1:2" x14ac:dyDescent="0.25">
      <c r="A264" s="76">
        <f>CustomerData!B:B</f>
        <v>0</v>
      </c>
      <c r="B264" s="76">
        <f>CustomerData!A:A</f>
        <v>0</v>
      </c>
    </row>
    <row r="265" spans="1:2" x14ac:dyDescent="0.25">
      <c r="A265" s="76">
        <f>CustomerData!B:B</f>
        <v>0</v>
      </c>
      <c r="B265" s="76">
        <f>CustomerData!A:A</f>
        <v>0</v>
      </c>
    </row>
    <row r="266" spans="1:2" x14ac:dyDescent="0.25">
      <c r="A266" s="76">
        <f>CustomerData!B:B</f>
        <v>0</v>
      </c>
      <c r="B266" s="76">
        <f>CustomerData!A:A</f>
        <v>0</v>
      </c>
    </row>
    <row r="267" spans="1:2" x14ac:dyDescent="0.25">
      <c r="A267" s="76">
        <f>CustomerData!B:B</f>
        <v>0</v>
      </c>
      <c r="B267" s="76">
        <f>CustomerData!A:A</f>
        <v>0</v>
      </c>
    </row>
    <row r="268" spans="1:2" x14ac:dyDescent="0.25">
      <c r="A268" s="76">
        <f>CustomerData!B:B</f>
        <v>0</v>
      </c>
      <c r="B268" s="76">
        <f>CustomerData!A:A</f>
        <v>0</v>
      </c>
    </row>
    <row r="269" spans="1:2" x14ac:dyDescent="0.25">
      <c r="A269" s="76">
        <f>CustomerData!B:B</f>
        <v>0</v>
      </c>
      <c r="B269" s="76">
        <f>CustomerData!A:A</f>
        <v>0</v>
      </c>
    </row>
    <row r="270" spans="1:2" x14ac:dyDescent="0.25">
      <c r="A270" s="76">
        <f>CustomerData!B:B</f>
        <v>0</v>
      </c>
      <c r="B270" s="76">
        <f>CustomerData!A:A</f>
        <v>0</v>
      </c>
    </row>
    <row r="271" spans="1:2" x14ac:dyDescent="0.25">
      <c r="A271" s="76">
        <f>CustomerData!B:B</f>
        <v>0</v>
      </c>
      <c r="B271" s="76">
        <f>CustomerData!A:A</f>
        <v>0</v>
      </c>
    </row>
    <row r="272" spans="1:2" x14ac:dyDescent="0.25">
      <c r="A272" s="76">
        <f>CustomerData!B:B</f>
        <v>0</v>
      </c>
      <c r="B272" s="76">
        <f>CustomerData!A:A</f>
        <v>0</v>
      </c>
    </row>
    <row r="273" spans="1:2" x14ac:dyDescent="0.25">
      <c r="A273" s="76">
        <f>CustomerData!B:B</f>
        <v>0</v>
      </c>
      <c r="B273" s="76">
        <f>CustomerData!A:A</f>
        <v>0</v>
      </c>
    </row>
    <row r="274" spans="1:2" x14ac:dyDescent="0.25">
      <c r="A274" s="76">
        <f>CustomerData!B:B</f>
        <v>0</v>
      </c>
      <c r="B274" s="76">
        <f>CustomerData!A:A</f>
        <v>0</v>
      </c>
    </row>
    <row r="275" spans="1:2" x14ac:dyDescent="0.25">
      <c r="A275" s="76">
        <f>CustomerData!B:B</f>
        <v>0</v>
      </c>
      <c r="B275" s="76">
        <f>CustomerData!A:A</f>
        <v>0</v>
      </c>
    </row>
    <row r="276" spans="1:2" x14ac:dyDescent="0.25">
      <c r="A276" s="76">
        <f>CustomerData!B:B</f>
        <v>0</v>
      </c>
      <c r="B276" s="76">
        <f>CustomerData!A:A</f>
        <v>0</v>
      </c>
    </row>
    <row r="277" spans="1:2" x14ac:dyDescent="0.25">
      <c r="A277" s="76">
        <f>CustomerData!B:B</f>
        <v>0</v>
      </c>
      <c r="B277" s="76">
        <f>CustomerData!A:A</f>
        <v>0</v>
      </c>
    </row>
    <row r="278" spans="1:2" x14ac:dyDescent="0.25">
      <c r="A278" s="76">
        <f>CustomerData!B:B</f>
        <v>0</v>
      </c>
      <c r="B278" s="76">
        <f>CustomerData!A:A</f>
        <v>0</v>
      </c>
    </row>
    <row r="279" spans="1:2" x14ac:dyDescent="0.25">
      <c r="A279" s="76">
        <f>CustomerData!B:B</f>
        <v>0</v>
      </c>
      <c r="B279" s="76">
        <f>CustomerData!A:A</f>
        <v>0</v>
      </c>
    </row>
    <row r="280" spans="1:2" x14ac:dyDescent="0.25">
      <c r="A280" s="76">
        <f>CustomerData!B:B</f>
        <v>0</v>
      </c>
      <c r="B280" s="76">
        <f>CustomerData!A:A</f>
        <v>0</v>
      </c>
    </row>
    <row r="281" spans="1:2" x14ac:dyDescent="0.25">
      <c r="A281" s="76">
        <f>CustomerData!B:B</f>
        <v>0</v>
      </c>
      <c r="B281" s="76">
        <f>CustomerData!A:A</f>
        <v>0</v>
      </c>
    </row>
    <row r="282" spans="1:2" x14ac:dyDescent="0.25">
      <c r="A282" s="76">
        <f>CustomerData!B:B</f>
        <v>0</v>
      </c>
      <c r="B282" s="76">
        <f>CustomerData!A:A</f>
        <v>0</v>
      </c>
    </row>
    <row r="283" spans="1:2" x14ac:dyDescent="0.25">
      <c r="A283" s="76">
        <f>CustomerData!B:B</f>
        <v>0</v>
      </c>
      <c r="B283" s="76">
        <f>CustomerData!A:A</f>
        <v>0</v>
      </c>
    </row>
    <row r="284" spans="1:2" x14ac:dyDescent="0.25">
      <c r="A284" s="76">
        <f>CustomerData!B:B</f>
        <v>0</v>
      </c>
      <c r="B284" s="76">
        <f>CustomerData!A:A</f>
        <v>0</v>
      </c>
    </row>
    <row r="285" spans="1:2" x14ac:dyDescent="0.25">
      <c r="A285" s="76">
        <f>CustomerData!B:B</f>
        <v>0</v>
      </c>
      <c r="B285" s="76">
        <f>CustomerData!A:A</f>
        <v>0</v>
      </c>
    </row>
    <row r="286" spans="1:2" x14ac:dyDescent="0.25">
      <c r="A286" s="76">
        <f>CustomerData!B:B</f>
        <v>0</v>
      </c>
      <c r="B286" s="76">
        <f>CustomerData!A:A</f>
        <v>0</v>
      </c>
    </row>
    <row r="287" spans="1:2" x14ac:dyDescent="0.25">
      <c r="A287" s="76">
        <f>CustomerData!B:B</f>
        <v>0</v>
      </c>
      <c r="B287" s="76">
        <f>CustomerData!A:A</f>
        <v>0</v>
      </c>
    </row>
    <row r="288" spans="1:2" x14ac:dyDescent="0.25">
      <c r="A288" s="76">
        <f>CustomerData!B:B</f>
        <v>0</v>
      </c>
      <c r="B288" s="76">
        <f>CustomerData!A:A</f>
        <v>0</v>
      </c>
    </row>
    <row r="289" spans="1:2" x14ac:dyDescent="0.25">
      <c r="A289" s="76">
        <f>CustomerData!B:B</f>
        <v>0</v>
      </c>
      <c r="B289" s="76">
        <f>CustomerData!A:A</f>
        <v>0</v>
      </c>
    </row>
    <row r="290" spans="1:2" x14ac:dyDescent="0.25">
      <c r="A290" s="76">
        <f>CustomerData!B:B</f>
        <v>0</v>
      </c>
      <c r="B290" s="76">
        <f>CustomerData!A:A</f>
        <v>0</v>
      </c>
    </row>
    <row r="291" spans="1:2" x14ac:dyDescent="0.25">
      <c r="A291" s="76">
        <f>CustomerData!B:B</f>
        <v>0</v>
      </c>
      <c r="B291" s="76">
        <f>CustomerData!A:A</f>
        <v>0</v>
      </c>
    </row>
    <row r="292" spans="1:2" x14ac:dyDescent="0.25">
      <c r="A292" s="76">
        <f>CustomerData!B:B</f>
        <v>0</v>
      </c>
      <c r="B292" s="76">
        <f>CustomerData!A:A</f>
        <v>0</v>
      </c>
    </row>
    <row r="293" spans="1:2" x14ac:dyDescent="0.25">
      <c r="A293" s="76">
        <f>CustomerData!B:B</f>
        <v>0</v>
      </c>
      <c r="B293" s="76">
        <f>CustomerData!A:A</f>
        <v>0</v>
      </c>
    </row>
    <row r="294" spans="1:2" x14ac:dyDescent="0.25">
      <c r="A294" s="76">
        <f>CustomerData!B:B</f>
        <v>0</v>
      </c>
      <c r="B294" s="76">
        <f>CustomerData!A:A</f>
        <v>0</v>
      </c>
    </row>
    <row r="295" spans="1:2" x14ac:dyDescent="0.25">
      <c r="A295" s="76">
        <f>CustomerData!B:B</f>
        <v>0</v>
      </c>
      <c r="B295" s="76">
        <f>CustomerData!A:A</f>
        <v>0</v>
      </c>
    </row>
    <row r="296" spans="1:2" x14ac:dyDescent="0.25">
      <c r="A296" s="76">
        <f>CustomerData!B:B</f>
        <v>0</v>
      </c>
      <c r="B296" s="76">
        <f>CustomerData!A:A</f>
        <v>0</v>
      </c>
    </row>
    <row r="297" spans="1:2" x14ac:dyDescent="0.25">
      <c r="A297" s="76">
        <f>CustomerData!B:B</f>
        <v>0</v>
      </c>
      <c r="B297" s="76">
        <f>CustomerData!A:A</f>
        <v>0</v>
      </c>
    </row>
    <row r="298" spans="1:2" x14ac:dyDescent="0.25">
      <c r="A298" s="76">
        <f>CustomerData!B:B</f>
        <v>0</v>
      </c>
      <c r="B298" s="76">
        <f>CustomerData!A:A</f>
        <v>0</v>
      </c>
    </row>
    <row r="299" spans="1:2" x14ac:dyDescent="0.25">
      <c r="A299" s="76">
        <f>CustomerData!B:B</f>
        <v>0</v>
      </c>
      <c r="B299" s="76">
        <f>CustomerData!A:A</f>
        <v>0</v>
      </c>
    </row>
    <row r="300" spans="1:2" x14ac:dyDescent="0.25">
      <c r="A300" s="76">
        <f>CustomerData!B:B</f>
        <v>0</v>
      </c>
      <c r="B300" s="76">
        <f>CustomerData!A:A</f>
        <v>0</v>
      </c>
    </row>
    <row r="301" spans="1:2" x14ac:dyDescent="0.25">
      <c r="A301" s="76">
        <f>CustomerData!B:B</f>
        <v>0</v>
      </c>
      <c r="B301" s="76">
        <f>CustomerData!A:A</f>
        <v>0</v>
      </c>
    </row>
    <row r="302" spans="1:2" x14ac:dyDescent="0.25">
      <c r="A302" s="76">
        <f>CustomerData!B:B</f>
        <v>0</v>
      </c>
      <c r="B302" s="76">
        <f>CustomerData!A:A</f>
        <v>0</v>
      </c>
    </row>
    <row r="303" spans="1:2" x14ac:dyDescent="0.25">
      <c r="A303" s="76">
        <f>CustomerData!B:B</f>
        <v>0</v>
      </c>
      <c r="B303" s="76">
        <f>CustomerData!A:A</f>
        <v>0</v>
      </c>
    </row>
    <row r="304" spans="1:2" x14ac:dyDescent="0.25">
      <c r="A304" s="76">
        <f>CustomerData!B:B</f>
        <v>0</v>
      </c>
      <c r="B304" s="76">
        <f>CustomerData!A:A</f>
        <v>0</v>
      </c>
    </row>
    <row r="305" spans="1:2" x14ac:dyDescent="0.25">
      <c r="A305" s="76">
        <f>CustomerData!B:B</f>
        <v>0</v>
      </c>
      <c r="B305" s="76">
        <f>CustomerData!A:A</f>
        <v>0</v>
      </c>
    </row>
    <row r="306" spans="1:2" x14ac:dyDescent="0.25">
      <c r="A306" s="76">
        <f>CustomerData!B:B</f>
        <v>0</v>
      </c>
      <c r="B306" s="76">
        <f>CustomerData!A:A</f>
        <v>0</v>
      </c>
    </row>
    <row r="307" spans="1:2" x14ac:dyDescent="0.25">
      <c r="A307" s="76">
        <f>CustomerData!B:B</f>
        <v>0</v>
      </c>
      <c r="B307" s="76">
        <f>CustomerData!A:A</f>
        <v>0</v>
      </c>
    </row>
    <row r="308" spans="1:2" x14ac:dyDescent="0.25">
      <c r="A308" s="76">
        <f>CustomerData!B:B</f>
        <v>0</v>
      </c>
      <c r="B308" s="76">
        <f>CustomerData!A:A</f>
        <v>0</v>
      </c>
    </row>
    <row r="309" spans="1:2" x14ac:dyDescent="0.25">
      <c r="A309" s="76">
        <f>CustomerData!B:B</f>
        <v>0</v>
      </c>
      <c r="B309" s="76">
        <f>CustomerData!A:A</f>
        <v>0</v>
      </c>
    </row>
    <row r="310" spans="1:2" x14ac:dyDescent="0.25">
      <c r="A310" s="76">
        <f>CustomerData!B:B</f>
        <v>0</v>
      </c>
      <c r="B310" s="76">
        <f>CustomerData!A:A</f>
        <v>0</v>
      </c>
    </row>
    <row r="311" spans="1:2" x14ac:dyDescent="0.25">
      <c r="A311" s="76">
        <f>CustomerData!B:B</f>
        <v>0</v>
      </c>
      <c r="B311" s="76">
        <f>CustomerData!A:A</f>
        <v>0</v>
      </c>
    </row>
    <row r="312" spans="1:2" x14ac:dyDescent="0.25">
      <c r="A312" s="76">
        <f>CustomerData!B:B</f>
        <v>0</v>
      </c>
      <c r="B312" s="76">
        <f>CustomerData!A:A</f>
        <v>0</v>
      </c>
    </row>
    <row r="313" spans="1:2" x14ac:dyDescent="0.25">
      <c r="A313" s="76">
        <f>CustomerData!B:B</f>
        <v>0</v>
      </c>
      <c r="B313" s="76">
        <f>CustomerData!A:A</f>
        <v>0</v>
      </c>
    </row>
    <row r="314" spans="1:2" x14ac:dyDescent="0.25">
      <c r="A314" s="76">
        <f>CustomerData!B:B</f>
        <v>0</v>
      </c>
      <c r="B314" s="76">
        <f>CustomerData!A:A</f>
        <v>0</v>
      </c>
    </row>
    <row r="315" spans="1:2" x14ac:dyDescent="0.25">
      <c r="A315" s="76">
        <f>CustomerData!B:B</f>
        <v>0</v>
      </c>
      <c r="B315" s="76">
        <f>CustomerData!A:A</f>
        <v>0</v>
      </c>
    </row>
    <row r="316" spans="1:2" x14ac:dyDescent="0.25">
      <c r="A316" s="76">
        <f>CustomerData!B:B</f>
        <v>0</v>
      </c>
      <c r="B316" s="76">
        <f>CustomerData!A:A</f>
        <v>0</v>
      </c>
    </row>
    <row r="317" spans="1:2" x14ac:dyDescent="0.25">
      <c r="A317" s="76">
        <f>CustomerData!B:B</f>
        <v>0</v>
      </c>
      <c r="B317" s="76">
        <f>CustomerData!A:A</f>
        <v>0</v>
      </c>
    </row>
    <row r="318" spans="1:2" x14ac:dyDescent="0.25">
      <c r="A318" s="76">
        <f>CustomerData!B:B</f>
        <v>0</v>
      </c>
      <c r="B318" s="76">
        <f>CustomerData!A:A</f>
        <v>0</v>
      </c>
    </row>
    <row r="319" spans="1:2" x14ac:dyDescent="0.25">
      <c r="A319" s="76">
        <f>CustomerData!B:B</f>
        <v>0</v>
      </c>
      <c r="B319" s="76">
        <f>CustomerData!A:A</f>
        <v>0</v>
      </c>
    </row>
    <row r="320" spans="1:2" x14ac:dyDescent="0.25">
      <c r="A320" s="76">
        <f>CustomerData!B:B</f>
        <v>0</v>
      </c>
      <c r="B320" s="76">
        <f>CustomerData!A:A</f>
        <v>0</v>
      </c>
    </row>
    <row r="321" spans="1:2" x14ac:dyDescent="0.25">
      <c r="A321" s="76">
        <f>CustomerData!B:B</f>
        <v>0</v>
      </c>
      <c r="B321" s="76">
        <f>CustomerData!A:A</f>
        <v>0</v>
      </c>
    </row>
    <row r="322" spans="1:2" x14ac:dyDescent="0.25">
      <c r="A322" s="76">
        <f>CustomerData!B:B</f>
        <v>0</v>
      </c>
      <c r="B322" s="76">
        <f>CustomerData!A:A</f>
        <v>0</v>
      </c>
    </row>
    <row r="323" spans="1:2" x14ac:dyDescent="0.25">
      <c r="A323" s="76">
        <f>CustomerData!B:B</f>
        <v>0</v>
      </c>
      <c r="B323" s="76">
        <f>CustomerData!A:A</f>
        <v>0</v>
      </c>
    </row>
    <row r="324" spans="1:2" x14ac:dyDescent="0.25">
      <c r="A324" s="76">
        <f>CustomerData!B:B</f>
        <v>0</v>
      </c>
      <c r="B324" s="76">
        <f>CustomerData!A:A</f>
        <v>0</v>
      </c>
    </row>
    <row r="325" spans="1:2" x14ac:dyDescent="0.25">
      <c r="A325" s="76">
        <f>CustomerData!B:B</f>
        <v>0</v>
      </c>
      <c r="B325" s="76">
        <f>CustomerData!A:A</f>
        <v>0</v>
      </c>
    </row>
    <row r="326" spans="1:2" x14ac:dyDescent="0.25">
      <c r="A326" s="76">
        <f>CustomerData!B:B</f>
        <v>0</v>
      </c>
      <c r="B326" s="76">
        <f>CustomerData!A:A</f>
        <v>0</v>
      </c>
    </row>
    <row r="327" spans="1:2" x14ac:dyDescent="0.25">
      <c r="A327" s="76">
        <f>CustomerData!B:B</f>
        <v>0</v>
      </c>
      <c r="B327" s="76">
        <f>CustomerData!A:A</f>
        <v>0</v>
      </c>
    </row>
    <row r="328" spans="1:2" x14ac:dyDescent="0.25">
      <c r="A328" s="76">
        <f>CustomerData!B:B</f>
        <v>0</v>
      </c>
      <c r="B328" s="76">
        <f>CustomerData!A:A</f>
        <v>0</v>
      </c>
    </row>
    <row r="329" spans="1:2" x14ac:dyDescent="0.25">
      <c r="A329" s="76">
        <f>CustomerData!B:B</f>
        <v>0</v>
      </c>
      <c r="B329" s="76">
        <f>CustomerData!A:A</f>
        <v>0</v>
      </c>
    </row>
    <row r="330" spans="1:2" x14ac:dyDescent="0.25">
      <c r="A330" s="76">
        <f>CustomerData!B:B</f>
        <v>0</v>
      </c>
      <c r="B330" s="76">
        <f>CustomerData!A:A</f>
        <v>0</v>
      </c>
    </row>
    <row r="331" spans="1:2" x14ac:dyDescent="0.25">
      <c r="A331" s="76">
        <f>CustomerData!B:B</f>
        <v>0</v>
      </c>
      <c r="B331" s="76">
        <f>CustomerData!A:A</f>
        <v>0</v>
      </c>
    </row>
    <row r="332" spans="1:2" x14ac:dyDescent="0.25">
      <c r="A332" s="76">
        <f>CustomerData!B:B</f>
        <v>0</v>
      </c>
      <c r="B332" s="76">
        <f>CustomerData!A:A</f>
        <v>0</v>
      </c>
    </row>
    <row r="333" spans="1:2" x14ac:dyDescent="0.25">
      <c r="A333" s="76">
        <f>CustomerData!B:B</f>
        <v>0</v>
      </c>
      <c r="B333" s="76">
        <f>CustomerData!A:A</f>
        <v>0</v>
      </c>
    </row>
    <row r="334" spans="1:2" x14ac:dyDescent="0.25">
      <c r="A334" s="76">
        <f>CustomerData!B:B</f>
        <v>0</v>
      </c>
      <c r="B334" s="76">
        <f>CustomerData!A:A</f>
        <v>0</v>
      </c>
    </row>
    <row r="335" spans="1:2" x14ac:dyDescent="0.25">
      <c r="A335" s="76">
        <f>CustomerData!B:B</f>
        <v>0</v>
      </c>
      <c r="B335" s="76">
        <f>CustomerData!A:A</f>
        <v>0</v>
      </c>
    </row>
    <row r="336" spans="1:2" x14ac:dyDescent="0.25">
      <c r="A336" s="76">
        <f>CustomerData!B:B</f>
        <v>0</v>
      </c>
      <c r="B336" s="76">
        <f>CustomerData!A:A</f>
        <v>0</v>
      </c>
    </row>
    <row r="337" spans="1:2" x14ac:dyDescent="0.25">
      <c r="A337" s="76">
        <f>CustomerData!B:B</f>
        <v>0</v>
      </c>
      <c r="B337" s="76">
        <f>CustomerData!A:A</f>
        <v>0</v>
      </c>
    </row>
    <row r="338" spans="1:2" x14ac:dyDescent="0.25">
      <c r="A338" s="76">
        <f>CustomerData!B:B</f>
        <v>0</v>
      </c>
      <c r="B338" s="76">
        <f>CustomerData!A:A</f>
        <v>0</v>
      </c>
    </row>
    <row r="339" spans="1:2" x14ac:dyDescent="0.25">
      <c r="A339" s="76">
        <f>CustomerData!B:B</f>
        <v>0</v>
      </c>
      <c r="B339" s="76">
        <f>CustomerData!A:A</f>
        <v>0</v>
      </c>
    </row>
    <row r="340" spans="1:2" x14ac:dyDescent="0.25">
      <c r="A340" s="76">
        <f>CustomerData!B:B</f>
        <v>0</v>
      </c>
      <c r="B340" s="76">
        <f>CustomerData!A:A</f>
        <v>0</v>
      </c>
    </row>
    <row r="341" spans="1:2" x14ac:dyDescent="0.25">
      <c r="A341" s="76">
        <f>CustomerData!B:B</f>
        <v>0</v>
      </c>
      <c r="B341" s="76">
        <f>CustomerData!A:A</f>
        <v>0</v>
      </c>
    </row>
    <row r="342" spans="1:2" x14ac:dyDescent="0.25">
      <c r="A342" s="76">
        <f>CustomerData!B:B</f>
        <v>0</v>
      </c>
      <c r="B342" s="76">
        <f>CustomerData!A:A</f>
        <v>0</v>
      </c>
    </row>
    <row r="343" spans="1:2" x14ac:dyDescent="0.25">
      <c r="A343" s="76">
        <f>CustomerData!B:B</f>
        <v>0</v>
      </c>
      <c r="B343" s="76">
        <f>CustomerData!A:A</f>
        <v>0</v>
      </c>
    </row>
    <row r="344" spans="1:2" x14ac:dyDescent="0.25">
      <c r="A344" s="76">
        <f>CustomerData!B:B</f>
        <v>0</v>
      </c>
      <c r="B344" s="76">
        <f>CustomerData!A:A</f>
        <v>0</v>
      </c>
    </row>
    <row r="345" spans="1:2" x14ac:dyDescent="0.25">
      <c r="A345" s="76">
        <f>CustomerData!B:B</f>
        <v>0</v>
      </c>
      <c r="B345" s="76">
        <f>CustomerData!A:A</f>
        <v>0</v>
      </c>
    </row>
    <row r="346" spans="1:2" x14ac:dyDescent="0.25">
      <c r="A346" s="76">
        <f>CustomerData!B:B</f>
        <v>0</v>
      </c>
      <c r="B346" s="76">
        <f>CustomerData!A:A</f>
        <v>0</v>
      </c>
    </row>
    <row r="347" spans="1:2" x14ac:dyDescent="0.25">
      <c r="A347" s="76">
        <f>CustomerData!B:B</f>
        <v>0</v>
      </c>
      <c r="B347" s="76">
        <f>CustomerData!A:A</f>
        <v>0</v>
      </c>
    </row>
    <row r="348" spans="1:2" x14ac:dyDescent="0.25">
      <c r="A348" s="76">
        <f>CustomerData!B:B</f>
        <v>0</v>
      </c>
      <c r="B348" s="76">
        <f>CustomerData!A:A</f>
        <v>0</v>
      </c>
    </row>
    <row r="349" spans="1:2" x14ac:dyDescent="0.25">
      <c r="A349" s="76">
        <f>CustomerData!B:B</f>
        <v>0</v>
      </c>
      <c r="B349" s="76">
        <f>CustomerData!A:A</f>
        <v>0</v>
      </c>
    </row>
    <row r="350" spans="1:2" x14ac:dyDescent="0.25">
      <c r="A350" s="76">
        <f>CustomerData!B:B</f>
        <v>0</v>
      </c>
      <c r="B350" s="76">
        <f>CustomerData!A:A</f>
        <v>0</v>
      </c>
    </row>
    <row r="351" spans="1:2" x14ac:dyDescent="0.25">
      <c r="A351" s="76">
        <f>CustomerData!B:B</f>
        <v>0</v>
      </c>
      <c r="B351" s="76">
        <f>CustomerData!A:A</f>
        <v>0</v>
      </c>
    </row>
    <row r="352" spans="1:2" x14ac:dyDescent="0.25">
      <c r="A352" s="76">
        <f>CustomerData!B:B</f>
        <v>0</v>
      </c>
      <c r="B352" s="76">
        <f>CustomerData!A:A</f>
        <v>0</v>
      </c>
    </row>
    <row r="353" spans="1:2" x14ac:dyDescent="0.25">
      <c r="A353" s="76">
        <f>CustomerData!B:B</f>
        <v>0</v>
      </c>
      <c r="B353" s="76">
        <f>CustomerData!A:A</f>
        <v>0</v>
      </c>
    </row>
    <row r="354" spans="1:2" x14ac:dyDescent="0.25">
      <c r="A354" s="76">
        <f>CustomerData!B:B</f>
        <v>0</v>
      </c>
      <c r="B354" s="76">
        <f>CustomerData!A:A</f>
        <v>0</v>
      </c>
    </row>
    <row r="355" spans="1:2" x14ac:dyDescent="0.25">
      <c r="A355" s="76">
        <f>CustomerData!B:B</f>
        <v>0</v>
      </c>
      <c r="B355" s="76">
        <f>CustomerData!A:A</f>
        <v>0</v>
      </c>
    </row>
    <row r="356" spans="1:2" x14ac:dyDescent="0.25">
      <c r="A356" s="76">
        <f>CustomerData!B:B</f>
        <v>0</v>
      </c>
      <c r="B356" s="76">
        <f>CustomerData!A:A</f>
        <v>0</v>
      </c>
    </row>
    <row r="357" spans="1:2" x14ac:dyDescent="0.25">
      <c r="A357" s="76">
        <f>CustomerData!B:B</f>
        <v>0</v>
      </c>
      <c r="B357" s="76">
        <f>CustomerData!A:A</f>
        <v>0</v>
      </c>
    </row>
    <row r="358" spans="1:2" x14ac:dyDescent="0.25">
      <c r="A358" s="76">
        <f>CustomerData!B:B</f>
        <v>0</v>
      </c>
      <c r="B358" s="76">
        <f>CustomerData!A:A</f>
        <v>0</v>
      </c>
    </row>
    <row r="359" spans="1:2" x14ac:dyDescent="0.25">
      <c r="A359" s="76">
        <f>CustomerData!B:B</f>
        <v>0</v>
      </c>
      <c r="B359" s="76">
        <f>CustomerData!A:A</f>
        <v>0</v>
      </c>
    </row>
    <row r="360" spans="1:2" x14ac:dyDescent="0.25">
      <c r="A360" s="76">
        <f>CustomerData!B:B</f>
        <v>0</v>
      </c>
      <c r="B360" s="76">
        <f>CustomerData!A:A</f>
        <v>0</v>
      </c>
    </row>
    <row r="361" spans="1:2" x14ac:dyDescent="0.25">
      <c r="A361" s="76">
        <f>CustomerData!B:B</f>
        <v>0</v>
      </c>
      <c r="B361" s="76">
        <f>CustomerData!A:A</f>
        <v>0</v>
      </c>
    </row>
    <row r="362" spans="1:2" x14ac:dyDescent="0.25">
      <c r="A362" s="76">
        <f>CustomerData!B:B</f>
        <v>0</v>
      </c>
      <c r="B362" s="76">
        <f>CustomerData!A:A</f>
        <v>0</v>
      </c>
    </row>
    <row r="363" spans="1:2" x14ac:dyDescent="0.25">
      <c r="A363" s="76">
        <f>CustomerData!B:B</f>
        <v>0</v>
      </c>
      <c r="B363" s="76">
        <f>CustomerData!A:A</f>
        <v>0</v>
      </c>
    </row>
    <row r="364" spans="1:2" x14ac:dyDescent="0.25">
      <c r="A364" s="76">
        <f>CustomerData!B:B</f>
        <v>0</v>
      </c>
      <c r="B364" s="76">
        <f>CustomerData!A:A</f>
        <v>0</v>
      </c>
    </row>
    <row r="365" spans="1:2" x14ac:dyDescent="0.25">
      <c r="A365" s="76">
        <f>CustomerData!B:B</f>
        <v>0</v>
      </c>
      <c r="B365" s="76">
        <f>CustomerData!A:A</f>
        <v>0</v>
      </c>
    </row>
    <row r="366" spans="1:2" x14ac:dyDescent="0.25">
      <c r="A366" s="76">
        <f>CustomerData!B:B</f>
        <v>0</v>
      </c>
      <c r="B366" s="76">
        <f>CustomerData!A:A</f>
        <v>0</v>
      </c>
    </row>
    <row r="367" spans="1:2" x14ac:dyDescent="0.25">
      <c r="A367" s="76">
        <f>CustomerData!B:B</f>
        <v>0</v>
      </c>
      <c r="B367" s="76">
        <f>CustomerData!A:A</f>
        <v>0</v>
      </c>
    </row>
    <row r="368" spans="1:2" x14ac:dyDescent="0.25">
      <c r="A368" s="76">
        <f>CustomerData!B:B</f>
        <v>0</v>
      </c>
      <c r="B368" s="76">
        <f>CustomerData!A:A</f>
        <v>0</v>
      </c>
    </row>
    <row r="369" spans="1:2" x14ac:dyDescent="0.25">
      <c r="A369" s="76">
        <f>CustomerData!B:B</f>
        <v>0</v>
      </c>
      <c r="B369" s="76">
        <f>CustomerData!A:A</f>
        <v>0</v>
      </c>
    </row>
    <row r="370" spans="1:2" x14ac:dyDescent="0.25">
      <c r="A370" s="76">
        <f>CustomerData!B:B</f>
        <v>0</v>
      </c>
      <c r="B370" s="76">
        <f>CustomerData!A:A</f>
        <v>0</v>
      </c>
    </row>
    <row r="371" spans="1:2" x14ac:dyDescent="0.25">
      <c r="A371" s="76">
        <f>CustomerData!B:B</f>
        <v>0</v>
      </c>
      <c r="B371" s="76">
        <f>CustomerData!A:A</f>
        <v>0</v>
      </c>
    </row>
    <row r="372" spans="1:2" x14ac:dyDescent="0.25">
      <c r="A372" s="76">
        <f>CustomerData!B:B</f>
        <v>0</v>
      </c>
      <c r="B372" s="76">
        <f>CustomerData!A:A</f>
        <v>0</v>
      </c>
    </row>
    <row r="373" spans="1:2" x14ac:dyDescent="0.25">
      <c r="A373" s="76">
        <f>CustomerData!B:B</f>
        <v>0</v>
      </c>
      <c r="B373" s="76">
        <f>CustomerData!A:A</f>
        <v>0</v>
      </c>
    </row>
    <row r="374" spans="1:2" x14ac:dyDescent="0.25">
      <c r="A374" s="76">
        <f>CustomerData!B:B</f>
        <v>0</v>
      </c>
      <c r="B374" s="76">
        <f>CustomerData!A:A</f>
        <v>0</v>
      </c>
    </row>
    <row r="375" spans="1:2" x14ac:dyDescent="0.25">
      <c r="A375" s="76">
        <f>CustomerData!B:B</f>
        <v>0</v>
      </c>
      <c r="B375" s="76">
        <f>CustomerData!A:A</f>
        <v>0</v>
      </c>
    </row>
    <row r="376" spans="1:2" x14ac:dyDescent="0.25">
      <c r="A376" s="76">
        <f>CustomerData!B:B</f>
        <v>0</v>
      </c>
      <c r="B376" s="76">
        <f>CustomerData!A:A</f>
        <v>0</v>
      </c>
    </row>
    <row r="377" spans="1:2" x14ac:dyDescent="0.25">
      <c r="A377" s="76">
        <f>CustomerData!B:B</f>
        <v>0</v>
      </c>
      <c r="B377" s="76">
        <f>CustomerData!A:A</f>
        <v>0</v>
      </c>
    </row>
    <row r="378" spans="1:2" x14ac:dyDescent="0.25">
      <c r="A378" s="76">
        <f>CustomerData!B:B</f>
        <v>0</v>
      </c>
      <c r="B378" s="76">
        <f>CustomerData!A:A</f>
        <v>0</v>
      </c>
    </row>
    <row r="379" spans="1:2" x14ac:dyDescent="0.25">
      <c r="A379" s="76">
        <f>CustomerData!B:B</f>
        <v>0</v>
      </c>
      <c r="B379" s="76">
        <f>CustomerData!A:A</f>
        <v>0</v>
      </c>
    </row>
    <row r="380" spans="1:2" x14ac:dyDescent="0.25">
      <c r="A380" s="76">
        <f>CustomerData!B:B</f>
        <v>0</v>
      </c>
      <c r="B380" s="76">
        <f>CustomerData!A:A</f>
        <v>0</v>
      </c>
    </row>
    <row r="381" spans="1:2" x14ac:dyDescent="0.25">
      <c r="A381" s="76">
        <f>CustomerData!B:B</f>
        <v>0</v>
      </c>
      <c r="B381" s="76">
        <f>CustomerData!A:A</f>
        <v>0</v>
      </c>
    </row>
    <row r="382" spans="1:2" x14ac:dyDescent="0.25">
      <c r="A382" s="76">
        <f>CustomerData!B:B</f>
        <v>0</v>
      </c>
      <c r="B382" s="76">
        <f>CustomerData!A:A</f>
        <v>0</v>
      </c>
    </row>
    <row r="383" spans="1:2" x14ac:dyDescent="0.25">
      <c r="A383" s="76">
        <f>CustomerData!B:B</f>
        <v>0</v>
      </c>
      <c r="B383" s="76">
        <f>CustomerData!A:A</f>
        <v>0</v>
      </c>
    </row>
    <row r="384" spans="1:2" x14ac:dyDescent="0.25">
      <c r="A384" s="76">
        <f>CustomerData!B:B</f>
        <v>0</v>
      </c>
      <c r="B384" s="76">
        <f>CustomerData!A:A</f>
        <v>0</v>
      </c>
    </row>
    <row r="385" spans="1:2" x14ac:dyDescent="0.25">
      <c r="A385" s="76">
        <f>CustomerData!B:B</f>
        <v>0</v>
      </c>
      <c r="B385" s="76">
        <f>CustomerData!A:A</f>
        <v>0</v>
      </c>
    </row>
    <row r="386" spans="1:2" x14ac:dyDescent="0.25">
      <c r="A386" s="76">
        <f>CustomerData!B:B</f>
        <v>0</v>
      </c>
      <c r="B386" s="76">
        <f>CustomerData!A:A</f>
        <v>0</v>
      </c>
    </row>
    <row r="387" spans="1:2" x14ac:dyDescent="0.25">
      <c r="A387" s="76">
        <f>CustomerData!B:B</f>
        <v>0</v>
      </c>
      <c r="B387" s="76">
        <f>CustomerData!A:A</f>
        <v>0</v>
      </c>
    </row>
    <row r="388" spans="1:2" x14ac:dyDescent="0.25">
      <c r="A388" s="76">
        <f>CustomerData!B:B</f>
        <v>0</v>
      </c>
      <c r="B388" s="76">
        <f>CustomerData!A:A</f>
        <v>0</v>
      </c>
    </row>
    <row r="389" spans="1:2" x14ac:dyDescent="0.25">
      <c r="A389" s="76">
        <f>CustomerData!B:B</f>
        <v>0</v>
      </c>
      <c r="B389" s="76">
        <f>CustomerData!A:A</f>
        <v>0</v>
      </c>
    </row>
    <row r="390" spans="1:2" x14ac:dyDescent="0.25">
      <c r="A390" s="76">
        <f>CustomerData!B:B</f>
        <v>0</v>
      </c>
      <c r="B390" s="76">
        <f>CustomerData!A:A</f>
        <v>0</v>
      </c>
    </row>
    <row r="391" spans="1:2" x14ac:dyDescent="0.25">
      <c r="A391" s="76">
        <f>CustomerData!B:B</f>
        <v>0</v>
      </c>
      <c r="B391" s="76">
        <f>CustomerData!A:A</f>
        <v>0</v>
      </c>
    </row>
    <row r="392" spans="1:2" x14ac:dyDescent="0.25">
      <c r="A392" s="76">
        <f>CustomerData!B:B</f>
        <v>0</v>
      </c>
      <c r="B392" s="76">
        <f>CustomerData!A:A</f>
        <v>0</v>
      </c>
    </row>
    <row r="393" spans="1:2" x14ac:dyDescent="0.25">
      <c r="A393" s="76">
        <f>CustomerData!B:B</f>
        <v>0</v>
      </c>
      <c r="B393" s="76">
        <f>CustomerData!A:A</f>
        <v>0</v>
      </c>
    </row>
    <row r="394" spans="1:2" x14ac:dyDescent="0.25">
      <c r="A394" s="76">
        <f>CustomerData!B:B</f>
        <v>0</v>
      </c>
      <c r="B394" s="76">
        <f>CustomerData!A:A</f>
        <v>0</v>
      </c>
    </row>
    <row r="395" spans="1:2" x14ac:dyDescent="0.25">
      <c r="A395" s="76">
        <f>CustomerData!B:B</f>
        <v>0</v>
      </c>
      <c r="B395" s="76">
        <f>CustomerData!A:A</f>
        <v>0</v>
      </c>
    </row>
    <row r="396" spans="1:2" x14ac:dyDescent="0.25">
      <c r="A396" s="76">
        <f>CustomerData!B:B</f>
        <v>0</v>
      </c>
      <c r="B396" s="76">
        <f>CustomerData!A:A</f>
        <v>0</v>
      </c>
    </row>
    <row r="397" spans="1:2" x14ac:dyDescent="0.25">
      <c r="A397" s="76">
        <f>CustomerData!B:B</f>
        <v>0</v>
      </c>
      <c r="B397" s="76">
        <f>CustomerData!A:A</f>
        <v>0</v>
      </c>
    </row>
    <row r="398" spans="1:2" x14ac:dyDescent="0.25">
      <c r="A398" s="76">
        <f>CustomerData!B:B</f>
        <v>0</v>
      </c>
      <c r="B398" s="76">
        <f>CustomerData!A:A</f>
        <v>0</v>
      </c>
    </row>
    <row r="399" spans="1:2" x14ac:dyDescent="0.25">
      <c r="A399" s="76">
        <f>CustomerData!B:B</f>
        <v>0</v>
      </c>
      <c r="B399" s="76">
        <f>CustomerData!A:A</f>
        <v>0</v>
      </c>
    </row>
    <row r="400" spans="1:2" x14ac:dyDescent="0.25">
      <c r="A400" s="76">
        <f>CustomerData!B:B</f>
        <v>0</v>
      </c>
      <c r="B400" s="76">
        <f>CustomerData!A:A</f>
        <v>0</v>
      </c>
    </row>
    <row r="401" spans="1:2" x14ac:dyDescent="0.25">
      <c r="A401" s="76">
        <f>CustomerData!B:B</f>
        <v>0</v>
      </c>
      <c r="B401" s="76">
        <f>CustomerData!A:A</f>
        <v>0</v>
      </c>
    </row>
    <row r="402" spans="1:2" x14ac:dyDescent="0.25">
      <c r="A402" s="76">
        <f>CustomerData!B:B</f>
        <v>0</v>
      </c>
      <c r="B402" s="76">
        <f>CustomerData!A:A</f>
        <v>0</v>
      </c>
    </row>
    <row r="403" spans="1:2" x14ac:dyDescent="0.25">
      <c r="A403" s="76">
        <f>CustomerData!B:B</f>
        <v>0</v>
      </c>
      <c r="B403" s="76">
        <f>CustomerData!A:A</f>
        <v>0</v>
      </c>
    </row>
    <row r="404" spans="1:2" x14ac:dyDescent="0.25">
      <c r="A404" s="76">
        <f>CustomerData!B:B</f>
        <v>0</v>
      </c>
      <c r="B404" s="76">
        <f>CustomerData!A:A</f>
        <v>0</v>
      </c>
    </row>
    <row r="405" spans="1:2" x14ac:dyDescent="0.25">
      <c r="A405" s="76">
        <f>CustomerData!B:B</f>
        <v>0</v>
      </c>
      <c r="B405" s="76">
        <f>CustomerData!A:A</f>
        <v>0</v>
      </c>
    </row>
    <row r="406" spans="1:2" x14ac:dyDescent="0.25">
      <c r="A406" s="76">
        <f>CustomerData!B:B</f>
        <v>0</v>
      </c>
      <c r="B406" s="76">
        <f>CustomerData!A:A</f>
        <v>0</v>
      </c>
    </row>
    <row r="407" spans="1:2" x14ac:dyDescent="0.25">
      <c r="A407" s="76">
        <f>CustomerData!B:B</f>
        <v>0</v>
      </c>
      <c r="B407" s="76">
        <f>CustomerData!A:A</f>
        <v>0</v>
      </c>
    </row>
    <row r="408" spans="1:2" x14ac:dyDescent="0.25">
      <c r="A408" s="76">
        <f>CustomerData!B:B</f>
        <v>0</v>
      </c>
      <c r="B408" s="76">
        <f>CustomerData!A:A</f>
        <v>0</v>
      </c>
    </row>
    <row r="409" spans="1:2" x14ac:dyDescent="0.25">
      <c r="A409" s="76">
        <f>CustomerData!B:B</f>
        <v>0</v>
      </c>
      <c r="B409" s="76">
        <f>CustomerData!A:A</f>
        <v>0</v>
      </c>
    </row>
    <row r="410" spans="1:2" x14ac:dyDescent="0.25">
      <c r="A410" s="76">
        <f>CustomerData!B:B</f>
        <v>0</v>
      </c>
      <c r="B410" s="76">
        <f>CustomerData!A:A</f>
        <v>0</v>
      </c>
    </row>
    <row r="411" spans="1:2" x14ac:dyDescent="0.25">
      <c r="A411" s="76">
        <f>CustomerData!B:B</f>
        <v>0</v>
      </c>
      <c r="B411" s="76">
        <f>CustomerData!A:A</f>
        <v>0</v>
      </c>
    </row>
    <row r="412" spans="1:2" x14ac:dyDescent="0.25">
      <c r="A412" s="76">
        <f>CustomerData!B:B</f>
        <v>0</v>
      </c>
      <c r="B412" s="76">
        <f>CustomerData!A:A</f>
        <v>0</v>
      </c>
    </row>
    <row r="413" spans="1:2" x14ac:dyDescent="0.25">
      <c r="A413" s="76">
        <f>CustomerData!B:B</f>
        <v>0</v>
      </c>
      <c r="B413" s="76">
        <f>CustomerData!A:A</f>
        <v>0</v>
      </c>
    </row>
    <row r="414" spans="1:2" x14ac:dyDescent="0.25">
      <c r="A414" s="76">
        <f>CustomerData!B:B</f>
        <v>0</v>
      </c>
      <c r="B414" s="76">
        <f>CustomerData!A:A</f>
        <v>0</v>
      </c>
    </row>
    <row r="415" spans="1:2" x14ac:dyDescent="0.25">
      <c r="A415" s="76">
        <f>CustomerData!B:B</f>
        <v>0</v>
      </c>
      <c r="B415" s="76">
        <f>CustomerData!A:A</f>
        <v>0</v>
      </c>
    </row>
    <row r="416" spans="1:2" x14ac:dyDescent="0.25">
      <c r="A416" s="76">
        <f>CustomerData!B:B</f>
        <v>0</v>
      </c>
      <c r="B416" s="76">
        <f>CustomerData!A:A</f>
        <v>0</v>
      </c>
    </row>
    <row r="417" spans="1:2" x14ac:dyDescent="0.25">
      <c r="A417" s="76">
        <f>CustomerData!B:B</f>
        <v>0</v>
      </c>
      <c r="B417" s="76">
        <f>CustomerData!A:A</f>
        <v>0</v>
      </c>
    </row>
    <row r="418" spans="1:2" x14ac:dyDescent="0.25">
      <c r="A418" s="76">
        <f>CustomerData!B:B</f>
        <v>0</v>
      </c>
      <c r="B418" s="76">
        <f>CustomerData!A:A</f>
        <v>0</v>
      </c>
    </row>
    <row r="419" spans="1:2" x14ac:dyDescent="0.25">
      <c r="A419" s="76">
        <f>CustomerData!B:B</f>
        <v>0</v>
      </c>
      <c r="B419" s="76">
        <f>CustomerData!A:A</f>
        <v>0</v>
      </c>
    </row>
    <row r="420" spans="1:2" x14ac:dyDescent="0.25">
      <c r="A420" s="76">
        <f>CustomerData!B:B</f>
        <v>0</v>
      </c>
      <c r="B420" s="76">
        <f>CustomerData!A:A</f>
        <v>0</v>
      </c>
    </row>
    <row r="421" spans="1:2" x14ac:dyDescent="0.25">
      <c r="A421" s="76">
        <f>CustomerData!B:B</f>
        <v>0</v>
      </c>
      <c r="B421" s="76">
        <f>CustomerData!A:A</f>
        <v>0</v>
      </c>
    </row>
    <row r="422" spans="1:2" x14ac:dyDescent="0.25">
      <c r="A422" s="76">
        <f>CustomerData!B:B</f>
        <v>0</v>
      </c>
      <c r="B422" s="76">
        <f>CustomerData!A:A</f>
        <v>0</v>
      </c>
    </row>
    <row r="423" spans="1:2" x14ac:dyDescent="0.25">
      <c r="A423" s="76">
        <f>CustomerData!B:B</f>
        <v>0</v>
      </c>
      <c r="B423" s="76">
        <f>CustomerData!A:A</f>
        <v>0</v>
      </c>
    </row>
    <row r="424" spans="1:2" x14ac:dyDescent="0.25">
      <c r="A424" s="76">
        <f>CustomerData!B:B</f>
        <v>0</v>
      </c>
      <c r="B424" s="76">
        <f>CustomerData!A:A</f>
        <v>0</v>
      </c>
    </row>
    <row r="425" spans="1:2" x14ac:dyDescent="0.25">
      <c r="A425" s="76">
        <f>CustomerData!B:B</f>
        <v>0</v>
      </c>
      <c r="B425" s="76">
        <f>CustomerData!A:A</f>
        <v>0</v>
      </c>
    </row>
    <row r="426" spans="1:2" x14ac:dyDescent="0.25">
      <c r="A426" s="76">
        <f>CustomerData!B:B</f>
        <v>0</v>
      </c>
      <c r="B426" s="76">
        <f>CustomerData!A:A</f>
        <v>0</v>
      </c>
    </row>
    <row r="427" spans="1:2" x14ac:dyDescent="0.25">
      <c r="A427" s="76">
        <f>CustomerData!B:B</f>
        <v>0</v>
      </c>
      <c r="B427" s="76">
        <f>CustomerData!A:A</f>
        <v>0</v>
      </c>
    </row>
    <row r="428" spans="1:2" x14ac:dyDescent="0.25">
      <c r="A428" s="76">
        <f>CustomerData!B:B</f>
        <v>0</v>
      </c>
      <c r="B428" s="76">
        <f>CustomerData!A:A</f>
        <v>0</v>
      </c>
    </row>
    <row r="429" spans="1:2" x14ac:dyDescent="0.25">
      <c r="A429" s="76">
        <f>CustomerData!B:B</f>
        <v>0</v>
      </c>
      <c r="B429" s="76">
        <f>CustomerData!A:A</f>
        <v>0</v>
      </c>
    </row>
    <row r="430" spans="1:2" x14ac:dyDescent="0.25">
      <c r="A430" s="76">
        <f>CustomerData!B:B</f>
        <v>0</v>
      </c>
      <c r="B430" s="76">
        <f>CustomerData!A:A</f>
        <v>0</v>
      </c>
    </row>
    <row r="431" spans="1:2" x14ac:dyDescent="0.25">
      <c r="A431" s="76">
        <f>CustomerData!B:B</f>
        <v>0</v>
      </c>
      <c r="B431" s="76">
        <f>CustomerData!A:A</f>
        <v>0</v>
      </c>
    </row>
    <row r="432" spans="1:2" x14ac:dyDescent="0.25">
      <c r="A432" s="76">
        <f>CustomerData!B:B</f>
        <v>0</v>
      </c>
      <c r="B432" s="76">
        <f>CustomerData!A:A</f>
        <v>0</v>
      </c>
    </row>
    <row r="433" spans="1:2" x14ac:dyDescent="0.25">
      <c r="A433" s="76">
        <f>CustomerData!B:B</f>
        <v>0</v>
      </c>
      <c r="B433" s="76">
        <f>CustomerData!A:A</f>
        <v>0</v>
      </c>
    </row>
    <row r="434" spans="1:2" x14ac:dyDescent="0.25">
      <c r="A434" s="76">
        <f>CustomerData!B:B</f>
        <v>0</v>
      </c>
      <c r="B434" s="76">
        <f>CustomerData!A:A</f>
        <v>0</v>
      </c>
    </row>
    <row r="435" spans="1:2" x14ac:dyDescent="0.25">
      <c r="A435" s="76">
        <f>CustomerData!B:B</f>
        <v>0</v>
      </c>
      <c r="B435" s="76">
        <f>CustomerData!A:A</f>
        <v>0</v>
      </c>
    </row>
    <row r="436" spans="1:2" x14ac:dyDescent="0.25">
      <c r="A436" s="76">
        <f>CustomerData!B:B</f>
        <v>0</v>
      </c>
      <c r="B436" s="76">
        <f>CustomerData!A:A</f>
        <v>0</v>
      </c>
    </row>
    <row r="437" spans="1:2" x14ac:dyDescent="0.25">
      <c r="A437" s="76">
        <f>CustomerData!B:B</f>
        <v>0</v>
      </c>
      <c r="B437" s="76">
        <f>CustomerData!A:A</f>
        <v>0</v>
      </c>
    </row>
    <row r="438" spans="1:2" x14ac:dyDescent="0.25">
      <c r="A438" s="76">
        <f>CustomerData!B:B</f>
        <v>0</v>
      </c>
      <c r="B438" s="76">
        <f>CustomerData!A:A</f>
        <v>0</v>
      </c>
    </row>
    <row r="439" spans="1:2" x14ac:dyDescent="0.25">
      <c r="A439" s="76">
        <f>CustomerData!B:B</f>
        <v>0</v>
      </c>
      <c r="B439" s="76">
        <f>CustomerData!A:A</f>
        <v>0</v>
      </c>
    </row>
    <row r="440" spans="1:2" x14ac:dyDescent="0.25">
      <c r="A440" s="76">
        <f>CustomerData!B:B</f>
        <v>0</v>
      </c>
      <c r="B440" s="76">
        <f>CustomerData!A:A</f>
        <v>0</v>
      </c>
    </row>
    <row r="441" spans="1:2" x14ac:dyDescent="0.25">
      <c r="A441" s="76">
        <f>CustomerData!B:B</f>
        <v>0</v>
      </c>
      <c r="B441" s="76">
        <f>CustomerData!A:A</f>
        <v>0</v>
      </c>
    </row>
    <row r="442" spans="1:2" x14ac:dyDescent="0.25">
      <c r="A442" s="76">
        <f>CustomerData!B:B</f>
        <v>0</v>
      </c>
      <c r="B442" s="76">
        <f>CustomerData!A:A</f>
        <v>0</v>
      </c>
    </row>
    <row r="443" spans="1:2" x14ac:dyDescent="0.25">
      <c r="A443" s="76">
        <f>CustomerData!B:B</f>
        <v>0</v>
      </c>
      <c r="B443" s="76">
        <f>CustomerData!A:A</f>
        <v>0</v>
      </c>
    </row>
    <row r="444" spans="1:2" x14ac:dyDescent="0.25">
      <c r="A444" s="76">
        <f>CustomerData!B:B</f>
        <v>0</v>
      </c>
      <c r="B444" s="76">
        <f>CustomerData!A:A</f>
        <v>0</v>
      </c>
    </row>
    <row r="445" spans="1:2" x14ac:dyDescent="0.25">
      <c r="A445" s="76">
        <f>CustomerData!B:B</f>
        <v>0</v>
      </c>
      <c r="B445" s="76">
        <f>CustomerData!A:A</f>
        <v>0</v>
      </c>
    </row>
    <row r="446" spans="1:2" x14ac:dyDescent="0.25">
      <c r="A446" s="76">
        <f>CustomerData!B:B</f>
        <v>0</v>
      </c>
      <c r="B446" s="76">
        <f>CustomerData!A:A</f>
        <v>0</v>
      </c>
    </row>
    <row r="447" spans="1:2" x14ac:dyDescent="0.25">
      <c r="A447" s="76">
        <f>CustomerData!B:B</f>
        <v>0</v>
      </c>
      <c r="B447" s="76">
        <f>CustomerData!A:A</f>
        <v>0</v>
      </c>
    </row>
    <row r="448" spans="1:2" x14ac:dyDescent="0.25">
      <c r="A448" s="76">
        <f>CustomerData!B:B</f>
        <v>0</v>
      </c>
      <c r="B448" s="76">
        <f>CustomerData!A:A</f>
        <v>0</v>
      </c>
    </row>
    <row r="449" spans="1:2" x14ac:dyDescent="0.25">
      <c r="A449" s="76">
        <f>CustomerData!B:B</f>
        <v>0</v>
      </c>
      <c r="B449" s="76">
        <f>CustomerData!A:A</f>
        <v>0</v>
      </c>
    </row>
    <row r="450" spans="1:2" x14ac:dyDescent="0.25">
      <c r="A450" s="76">
        <f>CustomerData!B:B</f>
        <v>0</v>
      </c>
      <c r="B450" s="76">
        <f>CustomerData!A:A</f>
        <v>0</v>
      </c>
    </row>
    <row r="451" spans="1:2" x14ac:dyDescent="0.25">
      <c r="A451" s="76">
        <f>CustomerData!B:B</f>
        <v>0</v>
      </c>
      <c r="B451" s="76">
        <f>CustomerData!A:A</f>
        <v>0</v>
      </c>
    </row>
    <row r="452" spans="1:2" x14ac:dyDescent="0.25">
      <c r="A452" s="76">
        <f>CustomerData!B:B</f>
        <v>0</v>
      </c>
      <c r="B452" s="76">
        <f>CustomerData!A:A</f>
        <v>0</v>
      </c>
    </row>
    <row r="453" spans="1:2" x14ac:dyDescent="0.25">
      <c r="A453" s="76">
        <f>CustomerData!B:B</f>
        <v>0</v>
      </c>
      <c r="B453" s="76">
        <f>CustomerData!A:A</f>
        <v>0</v>
      </c>
    </row>
    <row r="454" spans="1:2" x14ac:dyDescent="0.25">
      <c r="A454" s="76">
        <f>CustomerData!B:B</f>
        <v>0</v>
      </c>
      <c r="B454" s="76">
        <f>CustomerData!A:A</f>
        <v>0</v>
      </c>
    </row>
    <row r="455" spans="1:2" x14ac:dyDescent="0.25">
      <c r="A455" s="76">
        <f>CustomerData!B:B</f>
        <v>0</v>
      </c>
      <c r="B455" s="76">
        <f>CustomerData!A:A</f>
        <v>0</v>
      </c>
    </row>
    <row r="456" spans="1:2" x14ac:dyDescent="0.25">
      <c r="A456" s="76">
        <f>CustomerData!B:B</f>
        <v>0</v>
      </c>
      <c r="B456" s="76">
        <f>CustomerData!A:A</f>
        <v>0</v>
      </c>
    </row>
    <row r="457" spans="1:2" x14ac:dyDescent="0.25">
      <c r="A457" s="76">
        <f>CustomerData!B:B</f>
        <v>0</v>
      </c>
      <c r="B457" s="76">
        <f>CustomerData!A:A</f>
        <v>0</v>
      </c>
    </row>
    <row r="458" spans="1:2" x14ac:dyDescent="0.25">
      <c r="A458" s="76">
        <f>CustomerData!B:B</f>
        <v>0</v>
      </c>
      <c r="B458" s="76">
        <f>CustomerData!A:A</f>
        <v>0</v>
      </c>
    </row>
    <row r="459" spans="1:2" x14ac:dyDescent="0.25">
      <c r="A459" s="76">
        <f>CustomerData!B:B</f>
        <v>0</v>
      </c>
      <c r="B459" s="76">
        <f>CustomerData!A:A</f>
        <v>0</v>
      </c>
    </row>
    <row r="460" spans="1:2" x14ac:dyDescent="0.25">
      <c r="A460" s="76">
        <f>CustomerData!B:B</f>
        <v>0</v>
      </c>
      <c r="B460" s="76">
        <f>CustomerData!A:A</f>
        <v>0</v>
      </c>
    </row>
    <row r="461" spans="1:2" x14ac:dyDescent="0.25">
      <c r="A461" s="76">
        <f>CustomerData!B:B</f>
        <v>0</v>
      </c>
      <c r="B461" s="76">
        <f>CustomerData!A:A</f>
        <v>0</v>
      </c>
    </row>
    <row r="462" spans="1:2" x14ac:dyDescent="0.25">
      <c r="A462" s="76">
        <f>CustomerData!B:B</f>
        <v>0</v>
      </c>
      <c r="B462" s="76">
        <f>CustomerData!A:A</f>
        <v>0</v>
      </c>
    </row>
    <row r="463" spans="1:2" x14ac:dyDescent="0.25">
      <c r="A463" s="76">
        <f>CustomerData!B:B</f>
        <v>0</v>
      </c>
      <c r="B463" s="76">
        <f>CustomerData!A:A</f>
        <v>0</v>
      </c>
    </row>
    <row r="464" spans="1:2" x14ac:dyDescent="0.25">
      <c r="A464" s="76">
        <f>CustomerData!B:B</f>
        <v>0</v>
      </c>
      <c r="B464" s="76">
        <f>CustomerData!A:A</f>
        <v>0</v>
      </c>
    </row>
    <row r="465" spans="1:2" x14ac:dyDescent="0.25">
      <c r="A465" s="76">
        <f>CustomerData!B:B</f>
        <v>0</v>
      </c>
      <c r="B465" s="76">
        <f>CustomerData!A:A</f>
        <v>0</v>
      </c>
    </row>
    <row r="466" spans="1:2" x14ac:dyDescent="0.25">
      <c r="A466" s="76">
        <f>CustomerData!B:B</f>
        <v>0</v>
      </c>
      <c r="B466" s="76">
        <f>CustomerData!A:A</f>
        <v>0</v>
      </c>
    </row>
    <row r="467" spans="1:2" x14ac:dyDescent="0.25">
      <c r="A467" s="76">
        <f>CustomerData!B:B</f>
        <v>0</v>
      </c>
      <c r="B467" s="76">
        <f>CustomerData!A:A</f>
        <v>0</v>
      </c>
    </row>
    <row r="468" spans="1:2" x14ac:dyDescent="0.25">
      <c r="A468" s="76">
        <f>CustomerData!B:B</f>
        <v>0</v>
      </c>
      <c r="B468" s="76">
        <f>CustomerData!A:A</f>
        <v>0</v>
      </c>
    </row>
    <row r="469" spans="1:2" x14ac:dyDescent="0.25">
      <c r="A469" s="76">
        <f>CustomerData!B:B</f>
        <v>0</v>
      </c>
      <c r="B469" s="76">
        <f>CustomerData!A:A</f>
        <v>0</v>
      </c>
    </row>
    <row r="470" spans="1:2" x14ac:dyDescent="0.25">
      <c r="A470" s="76">
        <f>CustomerData!B:B</f>
        <v>0</v>
      </c>
      <c r="B470" s="76">
        <f>CustomerData!A:A</f>
        <v>0</v>
      </c>
    </row>
    <row r="471" spans="1:2" x14ac:dyDescent="0.25">
      <c r="A471" s="76">
        <f>CustomerData!B:B</f>
        <v>0</v>
      </c>
      <c r="B471" s="76">
        <f>CustomerData!A:A</f>
        <v>0</v>
      </c>
    </row>
    <row r="472" spans="1:2" x14ac:dyDescent="0.25">
      <c r="A472" s="76">
        <f>CustomerData!B:B</f>
        <v>0</v>
      </c>
      <c r="B472" s="76">
        <f>CustomerData!A:A</f>
        <v>0</v>
      </c>
    </row>
    <row r="473" spans="1:2" x14ac:dyDescent="0.25">
      <c r="A473" s="76">
        <f>CustomerData!B:B</f>
        <v>0</v>
      </c>
      <c r="B473" s="76">
        <f>CustomerData!A:A</f>
        <v>0</v>
      </c>
    </row>
    <row r="474" spans="1:2" x14ac:dyDescent="0.25">
      <c r="A474" s="76">
        <f>CustomerData!B:B</f>
        <v>0</v>
      </c>
      <c r="B474" s="76">
        <f>CustomerData!A:A</f>
        <v>0</v>
      </c>
    </row>
    <row r="475" spans="1:2" x14ac:dyDescent="0.25">
      <c r="A475" s="76">
        <f>CustomerData!B:B</f>
        <v>0</v>
      </c>
      <c r="B475" s="76">
        <f>CustomerData!A:A</f>
        <v>0</v>
      </c>
    </row>
    <row r="476" spans="1:2" x14ac:dyDescent="0.25">
      <c r="A476" s="76">
        <f>CustomerData!B:B</f>
        <v>0</v>
      </c>
      <c r="B476" s="76">
        <f>CustomerData!A:A</f>
        <v>0</v>
      </c>
    </row>
    <row r="477" spans="1:2" x14ac:dyDescent="0.25">
      <c r="A477" s="76">
        <f>CustomerData!B:B</f>
        <v>0</v>
      </c>
      <c r="B477" s="76">
        <f>CustomerData!A:A</f>
        <v>0</v>
      </c>
    </row>
    <row r="478" spans="1:2" x14ac:dyDescent="0.25">
      <c r="A478" s="76">
        <f>CustomerData!B:B</f>
        <v>0</v>
      </c>
      <c r="B478" s="76">
        <f>CustomerData!A:A</f>
        <v>0</v>
      </c>
    </row>
    <row r="479" spans="1:2" x14ac:dyDescent="0.25">
      <c r="A479" s="76">
        <f>CustomerData!B:B</f>
        <v>0</v>
      </c>
      <c r="B479" s="76">
        <f>CustomerData!A:A</f>
        <v>0</v>
      </c>
    </row>
    <row r="480" spans="1:2" x14ac:dyDescent="0.25">
      <c r="A480" s="76">
        <f>CustomerData!B:B</f>
        <v>0</v>
      </c>
      <c r="B480" s="76">
        <f>CustomerData!A:A</f>
        <v>0</v>
      </c>
    </row>
    <row r="481" spans="1:2" x14ac:dyDescent="0.25">
      <c r="A481" s="76">
        <f>CustomerData!B:B</f>
        <v>0</v>
      </c>
      <c r="B481" s="76">
        <f>CustomerData!A:A</f>
        <v>0</v>
      </c>
    </row>
    <row r="482" spans="1:2" x14ac:dyDescent="0.25">
      <c r="A482" s="76">
        <f>CustomerData!B:B</f>
        <v>0</v>
      </c>
      <c r="B482" s="76">
        <f>CustomerData!A:A</f>
        <v>0</v>
      </c>
    </row>
    <row r="483" spans="1:2" x14ac:dyDescent="0.25">
      <c r="A483" s="76">
        <f>CustomerData!B:B</f>
        <v>0</v>
      </c>
      <c r="B483" s="76">
        <f>CustomerData!A:A</f>
        <v>0</v>
      </c>
    </row>
    <row r="484" spans="1:2" x14ac:dyDescent="0.25">
      <c r="A484" s="76">
        <f>CustomerData!B:B</f>
        <v>0</v>
      </c>
      <c r="B484" s="76">
        <f>CustomerData!A:A</f>
        <v>0</v>
      </c>
    </row>
    <row r="485" spans="1:2" x14ac:dyDescent="0.25">
      <c r="A485" s="76">
        <f>CustomerData!B:B</f>
        <v>0</v>
      </c>
      <c r="B485" s="76">
        <f>CustomerData!A:A</f>
        <v>0</v>
      </c>
    </row>
    <row r="486" spans="1:2" x14ac:dyDescent="0.25">
      <c r="A486" s="76">
        <f>CustomerData!B:B</f>
        <v>0</v>
      </c>
      <c r="B486" s="76">
        <f>CustomerData!A:A</f>
        <v>0</v>
      </c>
    </row>
    <row r="487" spans="1:2" x14ac:dyDescent="0.25">
      <c r="A487" s="76">
        <f>CustomerData!B:B</f>
        <v>0</v>
      </c>
      <c r="B487" s="76">
        <f>CustomerData!A:A</f>
        <v>0</v>
      </c>
    </row>
    <row r="488" spans="1:2" x14ac:dyDescent="0.25">
      <c r="A488" s="76">
        <f>CustomerData!B:B</f>
        <v>0</v>
      </c>
      <c r="B488" s="76">
        <f>CustomerData!A:A</f>
        <v>0</v>
      </c>
    </row>
    <row r="489" spans="1:2" x14ac:dyDescent="0.25">
      <c r="A489" s="76">
        <f>CustomerData!B:B</f>
        <v>0</v>
      </c>
      <c r="B489" s="76">
        <f>CustomerData!A:A</f>
        <v>0</v>
      </c>
    </row>
    <row r="490" spans="1:2" x14ac:dyDescent="0.25">
      <c r="A490" s="76">
        <f>CustomerData!B:B</f>
        <v>0</v>
      </c>
      <c r="B490" s="76">
        <f>CustomerData!A:A</f>
        <v>0</v>
      </c>
    </row>
    <row r="491" spans="1:2" x14ac:dyDescent="0.25">
      <c r="A491" s="76">
        <f>CustomerData!B:B</f>
        <v>0</v>
      </c>
      <c r="B491" s="76">
        <f>CustomerData!A:A</f>
        <v>0</v>
      </c>
    </row>
    <row r="492" spans="1:2" x14ac:dyDescent="0.25">
      <c r="A492" s="76">
        <f>CustomerData!B:B</f>
        <v>0</v>
      </c>
      <c r="B492" s="76">
        <f>CustomerData!A:A</f>
        <v>0</v>
      </c>
    </row>
    <row r="493" spans="1:2" x14ac:dyDescent="0.25">
      <c r="A493" s="76">
        <f>CustomerData!B:B</f>
        <v>0</v>
      </c>
      <c r="B493" s="76">
        <f>CustomerData!A:A</f>
        <v>0</v>
      </c>
    </row>
    <row r="494" spans="1:2" x14ac:dyDescent="0.25">
      <c r="A494" s="76">
        <f>CustomerData!B:B</f>
        <v>0</v>
      </c>
      <c r="B494" s="76">
        <f>CustomerData!A:A</f>
        <v>0</v>
      </c>
    </row>
    <row r="495" spans="1:2" x14ac:dyDescent="0.25">
      <c r="A495" s="76">
        <f>CustomerData!B:B</f>
        <v>0</v>
      </c>
      <c r="B495" s="76">
        <f>CustomerData!A:A</f>
        <v>0</v>
      </c>
    </row>
    <row r="496" spans="1:2" x14ac:dyDescent="0.25">
      <c r="A496" s="76">
        <f>CustomerData!B:B</f>
        <v>0</v>
      </c>
      <c r="B496" s="76">
        <f>CustomerData!A:A</f>
        <v>0</v>
      </c>
    </row>
    <row r="497" spans="1:2" x14ac:dyDescent="0.25">
      <c r="A497" s="76">
        <f>CustomerData!B:B</f>
        <v>0</v>
      </c>
      <c r="B497" s="76">
        <f>CustomerData!A:A</f>
        <v>0</v>
      </c>
    </row>
    <row r="498" spans="1:2" x14ac:dyDescent="0.25">
      <c r="A498" s="76">
        <f>CustomerData!B:B</f>
        <v>0</v>
      </c>
      <c r="B498" s="76">
        <f>CustomerData!A:A</f>
        <v>0</v>
      </c>
    </row>
    <row r="499" spans="1:2" x14ac:dyDescent="0.25">
      <c r="A499" s="76">
        <f>CustomerData!B:B</f>
        <v>0</v>
      </c>
      <c r="B499" s="76">
        <f>CustomerData!A:A</f>
        <v>0</v>
      </c>
    </row>
    <row r="500" spans="1:2" x14ac:dyDescent="0.25">
      <c r="A500" s="76">
        <f>CustomerData!B:B</f>
        <v>0</v>
      </c>
      <c r="B500" s="76">
        <f>CustomerData!A:A</f>
        <v>0</v>
      </c>
    </row>
    <row r="501" spans="1:2" x14ac:dyDescent="0.25">
      <c r="A501" s="76">
        <f>CustomerData!B:B</f>
        <v>0</v>
      </c>
      <c r="B501" s="76">
        <f>CustomerData!A:A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FC47C3-8A9B-47EB-B917-B366B154B1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DCEntry</vt:lpstr>
      <vt:lpstr>SaveData</vt:lpstr>
      <vt:lpstr>SGEntry</vt:lpstr>
      <vt:lpstr>CustomerData</vt:lpstr>
      <vt:lpstr>ACP</vt:lpstr>
      <vt:lpstr>Rate calc</vt:lpstr>
      <vt:lpstr>CustomerEntries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Dhruv Patel</dc:creator>
  <cp:lastModifiedBy>pims</cp:lastModifiedBy>
  <dcterms:created xsi:type="dcterms:W3CDTF">2023-11-28T06:03:16Z</dcterms:created>
  <dcterms:modified xsi:type="dcterms:W3CDTF">2023-12-11T12:33:00Z</dcterms:modified>
</cp:coreProperties>
</file>