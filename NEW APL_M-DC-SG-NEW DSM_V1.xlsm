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ustomProperty3.bin" ContentType="application/vnd.openxmlformats-officedocument.spreadsheetml.customProperty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0.xml" ContentType="application/vnd.openxmlformats-officedocument.drawing+xml"/>
  <Override PartName="/xl/customProperty4.bin" ContentType="application/vnd.openxmlformats-officedocument.spreadsheetml.customProperty"/>
  <Override PartName="/xl/drawings/drawing11.xml" ContentType="application/vnd.openxmlformats-officedocument.drawing+xml"/>
  <Override PartName="/xl/drawings/drawing1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Real Time Data\Daily Activity\Backdown\All Plant DC_SG\"/>
    </mc:Choice>
  </mc:AlternateContent>
  <xr:revisionPtr revIDLastSave="0" documentId="13_ncr:1_{F5909769-7C06-459C-ABE4-C2AF5013EACD}" xr6:coauthVersionLast="47" xr6:coauthVersionMax="47" xr10:uidLastSave="{00000000-0000-0000-0000-000000000000}"/>
  <bookViews>
    <workbookView xWindow="-120" yWindow="-120" windowWidth="29040" windowHeight="15720" tabRatio="821" activeTab="1" xr2:uid="{00000000-000D-0000-FFFF-FFFF00000000}"/>
  </bookViews>
  <sheets>
    <sheet name="DCEntry_STG_1" sheetId="9" r:id="rId1"/>
    <sheet name="SGEntry_STG_1" sheetId="10" r:id="rId2"/>
    <sheet name="DCEntry_STG_2" sheetId="17" r:id="rId3"/>
    <sheet name="SGEntry_STG_2" sheetId="18" r:id="rId4"/>
    <sheet name="DCEntry_STG_3(7_8)" sheetId="20" r:id="rId5"/>
    <sheet name="SGEntry_STG_3(7_8)" sheetId="19" r:id="rId6"/>
    <sheet name="DCEntry_STG_3(9)" sheetId="21" r:id="rId7"/>
    <sheet name="SGEntry_STG_3(9)" sheetId="22" r:id="rId8"/>
    <sheet name="CustomerData" sheetId="5" r:id="rId9"/>
    <sheet name="Reference_Rate" sheetId="16" r:id="rId10"/>
    <sheet name="ACP" sheetId="13" state="hidden" r:id="rId11"/>
    <sheet name="Rate calc" sheetId="14" state="hidden" r:id="rId12"/>
    <sheet name="ACP(AS_Rate)" sheetId="15" state="hidden" r:id="rId13"/>
    <sheet name="SaveData" sheetId="11" state="hidden" r:id="rId14"/>
    <sheet name="CustomerEntries" sheetId="12" state="hidden" r:id="rId15"/>
  </sheets>
  <functionGroups builtInGroupCount="19"/>
  <externalReferences>
    <externalReference r:id="rId16"/>
  </externalReferences>
  <definedNames>
    <definedName name="_10.81.55.16_AdaniPower_APL_M_CustomerData" localSheetId="8" hidden="1">CustomerData!#REF!</definedName>
    <definedName name="Customer_Name">'[1]CUSTOMER ID_STG_1'!$A$6:$A$1000</definedName>
    <definedName name="ExternalData_1" localSheetId="8" hidden="1">CustomerData!$A$1:$K$450</definedName>
    <definedName name="UNI_AA_VERSION" hidden="1">"323.1.0"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0" l="1"/>
  <c r="E3" i="18" l="1"/>
  <c r="E3" i="19"/>
  <c r="E3" i="21"/>
  <c r="E3" i="22"/>
  <c r="E3" i="9"/>
  <c r="E3" i="17"/>
  <c r="E3" i="20"/>
  <c r="D9" i="20" l="1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" i="10" l="1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" i="22" l="1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9" i="22"/>
  <c r="D9" i="18" l="1"/>
  <c r="D10" i="18" l="1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9" i="10" l="1"/>
  <c r="E3" i="16" l="1"/>
  <c r="B5" i="16" l="1"/>
  <c r="D9" i="9" l="1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E1" i="13" l="1"/>
  <c r="D9" i="21" l="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M388" i="22" l="1"/>
  <c r="L388" i="22"/>
  <c r="J388" i="22"/>
  <c r="I388" i="22"/>
  <c r="H388" i="22"/>
  <c r="G388" i="22"/>
  <c r="F388" i="22"/>
  <c r="E388" i="22"/>
  <c r="D388" i="22"/>
  <c r="M387" i="22"/>
  <c r="L387" i="22"/>
  <c r="J387" i="22"/>
  <c r="I387" i="22"/>
  <c r="H387" i="22"/>
  <c r="G387" i="22"/>
  <c r="F387" i="22"/>
  <c r="E387" i="22"/>
  <c r="D387" i="22"/>
  <c r="M386" i="22"/>
  <c r="L386" i="22"/>
  <c r="J386" i="22"/>
  <c r="I386" i="22"/>
  <c r="H386" i="22"/>
  <c r="G386" i="22"/>
  <c r="F386" i="22"/>
  <c r="E386" i="22"/>
  <c r="D386" i="22"/>
  <c r="M385" i="22"/>
  <c r="L385" i="22"/>
  <c r="J385" i="22"/>
  <c r="I385" i="22"/>
  <c r="H385" i="22"/>
  <c r="G385" i="22"/>
  <c r="F385" i="22"/>
  <c r="E385" i="22"/>
  <c r="D385" i="22"/>
  <c r="M384" i="22"/>
  <c r="L384" i="22"/>
  <c r="J384" i="22"/>
  <c r="I384" i="22"/>
  <c r="H384" i="22"/>
  <c r="G384" i="22"/>
  <c r="F384" i="22"/>
  <c r="E384" i="22"/>
  <c r="D384" i="22"/>
  <c r="M383" i="22"/>
  <c r="L383" i="22"/>
  <c r="J383" i="22"/>
  <c r="I383" i="22"/>
  <c r="H383" i="22"/>
  <c r="G383" i="22"/>
  <c r="F383" i="22"/>
  <c r="E383" i="22"/>
  <c r="D383" i="22"/>
  <c r="M382" i="22"/>
  <c r="L382" i="22"/>
  <c r="J382" i="22"/>
  <c r="I382" i="22"/>
  <c r="H382" i="22"/>
  <c r="G382" i="22"/>
  <c r="F382" i="22"/>
  <c r="E382" i="22"/>
  <c r="D382" i="22"/>
  <c r="M381" i="22"/>
  <c r="L381" i="22"/>
  <c r="J381" i="22"/>
  <c r="I381" i="22"/>
  <c r="H381" i="22"/>
  <c r="G381" i="22"/>
  <c r="F381" i="22"/>
  <c r="E381" i="22"/>
  <c r="D381" i="22"/>
  <c r="M380" i="22"/>
  <c r="L380" i="22"/>
  <c r="J380" i="22"/>
  <c r="I380" i="22"/>
  <c r="H380" i="22"/>
  <c r="G380" i="22"/>
  <c r="F380" i="22"/>
  <c r="E380" i="22"/>
  <c r="D380" i="22"/>
  <c r="M379" i="22"/>
  <c r="L379" i="22"/>
  <c r="J379" i="22"/>
  <c r="I379" i="22"/>
  <c r="H379" i="22"/>
  <c r="G379" i="22"/>
  <c r="F379" i="22"/>
  <c r="E379" i="22"/>
  <c r="D379" i="22"/>
  <c r="M378" i="22"/>
  <c r="L378" i="22"/>
  <c r="J378" i="22"/>
  <c r="I378" i="22"/>
  <c r="H378" i="22"/>
  <c r="G378" i="22"/>
  <c r="F378" i="22"/>
  <c r="E378" i="22"/>
  <c r="D378" i="22"/>
  <c r="M377" i="22"/>
  <c r="L377" i="22"/>
  <c r="J377" i="22"/>
  <c r="I377" i="22"/>
  <c r="H377" i="22"/>
  <c r="G377" i="22"/>
  <c r="F377" i="22"/>
  <c r="E377" i="22"/>
  <c r="D377" i="22"/>
  <c r="M376" i="22"/>
  <c r="L376" i="22"/>
  <c r="J376" i="22"/>
  <c r="I376" i="22"/>
  <c r="H376" i="22"/>
  <c r="G376" i="22"/>
  <c r="F376" i="22"/>
  <c r="E376" i="22"/>
  <c r="D376" i="22"/>
  <c r="M375" i="22"/>
  <c r="L375" i="22"/>
  <c r="J375" i="22"/>
  <c r="I375" i="22"/>
  <c r="H375" i="22"/>
  <c r="G375" i="22"/>
  <c r="F375" i="22"/>
  <c r="E375" i="22"/>
  <c r="D375" i="22"/>
  <c r="M374" i="22"/>
  <c r="L374" i="22"/>
  <c r="J374" i="22"/>
  <c r="I374" i="22"/>
  <c r="H374" i="22"/>
  <c r="G374" i="22"/>
  <c r="F374" i="22"/>
  <c r="E374" i="22"/>
  <c r="D374" i="22"/>
  <c r="M373" i="22"/>
  <c r="L373" i="22"/>
  <c r="J373" i="22"/>
  <c r="I373" i="22"/>
  <c r="H373" i="22"/>
  <c r="G373" i="22"/>
  <c r="F373" i="22"/>
  <c r="E373" i="22"/>
  <c r="D373" i="22"/>
  <c r="M372" i="22"/>
  <c r="L372" i="22"/>
  <c r="J372" i="22"/>
  <c r="I372" i="22"/>
  <c r="H372" i="22"/>
  <c r="G372" i="22"/>
  <c r="F372" i="22"/>
  <c r="E372" i="22"/>
  <c r="D372" i="22"/>
  <c r="M371" i="22"/>
  <c r="L371" i="22"/>
  <c r="J371" i="22"/>
  <c r="I371" i="22"/>
  <c r="H371" i="22"/>
  <c r="G371" i="22"/>
  <c r="F371" i="22"/>
  <c r="E371" i="22"/>
  <c r="D371" i="22"/>
  <c r="M370" i="22"/>
  <c r="L370" i="22"/>
  <c r="J370" i="22"/>
  <c r="I370" i="22"/>
  <c r="H370" i="22"/>
  <c r="G370" i="22"/>
  <c r="F370" i="22"/>
  <c r="E370" i="22"/>
  <c r="D370" i="22"/>
  <c r="M369" i="22"/>
  <c r="L369" i="22"/>
  <c r="J369" i="22"/>
  <c r="I369" i="22"/>
  <c r="H369" i="22"/>
  <c r="G369" i="22"/>
  <c r="F369" i="22"/>
  <c r="E369" i="22"/>
  <c r="D369" i="22"/>
  <c r="M368" i="22"/>
  <c r="L368" i="22"/>
  <c r="J368" i="22"/>
  <c r="I368" i="22"/>
  <c r="H368" i="22"/>
  <c r="G368" i="22"/>
  <c r="F368" i="22"/>
  <c r="E368" i="22"/>
  <c r="D368" i="22"/>
  <c r="M367" i="22"/>
  <c r="L367" i="22"/>
  <c r="J367" i="22"/>
  <c r="I367" i="22"/>
  <c r="H367" i="22"/>
  <c r="G367" i="22"/>
  <c r="F367" i="22"/>
  <c r="E367" i="22"/>
  <c r="D367" i="22"/>
  <c r="M366" i="22"/>
  <c r="L366" i="22"/>
  <c r="J366" i="22"/>
  <c r="I366" i="22"/>
  <c r="H366" i="22"/>
  <c r="G366" i="22"/>
  <c r="F366" i="22"/>
  <c r="E366" i="22"/>
  <c r="D366" i="22"/>
  <c r="M365" i="22"/>
  <c r="L365" i="22"/>
  <c r="J365" i="22"/>
  <c r="I365" i="22"/>
  <c r="H365" i="22"/>
  <c r="G365" i="22"/>
  <c r="F365" i="22"/>
  <c r="E365" i="22"/>
  <c r="D365" i="22"/>
  <c r="M364" i="22"/>
  <c r="L364" i="22"/>
  <c r="J364" i="22"/>
  <c r="I364" i="22"/>
  <c r="H364" i="22"/>
  <c r="G364" i="22"/>
  <c r="F364" i="22"/>
  <c r="E364" i="22"/>
  <c r="D364" i="22"/>
  <c r="M363" i="22"/>
  <c r="L363" i="22"/>
  <c r="J363" i="22"/>
  <c r="I363" i="22"/>
  <c r="H363" i="22"/>
  <c r="G363" i="22"/>
  <c r="F363" i="22"/>
  <c r="E363" i="22"/>
  <c r="D363" i="22"/>
  <c r="M362" i="22"/>
  <c r="L362" i="22"/>
  <c r="J362" i="22"/>
  <c r="I362" i="22"/>
  <c r="H362" i="22"/>
  <c r="G362" i="22"/>
  <c r="F362" i="22"/>
  <c r="E362" i="22"/>
  <c r="D362" i="22"/>
  <c r="M361" i="22"/>
  <c r="L361" i="22"/>
  <c r="J361" i="22"/>
  <c r="I361" i="22"/>
  <c r="H361" i="22"/>
  <c r="G361" i="22"/>
  <c r="F361" i="22"/>
  <c r="E361" i="22"/>
  <c r="D361" i="22"/>
  <c r="M360" i="22"/>
  <c r="L360" i="22"/>
  <c r="J360" i="22"/>
  <c r="I360" i="22"/>
  <c r="H360" i="22"/>
  <c r="G360" i="22"/>
  <c r="F360" i="22"/>
  <c r="E360" i="22"/>
  <c r="D360" i="22"/>
  <c r="M359" i="22"/>
  <c r="L359" i="22"/>
  <c r="J359" i="22"/>
  <c r="I359" i="22"/>
  <c r="H359" i="22"/>
  <c r="G359" i="22"/>
  <c r="F359" i="22"/>
  <c r="E359" i="22"/>
  <c r="D359" i="22"/>
  <c r="M358" i="22"/>
  <c r="L358" i="22"/>
  <c r="J358" i="22"/>
  <c r="I358" i="22"/>
  <c r="H358" i="22"/>
  <c r="G358" i="22"/>
  <c r="F358" i="22"/>
  <c r="E358" i="22"/>
  <c r="D358" i="22"/>
  <c r="M357" i="22"/>
  <c r="L357" i="22"/>
  <c r="J357" i="22"/>
  <c r="I357" i="22"/>
  <c r="H357" i="22"/>
  <c r="G357" i="22"/>
  <c r="F357" i="22"/>
  <c r="E357" i="22"/>
  <c r="D357" i="22"/>
  <c r="M356" i="22"/>
  <c r="L356" i="22"/>
  <c r="J356" i="22"/>
  <c r="I356" i="22"/>
  <c r="H356" i="22"/>
  <c r="G356" i="22"/>
  <c r="F356" i="22"/>
  <c r="E356" i="22"/>
  <c r="D356" i="22"/>
  <c r="M355" i="22"/>
  <c r="L355" i="22"/>
  <c r="J355" i="22"/>
  <c r="I355" i="22"/>
  <c r="H355" i="22"/>
  <c r="G355" i="22"/>
  <c r="F355" i="22"/>
  <c r="E355" i="22"/>
  <c r="D355" i="22"/>
  <c r="M354" i="22"/>
  <c r="L354" i="22"/>
  <c r="J354" i="22"/>
  <c r="I354" i="22"/>
  <c r="H354" i="22"/>
  <c r="G354" i="22"/>
  <c r="F354" i="22"/>
  <c r="E354" i="22"/>
  <c r="D354" i="22"/>
  <c r="M353" i="22"/>
  <c r="L353" i="22"/>
  <c r="J353" i="22"/>
  <c r="I353" i="22"/>
  <c r="H353" i="22"/>
  <c r="G353" i="22"/>
  <c r="F353" i="22"/>
  <c r="E353" i="22"/>
  <c r="D353" i="22"/>
  <c r="M352" i="22"/>
  <c r="L352" i="22"/>
  <c r="J352" i="22"/>
  <c r="I352" i="22"/>
  <c r="H352" i="22"/>
  <c r="G352" i="22"/>
  <c r="F352" i="22"/>
  <c r="E352" i="22"/>
  <c r="D352" i="22"/>
  <c r="M351" i="22"/>
  <c r="L351" i="22"/>
  <c r="J351" i="22"/>
  <c r="I351" i="22"/>
  <c r="H351" i="22"/>
  <c r="G351" i="22"/>
  <c r="F351" i="22"/>
  <c r="E351" i="22"/>
  <c r="D351" i="22"/>
  <c r="M350" i="22"/>
  <c r="L350" i="22"/>
  <c r="J350" i="22"/>
  <c r="I350" i="22"/>
  <c r="H350" i="22"/>
  <c r="G350" i="22"/>
  <c r="F350" i="22"/>
  <c r="E350" i="22"/>
  <c r="D350" i="22"/>
  <c r="M349" i="22"/>
  <c r="L349" i="22"/>
  <c r="J349" i="22"/>
  <c r="I349" i="22"/>
  <c r="H349" i="22"/>
  <c r="G349" i="22"/>
  <c r="F349" i="22"/>
  <c r="E349" i="22"/>
  <c r="D349" i="22"/>
  <c r="M348" i="22"/>
  <c r="L348" i="22"/>
  <c r="J348" i="22"/>
  <c r="I348" i="22"/>
  <c r="H348" i="22"/>
  <c r="G348" i="22"/>
  <c r="F348" i="22"/>
  <c r="E348" i="22"/>
  <c r="D348" i="22"/>
  <c r="M347" i="22"/>
  <c r="L347" i="22"/>
  <c r="J347" i="22"/>
  <c r="I347" i="22"/>
  <c r="H347" i="22"/>
  <c r="G347" i="22"/>
  <c r="F347" i="22"/>
  <c r="E347" i="22"/>
  <c r="D347" i="22"/>
  <c r="M346" i="22"/>
  <c r="L346" i="22"/>
  <c r="J346" i="22"/>
  <c r="I346" i="22"/>
  <c r="H346" i="22"/>
  <c r="G346" i="22"/>
  <c r="F346" i="22"/>
  <c r="E346" i="22"/>
  <c r="D346" i="22"/>
  <c r="M345" i="22"/>
  <c r="L345" i="22"/>
  <c r="J345" i="22"/>
  <c r="I345" i="22"/>
  <c r="H345" i="22"/>
  <c r="G345" i="22"/>
  <c r="F345" i="22"/>
  <c r="E345" i="22"/>
  <c r="D345" i="22"/>
  <c r="M344" i="22"/>
  <c r="L344" i="22"/>
  <c r="J344" i="22"/>
  <c r="I344" i="22"/>
  <c r="H344" i="22"/>
  <c r="G344" i="22"/>
  <c r="F344" i="22"/>
  <c r="E344" i="22"/>
  <c r="D344" i="22"/>
  <c r="M343" i="22"/>
  <c r="L343" i="22"/>
  <c r="J343" i="22"/>
  <c r="I343" i="22"/>
  <c r="H343" i="22"/>
  <c r="G343" i="22"/>
  <c r="F343" i="22"/>
  <c r="E343" i="22"/>
  <c r="D343" i="22"/>
  <c r="M342" i="22"/>
  <c r="L342" i="22"/>
  <c r="J342" i="22"/>
  <c r="I342" i="22"/>
  <c r="H342" i="22"/>
  <c r="G342" i="22"/>
  <c r="F342" i="22"/>
  <c r="E342" i="22"/>
  <c r="D342" i="22"/>
  <c r="M341" i="22"/>
  <c r="L341" i="22"/>
  <c r="J341" i="22"/>
  <c r="I341" i="22"/>
  <c r="H341" i="22"/>
  <c r="G341" i="22"/>
  <c r="F341" i="22"/>
  <c r="E341" i="22"/>
  <c r="D341" i="22"/>
  <c r="M340" i="22"/>
  <c r="L340" i="22"/>
  <c r="J340" i="22"/>
  <c r="I340" i="22"/>
  <c r="H340" i="22"/>
  <c r="G340" i="22"/>
  <c r="F340" i="22"/>
  <c r="E340" i="22"/>
  <c r="D340" i="22"/>
  <c r="M339" i="22"/>
  <c r="L339" i="22"/>
  <c r="J339" i="22"/>
  <c r="I339" i="22"/>
  <c r="H339" i="22"/>
  <c r="G339" i="22"/>
  <c r="F339" i="22"/>
  <c r="E339" i="22"/>
  <c r="D339" i="22"/>
  <c r="M338" i="22"/>
  <c r="L338" i="22"/>
  <c r="J338" i="22"/>
  <c r="I338" i="22"/>
  <c r="H338" i="22"/>
  <c r="G338" i="22"/>
  <c r="F338" i="22"/>
  <c r="E338" i="22"/>
  <c r="D338" i="22"/>
  <c r="M337" i="22"/>
  <c r="L337" i="22"/>
  <c r="J337" i="22"/>
  <c r="I337" i="22"/>
  <c r="H337" i="22"/>
  <c r="G337" i="22"/>
  <c r="F337" i="22"/>
  <c r="E337" i="22"/>
  <c r="D337" i="22"/>
  <c r="M336" i="22"/>
  <c r="L336" i="22"/>
  <c r="J336" i="22"/>
  <c r="I336" i="22"/>
  <c r="H336" i="22"/>
  <c r="G336" i="22"/>
  <c r="F336" i="22"/>
  <c r="E336" i="22"/>
  <c r="D336" i="22"/>
  <c r="M335" i="22"/>
  <c r="L335" i="22"/>
  <c r="J335" i="22"/>
  <c r="I335" i="22"/>
  <c r="H335" i="22"/>
  <c r="G335" i="22"/>
  <c r="F335" i="22"/>
  <c r="E335" i="22"/>
  <c r="D335" i="22"/>
  <c r="M334" i="22"/>
  <c r="L334" i="22"/>
  <c r="J334" i="22"/>
  <c r="I334" i="22"/>
  <c r="H334" i="22"/>
  <c r="G334" i="22"/>
  <c r="F334" i="22"/>
  <c r="E334" i="22"/>
  <c r="D334" i="22"/>
  <c r="M333" i="22"/>
  <c r="L333" i="22"/>
  <c r="J333" i="22"/>
  <c r="I333" i="22"/>
  <c r="H333" i="22"/>
  <c r="G333" i="22"/>
  <c r="F333" i="22"/>
  <c r="E333" i="22"/>
  <c r="D333" i="22"/>
  <c r="M332" i="22"/>
  <c r="L332" i="22"/>
  <c r="J332" i="22"/>
  <c r="I332" i="22"/>
  <c r="H332" i="22"/>
  <c r="G332" i="22"/>
  <c r="F332" i="22"/>
  <c r="E332" i="22"/>
  <c r="D332" i="22"/>
  <c r="M331" i="22"/>
  <c r="L331" i="22"/>
  <c r="J331" i="22"/>
  <c r="I331" i="22"/>
  <c r="H331" i="22"/>
  <c r="G331" i="22"/>
  <c r="F331" i="22"/>
  <c r="E331" i="22"/>
  <c r="D331" i="22"/>
  <c r="M330" i="22"/>
  <c r="L330" i="22"/>
  <c r="J330" i="22"/>
  <c r="I330" i="22"/>
  <c r="H330" i="22"/>
  <c r="G330" i="22"/>
  <c r="F330" i="22"/>
  <c r="E330" i="22"/>
  <c r="D330" i="22"/>
  <c r="M329" i="22"/>
  <c r="L329" i="22"/>
  <c r="J329" i="22"/>
  <c r="I329" i="22"/>
  <c r="H329" i="22"/>
  <c r="G329" i="22"/>
  <c r="F329" i="22"/>
  <c r="E329" i="22"/>
  <c r="D329" i="22"/>
  <c r="M328" i="22"/>
  <c r="L328" i="22"/>
  <c r="J328" i="22"/>
  <c r="I328" i="22"/>
  <c r="H328" i="22"/>
  <c r="G328" i="22"/>
  <c r="F328" i="22"/>
  <c r="E328" i="22"/>
  <c r="D328" i="22"/>
  <c r="M327" i="22"/>
  <c r="L327" i="22"/>
  <c r="J327" i="22"/>
  <c r="I327" i="22"/>
  <c r="H327" i="22"/>
  <c r="G327" i="22"/>
  <c r="F327" i="22"/>
  <c r="E327" i="22"/>
  <c r="D327" i="22"/>
  <c r="M326" i="22"/>
  <c r="L326" i="22"/>
  <c r="J326" i="22"/>
  <c r="I326" i="22"/>
  <c r="H326" i="22"/>
  <c r="G326" i="22"/>
  <c r="F326" i="22"/>
  <c r="E326" i="22"/>
  <c r="D326" i="22"/>
  <c r="M325" i="22"/>
  <c r="L325" i="22"/>
  <c r="J325" i="22"/>
  <c r="I325" i="22"/>
  <c r="H325" i="22"/>
  <c r="G325" i="22"/>
  <c r="F325" i="22"/>
  <c r="E325" i="22"/>
  <c r="D325" i="22"/>
  <c r="M324" i="22"/>
  <c r="L324" i="22"/>
  <c r="J324" i="22"/>
  <c r="I324" i="22"/>
  <c r="H324" i="22"/>
  <c r="G324" i="22"/>
  <c r="F324" i="22"/>
  <c r="E324" i="22"/>
  <c r="D324" i="22"/>
  <c r="M323" i="22"/>
  <c r="L323" i="22"/>
  <c r="J323" i="22"/>
  <c r="I323" i="22"/>
  <c r="H323" i="22"/>
  <c r="G323" i="22"/>
  <c r="F323" i="22"/>
  <c r="E323" i="22"/>
  <c r="D323" i="22"/>
  <c r="M322" i="22"/>
  <c r="L322" i="22"/>
  <c r="J322" i="22"/>
  <c r="I322" i="22"/>
  <c r="H322" i="22"/>
  <c r="G322" i="22"/>
  <c r="F322" i="22"/>
  <c r="E322" i="22"/>
  <c r="D322" i="22"/>
  <c r="M321" i="22"/>
  <c r="L321" i="22"/>
  <c r="J321" i="22"/>
  <c r="I321" i="22"/>
  <c r="H321" i="22"/>
  <c r="G321" i="22"/>
  <c r="F321" i="22"/>
  <c r="E321" i="22"/>
  <c r="D321" i="22"/>
  <c r="M320" i="22"/>
  <c r="L320" i="22"/>
  <c r="J320" i="22"/>
  <c r="I320" i="22"/>
  <c r="H320" i="22"/>
  <c r="G320" i="22"/>
  <c r="F320" i="22"/>
  <c r="E320" i="22"/>
  <c r="D320" i="22"/>
  <c r="M319" i="22"/>
  <c r="L319" i="22"/>
  <c r="J319" i="22"/>
  <c r="I319" i="22"/>
  <c r="H319" i="22"/>
  <c r="G319" i="22"/>
  <c r="F319" i="22"/>
  <c r="E319" i="22"/>
  <c r="D319" i="22"/>
  <c r="M318" i="22"/>
  <c r="L318" i="22"/>
  <c r="J318" i="22"/>
  <c r="I318" i="22"/>
  <c r="H318" i="22"/>
  <c r="G318" i="22"/>
  <c r="F318" i="22"/>
  <c r="E318" i="22"/>
  <c r="D318" i="22"/>
  <c r="M317" i="22"/>
  <c r="L317" i="22"/>
  <c r="J317" i="22"/>
  <c r="I317" i="22"/>
  <c r="H317" i="22"/>
  <c r="G317" i="22"/>
  <c r="F317" i="22"/>
  <c r="E317" i="22"/>
  <c r="D317" i="22"/>
  <c r="M316" i="22"/>
  <c r="L316" i="22"/>
  <c r="J316" i="22"/>
  <c r="I316" i="22"/>
  <c r="H316" i="22"/>
  <c r="G316" i="22"/>
  <c r="F316" i="22"/>
  <c r="E316" i="22"/>
  <c r="D316" i="22"/>
  <c r="M315" i="22"/>
  <c r="L315" i="22"/>
  <c r="J315" i="22"/>
  <c r="I315" i="22"/>
  <c r="H315" i="22"/>
  <c r="G315" i="22"/>
  <c r="F315" i="22"/>
  <c r="E315" i="22"/>
  <c r="D315" i="22"/>
  <c r="M314" i="22"/>
  <c r="L314" i="22"/>
  <c r="J314" i="22"/>
  <c r="I314" i="22"/>
  <c r="H314" i="22"/>
  <c r="G314" i="22"/>
  <c r="F314" i="22"/>
  <c r="E314" i="22"/>
  <c r="D314" i="22"/>
  <c r="M313" i="22"/>
  <c r="L313" i="22"/>
  <c r="J313" i="22"/>
  <c r="I313" i="22"/>
  <c r="H313" i="22"/>
  <c r="G313" i="22"/>
  <c r="F313" i="22"/>
  <c r="E313" i="22"/>
  <c r="D313" i="22"/>
  <c r="M312" i="22"/>
  <c r="L312" i="22"/>
  <c r="J312" i="22"/>
  <c r="I312" i="22"/>
  <c r="H312" i="22"/>
  <c r="G312" i="22"/>
  <c r="F312" i="22"/>
  <c r="E312" i="22"/>
  <c r="D312" i="22"/>
  <c r="M311" i="22"/>
  <c r="L311" i="22"/>
  <c r="J311" i="22"/>
  <c r="I311" i="22"/>
  <c r="H311" i="22"/>
  <c r="G311" i="22"/>
  <c r="F311" i="22"/>
  <c r="E311" i="22"/>
  <c r="D311" i="22"/>
  <c r="M310" i="22"/>
  <c r="L310" i="22"/>
  <c r="J310" i="22"/>
  <c r="I310" i="22"/>
  <c r="H310" i="22"/>
  <c r="G310" i="22"/>
  <c r="F310" i="22"/>
  <c r="E310" i="22"/>
  <c r="D310" i="22"/>
  <c r="M309" i="22"/>
  <c r="L309" i="22"/>
  <c r="J309" i="22"/>
  <c r="I309" i="22"/>
  <c r="H309" i="22"/>
  <c r="G309" i="22"/>
  <c r="F309" i="22"/>
  <c r="E309" i="22"/>
  <c r="D309" i="22"/>
  <c r="M308" i="22"/>
  <c r="L308" i="22"/>
  <c r="J308" i="22"/>
  <c r="I308" i="22"/>
  <c r="H308" i="22"/>
  <c r="G308" i="22"/>
  <c r="F308" i="22"/>
  <c r="E308" i="22"/>
  <c r="D308" i="22"/>
  <c r="M307" i="22"/>
  <c r="L307" i="22"/>
  <c r="J307" i="22"/>
  <c r="I307" i="22"/>
  <c r="H307" i="22"/>
  <c r="G307" i="22"/>
  <c r="F307" i="22"/>
  <c r="E307" i="22"/>
  <c r="D307" i="22"/>
  <c r="M306" i="22"/>
  <c r="L306" i="22"/>
  <c r="J306" i="22"/>
  <c r="I306" i="22"/>
  <c r="H306" i="22"/>
  <c r="G306" i="22"/>
  <c r="F306" i="22"/>
  <c r="E306" i="22"/>
  <c r="D306" i="22"/>
  <c r="M305" i="22"/>
  <c r="L305" i="22"/>
  <c r="J305" i="22"/>
  <c r="I305" i="22"/>
  <c r="H305" i="22"/>
  <c r="G305" i="22"/>
  <c r="F305" i="22"/>
  <c r="E305" i="22"/>
  <c r="D305" i="22"/>
  <c r="M304" i="22"/>
  <c r="L304" i="22"/>
  <c r="J304" i="22"/>
  <c r="I304" i="22"/>
  <c r="H304" i="22"/>
  <c r="G304" i="22"/>
  <c r="F304" i="22"/>
  <c r="E304" i="22"/>
  <c r="D304" i="22"/>
  <c r="M303" i="22"/>
  <c r="L303" i="22"/>
  <c r="J303" i="22"/>
  <c r="I303" i="22"/>
  <c r="H303" i="22"/>
  <c r="G303" i="22"/>
  <c r="F303" i="22"/>
  <c r="E303" i="22"/>
  <c r="D303" i="22"/>
  <c r="M302" i="22"/>
  <c r="L302" i="22"/>
  <c r="J302" i="22"/>
  <c r="I302" i="22"/>
  <c r="H302" i="22"/>
  <c r="G302" i="22"/>
  <c r="F302" i="22"/>
  <c r="E302" i="22"/>
  <c r="D302" i="22"/>
  <c r="M301" i="22"/>
  <c r="L301" i="22"/>
  <c r="J301" i="22"/>
  <c r="I301" i="22"/>
  <c r="H301" i="22"/>
  <c r="G301" i="22"/>
  <c r="F301" i="22"/>
  <c r="E301" i="22"/>
  <c r="D301" i="22"/>
  <c r="M300" i="22"/>
  <c r="L300" i="22"/>
  <c r="J300" i="22"/>
  <c r="I300" i="22"/>
  <c r="H300" i="22"/>
  <c r="G300" i="22"/>
  <c r="F300" i="22"/>
  <c r="E300" i="22"/>
  <c r="D300" i="22"/>
  <c r="M299" i="22"/>
  <c r="L299" i="22"/>
  <c r="J299" i="22"/>
  <c r="I299" i="22"/>
  <c r="H299" i="22"/>
  <c r="G299" i="22"/>
  <c r="F299" i="22"/>
  <c r="E299" i="22"/>
  <c r="D299" i="22"/>
  <c r="M298" i="22"/>
  <c r="L298" i="22"/>
  <c r="J298" i="22"/>
  <c r="I298" i="22"/>
  <c r="H298" i="22"/>
  <c r="G298" i="22"/>
  <c r="F298" i="22"/>
  <c r="E298" i="22"/>
  <c r="D298" i="22"/>
  <c r="M297" i="22"/>
  <c r="L297" i="22"/>
  <c r="J297" i="22"/>
  <c r="I297" i="22"/>
  <c r="H297" i="22"/>
  <c r="G297" i="22"/>
  <c r="F297" i="22"/>
  <c r="E297" i="22"/>
  <c r="D297" i="22"/>
  <c r="M296" i="22"/>
  <c r="L296" i="22"/>
  <c r="J296" i="22"/>
  <c r="I296" i="22"/>
  <c r="H296" i="22"/>
  <c r="G296" i="22"/>
  <c r="F296" i="22"/>
  <c r="E296" i="22"/>
  <c r="D296" i="22"/>
  <c r="M295" i="22"/>
  <c r="L295" i="22"/>
  <c r="J295" i="22"/>
  <c r="I295" i="22"/>
  <c r="H295" i="22"/>
  <c r="G295" i="22"/>
  <c r="F295" i="22"/>
  <c r="E295" i="22"/>
  <c r="D295" i="22"/>
  <c r="M294" i="22"/>
  <c r="L294" i="22"/>
  <c r="J294" i="22"/>
  <c r="I294" i="22"/>
  <c r="H294" i="22"/>
  <c r="G294" i="22"/>
  <c r="F294" i="22"/>
  <c r="E294" i="22"/>
  <c r="D294" i="22"/>
  <c r="M293" i="22"/>
  <c r="L293" i="22"/>
  <c r="J293" i="22"/>
  <c r="I293" i="22"/>
  <c r="H293" i="22"/>
  <c r="G293" i="22"/>
  <c r="F293" i="22"/>
  <c r="E293" i="22"/>
  <c r="D293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O7" i="22"/>
  <c r="N7" i="22"/>
  <c r="M7" i="22"/>
  <c r="L7" i="22"/>
  <c r="K7" i="22"/>
  <c r="J7" i="22"/>
  <c r="I7" i="22"/>
  <c r="H7" i="22"/>
  <c r="G7" i="22"/>
  <c r="F7" i="22"/>
  <c r="E7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O6" i="22"/>
  <c r="N6" i="22"/>
  <c r="M6" i="22"/>
  <c r="L6" i="22"/>
  <c r="K6" i="22"/>
  <c r="J6" i="22"/>
  <c r="I6" i="22"/>
  <c r="H6" i="22"/>
  <c r="G6" i="22"/>
  <c r="F6" i="22"/>
  <c r="E6" i="22"/>
  <c r="L381" i="21"/>
  <c r="K381" i="21"/>
  <c r="J381" i="21"/>
  <c r="I381" i="21"/>
  <c r="H381" i="21"/>
  <c r="G381" i="21"/>
  <c r="F381" i="21"/>
  <c r="E381" i="21"/>
  <c r="D381" i="21"/>
  <c r="C381" i="21"/>
  <c r="L380" i="21"/>
  <c r="K380" i="21"/>
  <c r="J380" i="21"/>
  <c r="I380" i="21"/>
  <c r="H380" i="21"/>
  <c r="G380" i="21"/>
  <c r="F380" i="21"/>
  <c r="E380" i="21"/>
  <c r="D380" i="21"/>
  <c r="C380" i="21"/>
  <c r="L379" i="21"/>
  <c r="K379" i="21"/>
  <c r="J379" i="21"/>
  <c r="I379" i="21"/>
  <c r="H379" i="21"/>
  <c r="G379" i="21"/>
  <c r="F379" i="21"/>
  <c r="E379" i="21"/>
  <c r="D379" i="21"/>
  <c r="C379" i="21"/>
  <c r="L378" i="21"/>
  <c r="K378" i="21"/>
  <c r="J378" i="21"/>
  <c r="I378" i="21"/>
  <c r="H378" i="21"/>
  <c r="G378" i="21"/>
  <c r="F378" i="21"/>
  <c r="E378" i="21"/>
  <c r="D378" i="21"/>
  <c r="C378" i="21"/>
  <c r="B378" i="21"/>
  <c r="L377" i="21"/>
  <c r="K377" i="21"/>
  <c r="J377" i="21"/>
  <c r="I377" i="21"/>
  <c r="H377" i="21"/>
  <c r="G377" i="21"/>
  <c r="F377" i="21"/>
  <c r="E377" i="21"/>
  <c r="D377" i="21"/>
  <c r="C377" i="21"/>
  <c r="L376" i="21"/>
  <c r="K376" i="21"/>
  <c r="J376" i="21"/>
  <c r="I376" i="21"/>
  <c r="H376" i="21"/>
  <c r="G376" i="21"/>
  <c r="F376" i="21"/>
  <c r="E376" i="21"/>
  <c r="D376" i="21"/>
  <c r="C376" i="21"/>
  <c r="L375" i="21"/>
  <c r="K375" i="21"/>
  <c r="J375" i="21"/>
  <c r="I375" i="21"/>
  <c r="H375" i="21"/>
  <c r="G375" i="21"/>
  <c r="F375" i="21"/>
  <c r="E375" i="21"/>
  <c r="D375" i="21"/>
  <c r="C375" i="21"/>
  <c r="L374" i="21"/>
  <c r="K374" i="21"/>
  <c r="J374" i="21"/>
  <c r="I374" i="21"/>
  <c r="H374" i="21"/>
  <c r="G374" i="21"/>
  <c r="F374" i="21"/>
  <c r="E374" i="21"/>
  <c r="D374" i="21"/>
  <c r="C374" i="21"/>
  <c r="B374" i="21"/>
  <c r="L373" i="21"/>
  <c r="K373" i="21"/>
  <c r="J373" i="21"/>
  <c r="I373" i="21"/>
  <c r="H373" i="21"/>
  <c r="G373" i="21"/>
  <c r="F373" i="21"/>
  <c r="E373" i="21"/>
  <c r="D373" i="21"/>
  <c r="C373" i="21"/>
  <c r="L372" i="21"/>
  <c r="K372" i="21"/>
  <c r="J372" i="21"/>
  <c r="I372" i="21"/>
  <c r="H372" i="21"/>
  <c r="G372" i="21"/>
  <c r="F372" i="21"/>
  <c r="E372" i="21"/>
  <c r="D372" i="21"/>
  <c r="C372" i="21"/>
  <c r="L371" i="21"/>
  <c r="K371" i="21"/>
  <c r="J371" i="21"/>
  <c r="I371" i="21"/>
  <c r="H371" i="21"/>
  <c r="G371" i="21"/>
  <c r="F371" i="21"/>
  <c r="E371" i="21"/>
  <c r="D371" i="21"/>
  <c r="C371" i="21"/>
  <c r="L370" i="21"/>
  <c r="K370" i="21"/>
  <c r="J370" i="21"/>
  <c r="I370" i="21"/>
  <c r="H370" i="21"/>
  <c r="G370" i="21"/>
  <c r="F370" i="21"/>
  <c r="E370" i="21"/>
  <c r="D370" i="21"/>
  <c r="C370" i="21"/>
  <c r="B370" i="21"/>
  <c r="L369" i="21"/>
  <c r="K369" i="21"/>
  <c r="J369" i="21"/>
  <c r="I369" i="21"/>
  <c r="H369" i="21"/>
  <c r="G369" i="21"/>
  <c r="F369" i="21"/>
  <c r="E369" i="21"/>
  <c r="D369" i="21"/>
  <c r="C369" i="21"/>
  <c r="L368" i="21"/>
  <c r="K368" i="21"/>
  <c r="J368" i="21"/>
  <c r="I368" i="21"/>
  <c r="H368" i="21"/>
  <c r="G368" i="21"/>
  <c r="F368" i="21"/>
  <c r="E368" i="21"/>
  <c r="D368" i="21"/>
  <c r="C368" i="21"/>
  <c r="L367" i="21"/>
  <c r="K367" i="21"/>
  <c r="J367" i="21"/>
  <c r="I367" i="21"/>
  <c r="H367" i="21"/>
  <c r="G367" i="21"/>
  <c r="F367" i="21"/>
  <c r="E367" i="21"/>
  <c r="D367" i="21"/>
  <c r="C367" i="21"/>
  <c r="L366" i="21"/>
  <c r="K366" i="21"/>
  <c r="J366" i="21"/>
  <c r="I366" i="21"/>
  <c r="H366" i="21"/>
  <c r="G366" i="21"/>
  <c r="F366" i="21"/>
  <c r="E366" i="21"/>
  <c r="D366" i="21"/>
  <c r="C366" i="21"/>
  <c r="B366" i="21"/>
  <c r="L365" i="21"/>
  <c r="K365" i="21"/>
  <c r="J365" i="21"/>
  <c r="I365" i="21"/>
  <c r="H365" i="21"/>
  <c r="G365" i="21"/>
  <c r="F365" i="21"/>
  <c r="E365" i="21"/>
  <c r="D365" i="21"/>
  <c r="C365" i="21"/>
  <c r="B365" i="21"/>
  <c r="L364" i="21"/>
  <c r="K364" i="21"/>
  <c r="J364" i="21"/>
  <c r="I364" i="21"/>
  <c r="H364" i="21"/>
  <c r="G364" i="21"/>
  <c r="F364" i="21"/>
  <c r="E364" i="21"/>
  <c r="D364" i="21"/>
  <c r="C364" i="21"/>
  <c r="L363" i="21"/>
  <c r="K363" i="21"/>
  <c r="J363" i="21"/>
  <c r="I363" i="21"/>
  <c r="H363" i="21"/>
  <c r="G363" i="21"/>
  <c r="F363" i="21"/>
  <c r="E363" i="21"/>
  <c r="D363" i="21"/>
  <c r="C363" i="21"/>
  <c r="L362" i="21"/>
  <c r="K362" i="21"/>
  <c r="J362" i="21"/>
  <c r="I362" i="21"/>
  <c r="H362" i="21"/>
  <c r="G362" i="21"/>
  <c r="F362" i="21"/>
  <c r="E362" i="21"/>
  <c r="D362" i="21"/>
  <c r="C362" i="21"/>
  <c r="B362" i="21"/>
  <c r="L361" i="21"/>
  <c r="K361" i="21"/>
  <c r="J361" i="21"/>
  <c r="I361" i="21"/>
  <c r="H361" i="21"/>
  <c r="G361" i="21"/>
  <c r="F361" i="21"/>
  <c r="E361" i="21"/>
  <c r="D361" i="21"/>
  <c r="C361" i="21"/>
  <c r="B361" i="21"/>
  <c r="L360" i="21"/>
  <c r="K360" i="21"/>
  <c r="J360" i="21"/>
  <c r="I360" i="21"/>
  <c r="H360" i="21"/>
  <c r="G360" i="21"/>
  <c r="F360" i="21"/>
  <c r="E360" i="21"/>
  <c r="D360" i="21"/>
  <c r="C360" i="21"/>
  <c r="L359" i="21"/>
  <c r="K359" i="21"/>
  <c r="J359" i="21"/>
  <c r="I359" i="21"/>
  <c r="H359" i="21"/>
  <c r="G359" i="21"/>
  <c r="F359" i="21"/>
  <c r="E359" i="21"/>
  <c r="D359" i="21"/>
  <c r="C359" i="21"/>
  <c r="L358" i="21"/>
  <c r="K358" i="21"/>
  <c r="J358" i="21"/>
  <c r="I358" i="21"/>
  <c r="H358" i="21"/>
  <c r="G358" i="21"/>
  <c r="F358" i="21"/>
  <c r="E358" i="21"/>
  <c r="D358" i="21"/>
  <c r="C358" i="21"/>
  <c r="B358" i="21"/>
  <c r="L357" i="21"/>
  <c r="K357" i="21"/>
  <c r="J357" i="21"/>
  <c r="I357" i="21"/>
  <c r="H357" i="21"/>
  <c r="G357" i="21"/>
  <c r="F357" i="21"/>
  <c r="E357" i="21"/>
  <c r="D357" i="21"/>
  <c r="C357" i="21"/>
  <c r="B357" i="21"/>
  <c r="L356" i="21"/>
  <c r="K356" i="21"/>
  <c r="J356" i="21"/>
  <c r="I356" i="21"/>
  <c r="H356" i="21"/>
  <c r="G356" i="21"/>
  <c r="F356" i="21"/>
  <c r="E356" i="21"/>
  <c r="D356" i="21"/>
  <c r="C356" i="21"/>
  <c r="L355" i="21"/>
  <c r="K355" i="21"/>
  <c r="J355" i="21"/>
  <c r="I355" i="21"/>
  <c r="H355" i="21"/>
  <c r="G355" i="21"/>
  <c r="F355" i="21"/>
  <c r="E355" i="21"/>
  <c r="D355" i="21"/>
  <c r="C355" i="21"/>
  <c r="L354" i="21"/>
  <c r="K354" i="21"/>
  <c r="J354" i="21"/>
  <c r="I354" i="21"/>
  <c r="H354" i="21"/>
  <c r="G354" i="21"/>
  <c r="F354" i="21"/>
  <c r="E354" i="21"/>
  <c r="D354" i="21"/>
  <c r="C354" i="21"/>
  <c r="B354" i="21"/>
  <c r="L353" i="21"/>
  <c r="K353" i="21"/>
  <c r="J353" i="21"/>
  <c r="I353" i="21"/>
  <c r="H353" i="21"/>
  <c r="G353" i="21"/>
  <c r="F353" i="21"/>
  <c r="E353" i="21"/>
  <c r="D353" i="21"/>
  <c r="C353" i="21"/>
  <c r="B353" i="21"/>
  <c r="L352" i="21"/>
  <c r="K352" i="21"/>
  <c r="J352" i="21"/>
  <c r="I352" i="21"/>
  <c r="H352" i="21"/>
  <c r="G352" i="21"/>
  <c r="F352" i="21"/>
  <c r="E352" i="21"/>
  <c r="D352" i="21"/>
  <c r="C352" i="21"/>
  <c r="L351" i="21"/>
  <c r="K351" i="21"/>
  <c r="J351" i="21"/>
  <c r="I351" i="21"/>
  <c r="H351" i="21"/>
  <c r="G351" i="21"/>
  <c r="F351" i="21"/>
  <c r="E351" i="21"/>
  <c r="D351" i="21"/>
  <c r="C351" i="21"/>
  <c r="L350" i="21"/>
  <c r="K350" i="21"/>
  <c r="J350" i="21"/>
  <c r="I350" i="21"/>
  <c r="H350" i="21"/>
  <c r="G350" i="21"/>
  <c r="F350" i="21"/>
  <c r="E350" i="21"/>
  <c r="D350" i="21"/>
  <c r="C350" i="21"/>
  <c r="B350" i="21"/>
  <c r="L349" i="21"/>
  <c r="K349" i="21"/>
  <c r="J349" i="21"/>
  <c r="I349" i="21"/>
  <c r="H349" i="21"/>
  <c r="G349" i="21"/>
  <c r="F349" i="21"/>
  <c r="E349" i="21"/>
  <c r="D349" i="21"/>
  <c r="C349" i="21"/>
  <c r="B349" i="21"/>
  <c r="L348" i="21"/>
  <c r="K348" i="21"/>
  <c r="J348" i="21"/>
  <c r="I348" i="21"/>
  <c r="H348" i="21"/>
  <c r="G348" i="21"/>
  <c r="F348" i="21"/>
  <c r="E348" i="21"/>
  <c r="D348" i="21"/>
  <c r="C348" i="21"/>
  <c r="L347" i="21"/>
  <c r="K347" i="21"/>
  <c r="J347" i="21"/>
  <c r="I347" i="21"/>
  <c r="H347" i="21"/>
  <c r="G347" i="21"/>
  <c r="F347" i="21"/>
  <c r="E347" i="21"/>
  <c r="D347" i="21"/>
  <c r="C347" i="21"/>
  <c r="L346" i="21"/>
  <c r="K346" i="21"/>
  <c r="J346" i="21"/>
  <c r="I346" i="21"/>
  <c r="H346" i="21"/>
  <c r="G346" i="21"/>
  <c r="F346" i="21"/>
  <c r="E346" i="21"/>
  <c r="D346" i="21"/>
  <c r="C346" i="21"/>
  <c r="B346" i="21"/>
  <c r="L345" i="21"/>
  <c r="K345" i="21"/>
  <c r="J345" i="21"/>
  <c r="I345" i="21"/>
  <c r="H345" i="21"/>
  <c r="G345" i="21"/>
  <c r="F345" i="21"/>
  <c r="E345" i="21"/>
  <c r="D345" i="21"/>
  <c r="C345" i="21"/>
  <c r="B345" i="21"/>
  <c r="L344" i="21"/>
  <c r="K344" i="21"/>
  <c r="J344" i="21"/>
  <c r="I344" i="21"/>
  <c r="H344" i="21"/>
  <c r="G344" i="21"/>
  <c r="F344" i="21"/>
  <c r="E344" i="21"/>
  <c r="D344" i="21"/>
  <c r="C344" i="21"/>
  <c r="L343" i="21"/>
  <c r="K343" i="21"/>
  <c r="J343" i="21"/>
  <c r="I343" i="21"/>
  <c r="H343" i="21"/>
  <c r="G343" i="21"/>
  <c r="F343" i="21"/>
  <c r="E343" i="21"/>
  <c r="D343" i="21"/>
  <c r="C343" i="21"/>
  <c r="L342" i="21"/>
  <c r="K342" i="21"/>
  <c r="J342" i="21"/>
  <c r="I342" i="21"/>
  <c r="H342" i="21"/>
  <c r="G342" i="21"/>
  <c r="F342" i="21"/>
  <c r="E342" i="21"/>
  <c r="D342" i="21"/>
  <c r="C342" i="21"/>
  <c r="B342" i="21"/>
  <c r="L341" i="21"/>
  <c r="K341" i="21"/>
  <c r="J341" i="21"/>
  <c r="I341" i="21"/>
  <c r="H341" i="21"/>
  <c r="G341" i="21"/>
  <c r="F341" i="21"/>
  <c r="E341" i="21"/>
  <c r="D341" i="21"/>
  <c r="C341" i="21"/>
  <c r="B341" i="21"/>
  <c r="L340" i="21"/>
  <c r="K340" i="21"/>
  <c r="J340" i="21"/>
  <c r="I340" i="21"/>
  <c r="H340" i="21"/>
  <c r="G340" i="21"/>
  <c r="F340" i="21"/>
  <c r="E340" i="21"/>
  <c r="D340" i="21"/>
  <c r="C340" i="21"/>
  <c r="L339" i="21"/>
  <c r="K339" i="21"/>
  <c r="J339" i="21"/>
  <c r="I339" i="21"/>
  <c r="H339" i="21"/>
  <c r="G339" i="21"/>
  <c r="F339" i="21"/>
  <c r="E339" i="21"/>
  <c r="D339" i="21"/>
  <c r="C339" i="21"/>
  <c r="L338" i="21"/>
  <c r="K338" i="21"/>
  <c r="J338" i="21"/>
  <c r="I338" i="21"/>
  <c r="H338" i="21"/>
  <c r="G338" i="21"/>
  <c r="F338" i="21"/>
  <c r="E338" i="21"/>
  <c r="D338" i="21"/>
  <c r="C338" i="21"/>
  <c r="B338" i="21"/>
  <c r="L337" i="21"/>
  <c r="K337" i="21"/>
  <c r="J337" i="21"/>
  <c r="I337" i="21"/>
  <c r="H337" i="21"/>
  <c r="G337" i="21"/>
  <c r="F337" i="21"/>
  <c r="E337" i="21"/>
  <c r="D337" i="21"/>
  <c r="C337" i="21"/>
  <c r="B337" i="21"/>
  <c r="L336" i="21"/>
  <c r="K336" i="21"/>
  <c r="J336" i="21"/>
  <c r="I336" i="21"/>
  <c r="H336" i="21"/>
  <c r="G336" i="21"/>
  <c r="F336" i="21"/>
  <c r="E336" i="21"/>
  <c r="D336" i="21"/>
  <c r="C336" i="21"/>
  <c r="L335" i="21"/>
  <c r="K335" i="21"/>
  <c r="J335" i="21"/>
  <c r="I335" i="21"/>
  <c r="H335" i="21"/>
  <c r="G335" i="21"/>
  <c r="F335" i="21"/>
  <c r="E335" i="21"/>
  <c r="D335" i="21"/>
  <c r="C335" i="21"/>
  <c r="L334" i="21"/>
  <c r="K334" i="21"/>
  <c r="J334" i="21"/>
  <c r="I334" i="21"/>
  <c r="H334" i="21"/>
  <c r="G334" i="21"/>
  <c r="F334" i="21"/>
  <c r="E334" i="21"/>
  <c r="D334" i="21"/>
  <c r="C334" i="21"/>
  <c r="B334" i="21"/>
  <c r="L333" i="21"/>
  <c r="K333" i="21"/>
  <c r="J333" i="21"/>
  <c r="I333" i="21"/>
  <c r="H333" i="21"/>
  <c r="G333" i="21"/>
  <c r="F333" i="21"/>
  <c r="E333" i="21"/>
  <c r="D333" i="21"/>
  <c r="C333" i="21"/>
  <c r="B333" i="21"/>
  <c r="L332" i="21"/>
  <c r="K332" i="21"/>
  <c r="J332" i="21"/>
  <c r="I332" i="21"/>
  <c r="H332" i="21"/>
  <c r="G332" i="21"/>
  <c r="F332" i="21"/>
  <c r="E332" i="21"/>
  <c r="D332" i="21"/>
  <c r="C332" i="21"/>
  <c r="L331" i="21"/>
  <c r="K331" i="21"/>
  <c r="J331" i="21"/>
  <c r="I331" i="21"/>
  <c r="H331" i="21"/>
  <c r="G331" i="21"/>
  <c r="F331" i="21"/>
  <c r="E331" i="21"/>
  <c r="D331" i="21"/>
  <c r="C331" i="21"/>
  <c r="L330" i="21"/>
  <c r="K330" i="21"/>
  <c r="J330" i="21"/>
  <c r="I330" i="21"/>
  <c r="H330" i="21"/>
  <c r="G330" i="21"/>
  <c r="F330" i="21"/>
  <c r="E330" i="21"/>
  <c r="D330" i="21"/>
  <c r="C330" i="21"/>
  <c r="B330" i="21"/>
  <c r="L329" i="21"/>
  <c r="K329" i="21"/>
  <c r="J329" i="21"/>
  <c r="I329" i="21"/>
  <c r="H329" i="21"/>
  <c r="G329" i="21"/>
  <c r="F329" i="21"/>
  <c r="E329" i="21"/>
  <c r="D329" i="21"/>
  <c r="C329" i="21"/>
  <c r="B329" i="21"/>
  <c r="L328" i="21"/>
  <c r="K328" i="21"/>
  <c r="J328" i="21"/>
  <c r="I328" i="21"/>
  <c r="H328" i="21"/>
  <c r="G328" i="21"/>
  <c r="F328" i="21"/>
  <c r="E328" i="21"/>
  <c r="D328" i="21"/>
  <c r="C328" i="21"/>
  <c r="L327" i="21"/>
  <c r="K327" i="21"/>
  <c r="J327" i="21"/>
  <c r="I327" i="21"/>
  <c r="H327" i="21"/>
  <c r="G327" i="21"/>
  <c r="F327" i="21"/>
  <c r="E327" i="21"/>
  <c r="D327" i="21"/>
  <c r="C327" i="21"/>
  <c r="L326" i="21"/>
  <c r="K326" i="21"/>
  <c r="J326" i="21"/>
  <c r="I326" i="21"/>
  <c r="H326" i="21"/>
  <c r="G326" i="21"/>
  <c r="F326" i="21"/>
  <c r="E326" i="21"/>
  <c r="D326" i="21"/>
  <c r="C326" i="21"/>
  <c r="B326" i="21"/>
  <c r="L325" i="21"/>
  <c r="K325" i="21"/>
  <c r="J325" i="21"/>
  <c r="I325" i="21"/>
  <c r="H325" i="21"/>
  <c r="G325" i="21"/>
  <c r="F325" i="21"/>
  <c r="E325" i="21"/>
  <c r="D325" i="21"/>
  <c r="C325" i="21"/>
  <c r="B325" i="21"/>
  <c r="L324" i="21"/>
  <c r="K324" i="21"/>
  <c r="J324" i="21"/>
  <c r="I324" i="21"/>
  <c r="H324" i="21"/>
  <c r="G324" i="21"/>
  <c r="F324" i="21"/>
  <c r="E324" i="21"/>
  <c r="D324" i="21"/>
  <c r="C324" i="21"/>
  <c r="L323" i="21"/>
  <c r="K323" i="21"/>
  <c r="J323" i="21"/>
  <c r="I323" i="21"/>
  <c r="H323" i="21"/>
  <c r="G323" i="21"/>
  <c r="F323" i="21"/>
  <c r="E323" i="21"/>
  <c r="D323" i="21"/>
  <c r="C323" i="21"/>
  <c r="L322" i="21"/>
  <c r="K322" i="21"/>
  <c r="J322" i="21"/>
  <c r="I322" i="21"/>
  <c r="H322" i="21"/>
  <c r="G322" i="21"/>
  <c r="F322" i="21"/>
  <c r="E322" i="21"/>
  <c r="D322" i="21"/>
  <c r="C322" i="21"/>
  <c r="B322" i="21"/>
  <c r="L321" i="21"/>
  <c r="K321" i="21"/>
  <c r="J321" i="21"/>
  <c r="I321" i="21"/>
  <c r="H321" i="21"/>
  <c r="G321" i="21"/>
  <c r="F321" i="21"/>
  <c r="E321" i="21"/>
  <c r="D321" i="21"/>
  <c r="C321" i="21"/>
  <c r="B321" i="21"/>
  <c r="L320" i="21"/>
  <c r="K320" i="21"/>
  <c r="J320" i="21"/>
  <c r="I320" i="21"/>
  <c r="H320" i="21"/>
  <c r="G320" i="21"/>
  <c r="F320" i="21"/>
  <c r="E320" i="21"/>
  <c r="D320" i="21"/>
  <c r="C320" i="21"/>
  <c r="L319" i="21"/>
  <c r="K319" i="21"/>
  <c r="J319" i="21"/>
  <c r="I319" i="21"/>
  <c r="H319" i="21"/>
  <c r="G319" i="21"/>
  <c r="F319" i="21"/>
  <c r="E319" i="21"/>
  <c r="D319" i="21"/>
  <c r="C319" i="21"/>
  <c r="L318" i="21"/>
  <c r="K318" i="21"/>
  <c r="J318" i="21"/>
  <c r="I318" i="21"/>
  <c r="H318" i="21"/>
  <c r="G318" i="21"/>
  <c r="F318" i="21"/>
  <c r="E318" i="21"/>
  <c r="D318" i="21"/>
  <c r="C318" i="21"/>
  <c r="B318" i="21"/>
  <c r="L317" i="21"/>
  <c r="K317" i="21"/>
  <c r="J317" i="21"/>
  <c r="I317" i="21"/>
  <c r="H317" i="21"/>
  <c r="G317" i="21"/>
  <c r="F317" i="21"/>
  <c r="E317" i="21"/>
  <c r="D317" i="21"/>
  <c r="C317" i="21"/>
  <c r="B317" i="21"/>
  <c r="L316" i="21"/>
  <c r="K316" i="21"/>
  <c r="J316" i="21"/>
  <c r="I316" i="21"/>
  <c r="H316" i="21"/>
  <c r="G316" i="21"/>
  <c r="F316" i="21"/>
  <c r="E316" i="21"/>
  <c r="D316" i="21"/>
  <c r="C316" i="21"/>
  <c r="L315" i="21"/>
  <c r="K315" i="21"/>
  <c r="J315" i="21"/>
  <c r="I315" i="21"/>
  <c r="H315" i="21"/>
  <c r="G315" i="21"/>
  <c r="F315" i="21"/>
  <c r="E315" i="21"/>
  <c r="D315" i="21"/>
  <c r="C315" i="21"/>
  <c r="L314" i="21"/>
  <c r="K314" i="21"/>
  <c r="J314" i="21"/>
  <c r="I314" i="21"/>
  <c r="H314" i="21"/>
  <c r="G314" i="21"/>
  <c r="F314" i="21"/>
  <c r="E314" i="21"/>
  <c r="D314" i="21"/>
  <c r="C314" i="21"/>
  <c r="B314" i="21"/>
  <c r="L313" i="21"/>
  <c r="K313" i="21"/>
  <c r="J313" i="21"/>
  <c r="I313" i="21"/>
  <c r="H313" i="21"/>
  <c r="G313" i="21"/>
  <c r="F313" i="21"/>
  <c r="E313" i="21"/>
  <c r="D313" i="21"/>
  <c r="C313" i="21"/>
  <c r="B313" i="21"/>
  <c r="L312" i="21"/>
  <c r="K312" i="21"/>
  <c r="J312" i="21"/>
  <c r="I312" i="21"/>
  <c r="H312" i="21"/>
  <c r="G312" i="21"/>
  <c r="F312" i="21"/>
  <c r="E312" i="21"/>
  <c r="D312" i="21"/>
  <c r="C312" i="21"/>
  <c r="L311" i="21"/>
  <c r="K311" i="21"/>
  <c r="J311" i="21"/>
  <c r="I311" i="21"/>
  <c r="H311" i="21"/>
  <c r="G311" i="21"/>
  <c r="F311" i="21"/>
  <c r="E311" i="21"/>
  <c r="D311" i="21"/>
  <c r="C311" i="21"/>
  <c r="L310" i="21"/>
  <c r="K310" i="21"/>
  <c r="J310" i="21"/>
  <c r="I310" i="21"/>
  <c r="H310" i="21"/>
  <c r="G310" i="21"/>
  <c r="F310" i="21"/>
  <c r="E310" i="21"/>
  <c r="D310" i="21"/>
  <c r="C310" i="21"/>
  <c r="B310" i="21"/>
  <c r="L309" i="21"/>
  <c r="K309" i="21"/>
  <c r="J309" i="21"/>
  <c r="I309" i="21"/>
  <c r="H309" i="21"/>
  <c r="G309" i="21"/>
  <c r="F309" i="21"/>
  <c r="E309" i="21"/>
  <c r="D309" i="21"/>
  <c r="C309" i="21"/>
  <c r="B309" i="21"/>
  <c r="L308" i="21"/>
  <c r="K308" i="21"/>
  <c r="J308" i="21"/>
  <c r="I308" i="21"/>
  <c r="H308" i="21"/>
  <c r="G308" i="21"/>
  <c r="F308" i="21"/>
  <c r="E308" i="21"/>
  <c r="D308" i="21"/>
  <c r="C308" i="21"/>
  <c r="L307" i="21"/>
  <c r="K307" i="21"/>
  <c r="J307" i="21"/>
  <c r="I307" i="21"/>
  <c r="H307" i="21"/>
  <c r="G307" i="21"/>
  <c r="F307" i="21"/>
  <c r="E307" i="21"/>
  <c r="D307" i="21"/>
  <c r="C307" i="21"/>
  <c r="L306" i="21"/>
  <c r="K306" i="21"/>
  <c r="J306" i="21"/>
  <c r="I306" i="21"/>
  <c r="H306" i="21"/>
  <c r="G306" i="21"/>
  <c r="F306" i="21"/>
  <c r="E306" i="21"/>
  <c r="D306" i="21"/>
  <c r="C306" i="21"/>
  <c r="B306" i="21"/>
  <c r="L305" i="21"/>
  <c r="K305" i="21"/>
  <c r="J305" i="21"/>
  <c r="I305" i="21"/>
  <c r="H305" i="21"/>
  <c r="G305" i="21"/>
  <c r="F305" i="21"/>
  <c r="E305" i="21"/>
  <c r="D305" i="21"/>
  <c r="C305" i="21"/>
  <c r="B305" i="21"/>
  <c r="L304" i="21"/>
  <c r="K304" i="21"/>
  <c r="J304" i="21"/>
  <c r="I304" i="21"/>
  <c r="H304" i="21"/>
  <c r="G304" i="21"/>
  <c r="F304" i="21"/>
  <c r="E304" i="21"/>
  <c r="D304" i="21"/>
  <c r="C304" i="21"/>
  <c r="L303" i="21"/>
  <c r="K303" i="21"/>
  <c r="J303" i="21"/>
  <c r="I303" i="21"/>
  <c r="H303" i="21"/>
  <c r="G303" i="21"/>
  <c r="F303" i="21"/>
  <c r="E303" i="21"/>
  <c r="D303" i="21"/>
  <c r="C303" i="21"/>
  <c r="L302" i="21"/>
  <c r="K302" i="21"/>
  <c r="J302" i="21"/>
  <c r="I302" i="21"/>
  <c r="H302" i="21"/>
  <c r="G302" i="21"/>
  <c r="F302" i="21"/>
  <c r="E302" i="21"/>
  <c r="D302" i="21"/>
  <c r="C302" i="21"/>
  <c r="B302" i="21"/>
  <c r="L301" i="21"/>
  <c r="K301" i="21"/>
  <c r="J301" i="21"/>
  <c r="I301" i="21"/>
  <c r="H301" i="21"/>
  <c r="G301" i="21"/>
  <c r="F301" i="21"/>
  <c r="E301" i="21"/>
  <c r="D301" i="21"/>
  <c r="C301" i="21"/>
  <c r="B301" i="21"/>
  <c r="L300" i="21"/>
  <c r="K300" i="21"/>
  <c r="J300" i="21"/>
  <c r="I300" i="21"/>
  <c r="H300" i="21"/>
  <c r="G300" i="21"/>
  <c r="F300" i="21"/>
  <c r="E300" i="21"/>
  <c r="D300" i="21"/>
  <c r="C300" i="21"/>
  <c r="L299" i="21"/>
  <c r="K299" i="21"/>
  <c r="J299" i="21"/>
  <c r="I299" i="21"/>
  <c r="H299" i="21"/>
  <c r="G299" i="21"/>
  <c r="F299" i="21"/>
  <c r="E299" i="21"/>
  <c r="D299" i="21"/>
  <c r="C299" i="21"/>
  <c r="L298" i="21"/>
  <c r="K298" i="21"/>
  <c r="J298" i="21"/>
  <c r="I298" i="21"/>
  <c r="H298" i="21"/>
  <c r="G298" i="21"/>
  <c r="F298" i="21"/>
  <c r="E298" i="21"/>
  <c r="D298" i="21"/>
  <c r="C298" i="21"/>
  <c r="B298" i="21"/>
  <c r="L297" i="21"/>
  <c r="K297" i="21"/>
  <c r="J297" i="21"/>
  <c r="I297" i="21"/>
  <c r="H297" i="21"/>
  <c r="G297" i="21"/>
  <c r="F297" i="21"/>
  <c r="E297" i="21"/>
  <c r="D297" i="21"/>
  <c r="C297" i="21"/>
  <c r="B297" i="21"/>
  <c r="L296" i="21"/>
  <c r="K296" i="21"/>
  <c r="J296" i="21"/>
  <c r="I296" i="21"/>
  <c r="H296" i="21"/>
  <c r="G296" i="21"/>
  <c r="F296" i="21"/>
  <c r="E296" i="21"/>
  <c r="D296" i="21"/>
  <c r="C296" i="21"/>
  <c r="L295" i="21"/>
  <c r="K295" i="21"/>
  <c r="J295" i="21"/>
  <c r="I295" i="21"/>
  <c r="H295" i="21"/>
  <c r="G295" i="21"/>
  <c r="F295" i="21"/>
  <c r="E295" i="21"/>
  <c r="D295" i="21"/>
  <c r="C295" i="21"/>
  <c r="L294" i="21"/>
  <c r="K294" i="21"/>
  <c r="J294" i="21"/>
  <c r="I294" i="21"/>
  <c r="H294" i="21"/>
  <c r="G294" i="21"/>
  <c r="F294" i="21"/>
  <c r="E294" i="21"/>
  <c r="D294" i="21"/>
  <c r="C294" i="21"/>
  <c r="B294" i="21"/>
  <c r="L293" i="21"/>
  <c r="K293" i="21"/>
  <c r="J293" i="21"/>
  <c r="I293" i="21"/>
  <c r="H293" i="21"/>
  <c r="G293" i="21"/>
  <c r="F293" i="21"/>
  <c r="E293" i="21"/>
  <c r="D293" i="21"/>
  <c r="C293" i="21"/>
  <c r="B293" i="21"/>
  <c r="L292" i="21"/>
  <c r="K292" i="21"/>
  <c r="J292" i="21"/>
  <c r="I292" i="21"/>
  <c r="H292" i="21"/>
  <c r="G292" i="21"/>
  <c r="F292" i="21"/>
  <c r="E292" i="21"/>
  <c r="D292" i="21"/>
  <c r="C292" i="21"/>
  <c r="L291" i="21"/>
  <c r="K291" i="21"/>
  <c r="J291" i="21"/>
  <c r="I291" i="21"/>
  <c r="H291" i="21"/>
  <c r="G291" i="21"/>
  <c r="F291" i="21"/>
  <c r="E291" i="21"/>
  <c r="D291" i="21"/>
  <c r="C291" i="21"/>
  <c r="L290" i="21"/>
  <c r="K290" i="21"/>
  <c r="J290" i="21"/>
  <c r="I290" i="21"/>
  <c r="H290" i="21"/>
  <c r="G290" i="21"/>
  <c r="F290" i="21"/>
  <c r="E290" i="21"/>
  <c r="D290" i="21"/>
  <c r="C290" i="21"/>
  <c r="B290" i="21"/>
  <c r="L289" i="21"/>
  <c r="K289" i="21"/>
  <c r="J289" i="21"/>
  <c r="I289" i="21"/>
  <c r="H289" i="21"/>
  <c r="G289" i="21"/>
  <c r="F289" i="21"/>
  <c r="E289" i="21"/>
  <c r="D289" i="21"/>
  <c r="C289" i="21"/>
  <c r="B289" i="21"/>
  <c r="L288" i="21"/>
  <c r="K288" i="21"/>
  <c r="J288" i="21"/>
  <c r="I288" i="21"/>
  <c r="H288" i="21"/>
  <c r="G288" i="21"/>
  <c r="F288" i="21"/>
  <c r="E288" i="21"/>
  <c r="D288" i="21"/>
  <c r="C288" i="21"/>
  <c r="L287" i="21"/>
  <c r="K287" i="21"/>
  <c r="J287" i="21"/>
  <c r="I287" i="21"/>
  <c r="H287" i="21"/>
  <c r="G287" i="21"/>
  <c r="F287" i="21"/>
  <c r="E287" i="21"/>
  <c r="D287" i="21"/>
  <c r="C287" i="21"/>
  <c r="L286" i="21"/>
  <c r="K286" i="21"/>
  <c r="J286" i="21"/>
  <c r="I286" i="21"/>
  <c r="H286" i="21"/>
  <c r="G286" i="21"/>
  <c r="F286" i="21"/>
  <c r="E286" i="21"/>
  <c r="D286" i="21"/>
  <c r="C286" i="21"/>
  <c r="B286" i="21"/>
  <c r="O285" i="21"/>
  <c r="L285" i="21"/>
  <c r="K285" i="21"/>
  <c r="J285" i="21"/>
  <c r="I285" i="21"/>
  <c r="H285" i="21"/>
  <c r="G285" i="21"/>
  <c r="F285" i="21"/>
  <c r="E285" i="21"/>
  <c r="D285" i="21"/>
  <c r="C285" i="21"/>
  <c r="B285" i="21"/>
  <c r="A283" i="21"/>
  <c r="B381" i="21"/>
  <c r="B380" i="21"/>
  <c r="B379" i="21"/>
  <c r="B377" i="21"/>
  <c r="B376" i="21"/>
  <c r="B375" i="21"/>
  <c r="B373" i="21"/>
  <c r="B372" i="21"/>
  <c r="B371" i="21"/>
  <c r="B369" i="21"/>
  <c r="B368" i="21"/>
  <c r="B367" i="21"/>
  <c r="B364" i="21"/>
  <c r="B363" i="21"/>
  <c r="B360" i="21"/>
  <c r="B359" i="21"/>
  <c r="B356" i="21"/>
  <c r="B355" i="21"/>
  <c r="B352" i="21"/>
  <c r="B351" i="21"/>
  <c r="B348" i="21"/>
  <c r="B347" i="21"/>
  <c r="B344" i="21"/>
  <c r="B343" i="21"/>
  <c r="B340" i="21"/>
  <c r="B339" i="21"/>
  <c r="B336" i="21"/>
  <c r="B335" i="21"/>
  <c r="B332" i="21"/>
  <c r="B331" i="21"/>
  <c r="B328" i="21"/>
  <c r="B327" i="21"/>
  <c r="B324" i="21"/>
  <c r="B323" i="21"/>
  <c r="B320" i="21"/>
  <c r="B319" i="21"/>
  <c r="B316" i="21"/>
  <c r="B315" i="21"/>
  <c r="B312" i="21"/>
  <c r="B311" i="21"/>
  <c r="B308" i="21"/>
  <c r="B307" i="21"/>
  <c r="B304" i="21"/>
  <c r="B303" i="21"/>
  <c r="B300" i="21"/>
  <c r="B299" i="21"/>
  <c r="B296" i="21"/>
  <c r="B295" i="21"/>
  <c r="B292" i="21"/>
  <c r="B291" i="21"/>
  <c r="B288" i="21"/>
  <c r="B287" i="21"/>
  <c r="AL7" i="21"/>
  <c r="AK7" i="21"/>
  <c r="AJ7" i="21"/>
  <c r="AI7" i="21"/>
  <c r="AH7" i="21"/>
  <c r="AG7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P7" i="21"/>
  <c r="O7" i="21"/>
  <c r="N7" i="21"/>
  <c r="M7" i="21"/>
  <c r="L7" i="21"/>
  <c r="K7" i="21"/>
  <c r="J7" i="21"/>
  <c r="I7" i="21"/>
  <c r="H7" i="21"/>
  <c r="G7" i="21"/>
  <c r="F7" i="21"/>
  <c r="AL6" i="21"/>
  <c r="AK6" i="21"/>
  <c r="AJ6" i="21"/>
  <c r="AI6" i="21"/>
  <c r="AH6" i="21"/>
  <c r="AG6" i="21"/>
  <c r="AF6" i="21"/>
  <c r="AE6" i="21"/>
  <c r="AD6" i="21"/>
  <c r="AC6" i="21"/>
  <c r="AB6" i="21"/>
  <c r="AA6" i="21"/>
  <c r="Z6" i="21"/>
  <c r="Y6" i="21"/>
  <c r="X6" i="21"/>
  <c r="W6" i="21"/>
  <c r="V6" i="21"/>
  <c r="U6" i="21"/>
  <c r="T6" i="21"/>
  <c r="S6" i="21"/>
  <c r="R6" i="21"/>
  <c r="P6" i="21"/>
  <c r="O6" i="21"/>
  <c r="N6" i="21"/>
  <c r="M6" i="21"/>
  <c r="L6" i="21"/>
  <c r="K6" i="21"/>
  <c r="J6" i="21"/>
  <c r="I6" i="21"/>
  <c r="H6" i="21"/>
  <c r="G6" i="21"/>
  <c r="F6" i="21"/>
  <c r="L381" i="20"/>
  <c r="K381" i="20"/>
  <c r="J381" i="20"/>
  <c r="I381" i="20"/>
  <c r="H381" i="20"/>
  <c r="G381" i="20"/>
  <c r="F381" i="20"/>
  <c r="E381" i="20"/>
  <c r="D381" i="20"/>
  <c r="C381" i="20"/>
  <c r="L380" i="20"/>
  <c r="K380" i="20"/>
  <c r="J380" i="20"/>
  <c r="I380" i="20"/>
  <c r="H380" i="20"/>
  <c r="G380" i="20"/>
  <c r="F380" i="20"/>
  <c r="E380" i="20"/>
  <c r="D380" i="20"/>
  <c r="C380" i="20"/>
  <c r="L379" i="20"/>
  <c r="K379" i="20"/>
  <c r="J379" i="20"/>
  <c r="I379" i="20"/>
  <c r="H379" i="20"/>
  <c r="G379" i="20"/>
  <c r="F379" i="20"/>
  <c r="E379" i="20"/>
  <c r="D379" i="20"/>
  <c r="C379" i="20"/>
  <c r="L378" i="20"/>
  <c r="K378" i="20"/>
  <c r="J378" i="20"/>
  <c r="I378" i="20"/>
  <c r="H378" i="20"/>
  <c r="G378" i="20"/>
  <c r="F378" i="20"/>
  <c r="E378" i="20"/>
  <c r="D378" i="20"/>
  <c r="C378" i="20"/>
  <c r="L377" i="20"/>
  <c r="K377" i="20"/>
  <c r="J377" i="20"/>
  <c r="I377" i="20"/>
  <c r="H377" i="20"/>
  <c r="G377" i="20"/>
  <c r="F377" i="20"/>
  <c r="E377" i="20"/>
  <c r="D377" i="20"/>
  <c r="C377" i="20"/>
  <c r="L376" i="20"/>
  <c r="K376" i="20"/>
  <c r="J376" i="20"/>
  <c r="I376" i="20"/>
  <c r="H376" i="20"/>
  <c r="G376" i="20"/>
  <c r="F376" i="20"/>
  <c r="E376" i="20"/>
  <c r="D376" i="20"/>
  <c r="C376" i="20"/>
  <c r="L375" i="20"/>
  <c r="K375" i="20"/>
  <c r="J375" i="20"/>
  <c r="I375" i="20"/>
  <c r="H375" i="20"/>
  <c r="G375" i="20"/>
  <c r="F375" i="20"/>
  <c r="E375" i="20"/>
  <c r="D375" i="20"/>
  <c r="C375" i="20"/>
  <c r="L374" i="20"/>
  <c r="K374" i="20"/>
  <c r="J374" i="20"/>
  <c r="I374" i="20"/>
  <c r="H374" i="20"/>
  <c r="G374" i="20"/>
  <c r="F374" i="20"/>
  <c r="E374" i="20"/>
  <c r="D374" i="20"/>
  <c r="C374" i="20"/>
  <c r="L373" i="20"/>
  <c r="K373" i="20"/>
  <c r="J373" i="20"/>
  <c r="I373" i="20"/>
  <c r="H373" i="20"/>
  <c r="G373" i="20"/>
  <c r="F373" i="20"/>
  <c r="E373" i="20"/>
  <c r="D373" i="20"/>
  <c r="C373" i="20"/>
  <c r="L372" i="20"/>
  <c r="K372" i="20"/>
  <c r="J372" i="20"/>
  <c r="I372" i="20"/>
  <c r="H372" i="20"/>
  <c r="G372" i="20"/>
  <c r="F372" i="20"/>
  <c r="E372" i="20"/>
  <c r="D372" i="20"/>
  <c r="C372" i="20"/>
  <c r="L371" i="20"/>
  <c r="K371" i="20"/>
  <c r="J371" i="20"/>
  <c r="I371" i="20"/>
  <c r="H371" i="20"/>
  <c r="G371" i="20"/>
  <c r="F371" i="20"/>
  <c r="E371" i="20"/>
  <c r="D371" i="20"/>
  <c r="C371" i="20"/>
  <c r="L370" i="20"/>
  <c r="K370" i="20"/>
  <c r="J370" i="20"/>
  <c r="I370" i="20"/>
  <c r="H370" i="20"/>
  <c r="G370" i="20"/>
  <c r="F370" i="20"/>
  <c r="E370" i="20"/>
  <c r="D370" i="20"/>
  <c r="C370" i="20"/>
  <c r="L369" i="20"/>
  <c r="K369" i="20"/>
  <c r="J369" i="20"/>
  <c r="I369" i="20"/>
  <c r="H369" i="20"/>
  <c r="G369" i="20"/>
  <c r="F369" i="20"/>
  <c r="E369" i="20"/>
  <c r="D369" i="20"/>
  <c r="C369" i="20"/>
  <c r="L368" i="20"/>
  <c r="K368" i="20"/>
  <c r="J368" i="20"/>
  <c r="I368" i="20"/>
  <c r="H368" i="20"/>
  <c r="G368" i="20"/>
  <c r="F368" i="20"/>
  <c r="E368" i="20"/>
  <c r="D368" i="20"/>
  <c r="C368" i="20"/>
  <c r="L367" i="20"/>
  <c r="K367" i="20"/>
  <c r="J367" i="20"/>
  <c r="I367" i="20"/>
  <c r="H367" i="20"/>
  <c r="G367" i="20"/>
  <c r="F367" i="20"/>
  <c r="E367" i="20"/>
  <c r="D367" i="20"/>
  <c r="C367" i="20"/>
  <c r="L366" i="20"/>
  <c r="K366" i="20"/>
  <c r="J366" i="20"/>
  <c r="I366" i="20"/>
  <c r="H366" i="20"/>
  <c r="G366" i="20"/>
  <c r="F366" i="20"/>
  <c r="E366" i="20"/>
  <c r="D366" i="20"/>
  <c r="C366" i="20"/>
  <c r="L365" i="20"/>
  <c r="K365" i="20"/>
  <c r="J365" i="20"/>
  <c r="I365" i="20"/>
  <c r="H365" i="20"/>
  <c r="G365" i="20"/>
  <c r="F365" i="20"/>
  <c r="E365" i="20"/>
  <c r="D365" i="20"/>
  <c r="C365" i="20"/>
  <c r="L364" i="20"/>
  <c r="K364" i="20"/>
  <c r="J364" i="20"/>
  <c r="I364" i="20"/>
  <c r="H364" i="20"/>
  <c r="G364" i="20"/>
  <c r="F364" i="20"/>
  <c r="E364" i="20"/>
  <c r="D364" i="20"/>
  <c r="C364" i="20"/>
  <c r="L363" i="20"/>
  <c r="K363" i="20"/>
  <c r="J363" i="20"/>
  <c r="I363" i="20"/>
  <c r="H363" i="20"/>
  <c r="G363" i="20"/>
  <c r="F363" i="20"/>
  <c r="E363" i="20"/>
  <c r="D363" i="20"/>
  <c r="C363" i="20"/>
  <c r="L362" i="20"/>
  <c r="K362" i="20"/>
  <c r="J362" i="20"/>
  <c r="I362" i="20"/>
  <c r="H362" i="20"/>
  <c r="G362" i="20"/>
  <c r="F362" i="20"/>
  <c r="E362" i="20"/>
  <c r="D362" i="20"/>
  <c r="C362" i="20"/>
  <c r="L361" i="20"/>
  <c r="K361" i="20"/>
  <c r="J361" i="20"/>
  <c r="I361" i="20"/>
  <c r="H361" i="20"/>
  <c r="G361" i="20"/>
  <c r="F361" i="20"/>
  <c r="E361" i="20"/>
  <c r="D361" i="20"/>
  <c r="C361" i="20"/>
  <c r="L360" i="20"/>
  <c r="K360" i="20"/>
  <c r="J360" i="20"/>
  <c r="I360" i="20"/>
  <c r="H360" i="20"/>
  <c r="G360" i="20"/>
  <c r="F360" i="20"/>
  <c r="E360" i="20"/>
  <c r="D360" i="20"/>
  <c r="C360" i="20"/>
  <c r="L359" i="20"/>
  <c r="K359" i="20"/>
  <c r="J359" i="20"/>
  <c r="I359" i="20"/>
  <c r="H359" i="20"/>
  <c r="G359" i="20"/>
  <c r="F359" i="20"/>
  <c r="E359" i="20"/>
  <c r="D359" i="20"/>
  <c r="C359" i="20"/>
  <c r="L358" i="20"/>
  <c r="K358" i="20"/>
  <c r="J358" i="20"/>
  <c r="I358" i="20"/>
  <c r="H358" i="20"/>
  <c r="G358" i="20"/>
  <c r="F358" i="20"/>
  <c r="E358" i="20"/>
  <c r="D358" i="20"/>
  <c r="C358" i="20"/>
  <c r="L357" i="20"/>
  <c r="K357" i="20"/>
  <c r="J357" i="20"/>
  <c r="I357" i="20"/>
  <c r="H357" i="20"/>
  <c r="G357" i="20"/>
  <c r="F357" i="20"/>
  <c r="E357" i="20"/>
  <c r="D357" i="20"/>
  <c r="C357" i="20"/>
  <c r="B357" i="20"/>
  <c r="L356" i="20"/>
  <c r="K356" i="20"/>
  <c r="J356" i="20"/>
  <c r="I356" i="20"/>
  <c r="H356" i="20"/>
  <c r="G356" i="20"/>
  <c r="F356" i="20"/>
  <c r="E356" i="20"/>
  <c r="D356" i="20"/>
  <c r="C356" i="20"/>
  <c r="L355" i="20"/>
  <c r="K355" i="20"/>
  <c r="J355" i="20"/>
  <c r="I355" i="20"/>
  <c r="H355" i="20"/>
  <c r="G355" i="20"/>
  <c r="F355" i="20"/>
  <c r="E355" i="20"/>
  <c r="D355" i="20"/>
  <c r="C355" i="20"/>
  <c r="L354" i="20"/>
  <c r="K354" i="20"/>
  <c r="J354" i="20"/>
  <c r="I354" i="20"/>
  <c r="H354" i="20"/>
  <c r="G354" i="20"/>
  <c r="F354" i="20"/>
  <c r="E354" i="20"/>
  <c r="D354" i="20"/>
  <c r="C354" i="20"/>
  <c r="L353" i="20"/>
  <c r="K353" i="20"/>
  <c r="J353" i="20"/>
  <c r="I353" i="20"/>
  <c r="H353" i="20"/>
  <c r="G353" i="20"/>
  <c r="F353" i="20"/>
  <c r="E353" i="20"/>
  <c r="D353" i="20"/>
  <c r="C353" i="20"/>
  <c r="L352" i="20"/>
  <c r="K352" i="20"/>
  <c r="J352" i="20"/>
  <c r="I352" i="20"/>
  <c r="H352" i="20"/>
  <c r="G352" i="20"/>
  <c r="F352" i="20"/>
  <c r="E352" i="20"/>
  <c r="D352" i="20"/>
  <c r="C352" i="20"/>
  <c r="L351" i="20"/>
  <c r="K351" i="20"/>
  <c r="J351" i="20"/>
  <c r="I351" i="20"/>
  <c r="H351" i="20"/>
  <c r="G351" i="20"/>
  <c r="F351" i="20"/>
  <c r="E351" i="20"/>
  <c r="D351" i="20"/>
  <c r="C351" i="20"/>
  <c r="L350" i="20"/>
  <c r="K350" i="20"/>
  <c r="J350" i="20"/>
  <c r="I350" i="20"/>
  <c r="H350" i="20"/>
  <c r="G350" i="20"/>
  <c r="F350" i="20"/>
  <c r="E350" i="20"/>
  <c r="D350" i="20"/>
  <c r="C350" i="20"/>
  <c r="L349" i="20"/>
  <c r="K349" i="20"/>
  <c r="J349" i="20"/>
  <c r="I349" i="20"/>
  <c r="H349" i="20"/>
  <c r="G349" i="20"/>
  <c r="F349" i="20"/>
  <c r="E349" i="20"/>
  <c r="D349" i="20"/>
  <c r="C349" i="20"/>
  <c r="L348" i="20"/>
  <c r="K348" i="20"/>
  <c r="J348" i="20"/>
  <c r="I348" i="20"/>
  <c r="H348" i="20"/>
  <c r="G348" i="20"/>
  <c r="F348" i="20"/>
  <c r="E348" i="20"/>
  <c r="D348" i="20"/>
  <c r="C348" i="20"/>
  <c r="L347" i="20"/>
  <c r="K347" i="20"/>
  <c r="J347" i="20"/>
  <c r="I347" i="20"/>
  <c r="H347" i="20"/>
  <c r="G347" i="20"/>
  <c r="F347" i="20"/>
  <c r="E347" i="20"/>
  <c r="D347" i="20"/>
  <c r="C347" i="20"/>
  <c r="L346" i="20"/>
  <c r="K346" i="20"/>
  <c r="J346" i="20"/>
  <c r="I346" i="20"/>
  <c r="H346" i="20"/>
  <c r="G346" i="20"/>
  <c r="F346" i="20"/>
  <c r="E346" i="20"/>
  <c r="D346" i="20"/>
  <c r="C346" i="20"/>
  <c r="L345" i="20"/>
  <c r="K345" i="20"/>
  <c r="J345" i="20"/>
  <c r="I345" i="20"/>
  <c r="H345" i="20"/>
  <c r="G345" i="20"/>
  <c r="F345" i="20"/>
  <c r="E345" i="20"/>
  <c r="D345" i="20"/>
  <c r="C345" i="20"/>
  <c r="L344" i="20"/>
  <c r="K344" i="20"/>
  <c r="J344" i="20"/>
  <c r="I344" i="20"/>
  <c r="H344" i="20"/>
  <c r="G344" i="20"/>
  <c r="F344" i="20"/>
  <c r="E344" i="20"/>
  <c r="D344" i="20"/>
  <c r="C344" i="20"/>
  <c r="L343" i="20"/>
  <c r="K343" i="20"/>
  <c r="J343" i="20"/>
  <c r="I343" i="20"/>
  <c r="H343" i="20"/>
  <c r="G343" i="20"/>
  <c r="F343" i="20"/>
  <c r="E343" i="20"/>
  <c r="D343" i="20"/>
  <c r="C343" i="20"/>
  <c r="L342" i="20"/>
  <c r="K342" i="20"/>
  <c r="J342" i="20"/>
  <c r="I342" i="20"/>
  <c r="H342" i="20"/>
  <c r="G342" i="20"/>
  <c r="F342" i="20"/>
  <c r="E342" i="20"/>
  <c r="D342" i="20"/>
  <c r="C342" i="20"/>
  <c r="L341" i="20"/>
  <c r="K341" i="20"/>
  <c r="J341" i="20"/>
  <c r="I341" i="20"/>
  <c r="H341" i="20"/>
  <c r="G341" i="20"/>
  <c r="F341" i="20"/>
  <c r="E341" i="20"/>
  <c r="D341" i="20"/>
  <c r="C341" i="20"/>
  <c r="L340" i="20"/>
  <c r="K340" i="20"/>
  <c r="J340" i="20"/>
  <c r="I340" i="20"/>
  <c r="H340" i="20"/>
  <c r="G340" i="20"/>
  <c r="F340" i="20"/>
  <c r="E340" i="20"/>
  <c r="D340" i="20"/>
  <c r="C340" i="20"/>
  <c r="L339" i="20"/>
  <c r="K339" i="20"/>
  <c r="J339" i="20"/>
  <c r="I339" i="20"/>
  <c r="H339" i="20"/>
  <c r="G339" i="20"/>
  <c r="F339" i="20"/>
  <c r="E339" i="20"/>
  <c r="D339" i="20"/>
  <c r="C339" i="20"/>
  <c r="L338" i="20"/>
  <c r="K338" i="20"/>
  <c r="J338" i="20"/>
  <c r="I338" i="20"/>
  <c r="H338" i="20"/>
  <c r="G338" i="20"/>
  <c r="F338" i="20"/>
  <c r="E338" i="20"/>
  <c r="D338" i="20"/>
  <c r="C338" i="20"/>
  <c r="L337" i="20"/>
  <c r="K337" i="20"/>
  <c r="J337" i="20"/>
  <c r="I337" i="20"/>
  <c r="H337" i="20"/>
  <c r="G337" i="20"/>
  <c r="F337" i="20"/>
  <c r="E337" i="20"/>
  <c r="D337" i="20"/>
  <c r="C337" i="20"/>
  <c r="L336" i="20"/>
  <c r="K336" i="20"/>
  <c r="J336" i="20"/>
  <c r="I336" i="20"/>
  <c r="H336" i="20"/>
  <c r="G336" i="20"/>
  <c r="F336" i="20"/>
  <c r="E336" i="20"/>
  <c r="D336" i="20"/>
  <c r="C336" i="20"/>
  <c r="L335" i="20"/>
  <c r="K335" i="20"/>
  <c r="J335" i="20"/>
  <c r="I335" i="20"/>
  <c r="H335" i="20"/>
  <c r="G335" i="20"/>
  <c r="F335" i="20"/>
  <c r="E335" i="20"/>
  <c r="D335" i="20"/>
  <c r="C335" i="20"/>
  <c r="L334" i="20"/>
  <c r="K334" i="20"/>
  <c r="J334" i="20"/>
  <c r="I334" i="20"/>
  <c r="H334" i="20"/>
  <c r="G334" i="20"/>
  <c r="F334" i="20"/>
  <c r="E334" i="20"/>
  <c r="D334" i="20"/>
  <c r="C334" i="20"/>
  <c r="L333" i="20"/>
  <c r="K333" i="20"/>
  <c r="J333" i="20"/>
  <c r="I333" i="20"/>
  <c r="H333" i="20"/>
  <c r="G333" i="20"/>
  <c r="F333" i="20"/>
  <c r="E333" i="20"/>
  <c r="D333" i="20"/>
  <c r="C333" i="20"/>
  <c r="L332" i="20"/>
  <c r="K332" i="20"/>
  <c r="J332" i="20"/>
  <c r="I332" i="20"/>
  <c r="H332" i="20"/>
  <c r="G332" i="20"/>
  <c r="F332" i="20"/>
  <c r="E332" i="20"/>
  <c r="D332" i="20"/>
  <c r="C332" i="20"/>
  <c r="L331" i="20"/>
  <c r="K331" i="20"/>
  <c r="J331" i="20"/>
  <c r="I331" i="20"/>
  <c r="H331" i="20"/>
  <c r="G331" i="20"/>
  <c r="F331" i="20"/>
  <c r="E331" i="20"/>
  <c r="D331" i="20"/>
  <c r="C331" i="20"/>
  <c r="L330" i="20"/>
  <c r="K330" i="20"/>
  <c r="J330" i="20"/>
  <c r="I330" i="20"/>
  <c r="H330" i="20"/>
  <c r="G330" i="20"/>
  <c r="F330" i="20"/>
  <c r="E330" i="20"/>
  <c r="D330" i="20"/>
  <c r="C330" i="20"/>
  <c r="L329" i="20"/>
  <c r="K329" i="20"/>
  <c r="J329" i="20"/>
  <c r="I329" i="20"/>
  <c r="H329" i="20"/>
  <c r="G329" i="20"/>
  <c r="F329" i="20"/>
  <c r="E329" i="20"/>
  <c r="D329" i="20"/>
  <c r="C329" i="20"/>
  <c r="L328" i="20"/>
  <c r="K328" i="20"/>
  <c r="J328" i="20"/>
  <c r="I328" i="20"/>
  <c r="H328" i="20"/>
  <c r="G328" i="20"/>
  <c r="F328" i="20"/>
  <c r="E328" i="20"/>
  <c r="D328" i="20"/>
  <c r="C328" i="20"/>
  <c r="L327" i="20"/>
  <c r="K327" i="20"/>
  <c r="J327" i="20"/>
  <c r="I327" i="20"/>
  <c r="H327" i="20"/>
  <c r="G327" i="20"/>
  <c r="F327" i="20"/>
  <c r="E327" i="20"/>
  <c r="D327" i="20"/>
  <c r="C327" i="20"/>
  <c r="L326" i="20"/>
  <c r="K326" i="20"/>
  <c r="J326" i="20"/>
  <c r="I326" i="20"/>
  <c r="H326" i="20"/>
  <c r="G326" i="20"/>
  <c r="F326" i="20"/>
  <c r="E326" i="20"/>
  <c r="D326" i="20"/>
  <c r="C326" i="20"/>
  <c r="L325" i="20"/>
  <c r="K325" i="20"/>
  <c r="J325" i="20"/>
  <c r="I325" i="20"/>
  <c r="H325" i="20"/>
  <c r="G325" i="20"/>
  <c r="F325" i="20"/>
  <c r="E325" i="20"/>
  <c r="D325" i="20"/>
  <c r="C325" i="20"/>
  <c r="B325" i="20"/>
  <c r="L324" i="20"/>
  <c r="K324" i="20"/>
  <c r="J324" i="20"/>
  <c r="I324" i="20"/>
  <c r="H324" i="20"/>
  <c r="G324" i="20"/>
  <c r="F324" i="20"/>
  <c r="E324" i="20"/>
  <c r="D324" i="20"/>
  <c r="C324" i="20"/>
  <c r="L323" i="20"/>
  <c r="K323" i="20"/>
  <c r="J323" i="20"/>
  <c r="I323" i="20"/>
  <c r="H323" i="20"/>
  <c r="G323" i="20"/>
  <c r="F323" i="20"/>
  <c r="E323" i="20"/>
  <c r="D323" i="20"/>
  <c r="C323" i="20"/>
  <c r="L322" i="20"/>
  <c r="K322" i="20"/>
  <c r="J322" i="20"/>
  <c r="I322" i="20"/>
  <c r="H322" i="20"/>
  <c r="G322" i="20"/>
  <c r="F322" i="20"/>
  <c r="E322" i="20"/>
  <c r="D322" i="20"/>
  <c r="C322" i="20"/>
  <c r="L321" i="20"/>
  <c r="K321" i="20"/>
  <c r="J321" i="20"/>
  <c r="I321" i="20"/>
  <c r="H321" i="20"/>
  <c r="G321" i="20"/>
  <c r="F321" i="20"/>
  <c r="E321" i="20"/>
  <c r="D321" i="20"/>
  <c r="C321" i="20"/>
  <c r="L320" i="20"/>
  <c r="K320" i="20"/>
  <c r="J320" i="20"/>
  <c r="I320" i="20"/>
  <c r="H320" i="20"/>
  <c r="G320" i="20"/>
  <c r="F320" i="20"/>
  <c r="E320" i="20"/>
  <c r="D320" i="20"/>
  <c r="C320" i="20"/>
  <c r="L319" i="20"/>
  <c r="K319" i="20"/>
  <c r="J319" i="20"/>
  <c r="I319" i="20"/>
  <c r="H319" i="20"/>
  <c r="G319" i="20"/>
  <c r="F319" i="20"/>
  <c r="E319" i="20"/>
  <c r="D319" i="20"/>
  <c r="C319" i="20"/>
  <c r="L318" i="20"/>
  <c r="K318" i="20"/>
  <c r="J318" i="20"/>
  <c r="I318" i="20"/>
  <c r="H318" i="20"/>
  <c r="G318" i="20"/>
  <c r="F318" i="20"/>
  <c r="E318" i="20"/>
  <c r="D318" i="20"/>
  <c r="C318" i="20"/>
  <c r="L317" i="20"/>
  <c r="K317" i="20"/>
  <c r="J317" i="20"/>
  <c r="I317" i="20"/>
  <c r="H317" i="20"/>
  <c r="G317" i="20"/>
  <c r="F317" i="20"/>
  <c r="E317" i="20"/>
  <c r="D317" i="20"/>
  <c r="C317" i="20"/>
  <c r="L316" i="20"/>
  <c r="K316" i="20"/>
  <c r="J316" i="20"/>
  <c r="I316" i="20"/>
  <c r="H316" i="20"/>
  <c r="G316" i="20"/>
  <c r="F316" i="20"/>
  <c r="E316" i="20"/>
  <c r="D316" i="20"/>
  <c r="C316" i="20"/>
  <c r="L315" i="20"/>
  <c r="K315" i="20"/>
  <c r="J315" i="20"/>
  <c r="I315" i="20"/>
  <c r="H315" i="20"/>
  <c r="G315" i="20"/>
  <c r="F315" i="20"/>
  <c r="E315" i="20"/>
  <c r="D315" i="20"/>
  <c r="C315" i="20"/>
  <c r="L314" i="20"/>
  <c r="K314" i="20"/>
  <c r="J314" i="20"/>
  <c r="I314" i="20"/>
  <c r="H314" i="20"/>
  <c r="G314" i="20"/>
  <c r="F314" i="20"/>
  <c r="E314" i="20"/>
  <c r="D314" i="20"/>
  <c r="C314" i="20"/>
  <c r="L313" i="20"/>
  <c r="K313" i="20"/>
  <c r="J313" i="20"/>
  <c r="I313" i="20"/>
  <c r="H313" i="20"/>
  <c r="G313" i="20"/>
  <c r="F313" i="20"/>
  <c r="E313" i="20"/>
  <c r="D313" i="20"/>
  <c r="C313" i="20"/>
  <c r="L312" i="20"/>
  <c r="K312" i="20"/>
  <c r="J312" i="20"/>
  <c r="I312" i="20"/>
  <c r="H312" i="20"/>
  <c r="G312" i="20"/>
  <c r="F312" i="20"/>
  <c r="E312" i="20"/>
  <c r="D312" i="20"/>
  <c r="C312" i="20"/>
  <c r="L311" i="20"/>
  <c r="K311" i="20"/>
  <c r="J311" i="20"/>
  <c r="I311" i="20"/>
  <c r="H311" i="20"/>
  <c r="G311" i="20"/>
  <c r="F311" i="20"/>
  <c r="E311" i="20"/>
  <c r="D311" i="20"/>
  <c r="C311" i="20"/>
  <c r="L310" i="20"/>
  <c r="K310" i="20"/>
  <c r="J310" i="20"/>
  <c r="I310" i="20"/>
  <c r="H310" i="20"/>
  <c r="G310" i="20"/>
  <c r="F310" i="20"/>
  <c r="E310" i="20"/>
  <c r="D310" i="20"/>
  <c r="C310" i="20"/>
  <c r="L309" i="20"/>
  <c r="K309" i="20"/>
  <c r="J309" i="20"/>
  <c r="I309" i="20"/>
  <c r="H309" i="20"/>
  <c r="G309" i="20"/>
  <c r="F309" i="20"/>
  <c r="E309" i="20"/>
  <c r="D309" i="20"/>
  <c r="C309" i="20"/>
  <c r="L308" i="20"/>
  <c r="K308" i="20"/>
  <c r="J308" i="20"/>
  <c r="I308" i="20"/>
  <c r="H308" i="20"/>
  <c r="G308" i="20"/>
  <c r="F308" i="20"/>
  <c r="E308" i="20"/>
  <c r="D308" i="20"/>
  <c r="C308" i="20"/>
  <c r="L307" i="20"/>
  <c r="K307" i="20"/>
  <c r="J307" i="20"/>
  <c r="I307" i="20"/>
  <c r="H307" i="20"/>
  <c r="G307" i="20"/>
  <c r="F307" i="20"/>
  <c r="E307" i="20"/>
  <c r="D307" i="20"/>
  <c r="C307" i="20"/>
  <c r="L306" i="20"/>
  <c r="K306" i="20"/>
  <c r="J306" i="20"/>
  <c r="I306" i="20"/>
  <c r="H306" i="20"/>
  <c r="G306" i="20"/>
  <c r="F306" i="20"/>
  <c r="E306" i="20"/>
  <c r="D306" i="20"/>
  <c r="C306" i="20"/>
  <c r="L305" i="20"/>
  <c r="K305" i="20"/>
  <c r="J305" i="20"/>
  <c r="I305" i="20"/>
  <c r="H305" i="20"/>
  <c r="G305" i="20"/>
  <c r="F305" i="20"/>
  <c r="E305" i="20"/>
  <c r="D305" i="20"/>
  <c r="C305" i="20"/>
  <c r="L304" i="20"/>
  <c r="K304" i="20"/>
  <c r="J304" i="20"/>
  <c r="I304" i="20"/>
  <c r="H304" i="20"/>
  <c r="G304" i="20"/>
  <c r="F304" i="20"/>
  <c r="E304" i="20"/>
  <c r="D304" i="20"/>
  <c r="C304" i="20"/>
  <c r="L303" i="20"/>
  <c r="K303" i="20"/>
  <c r="J303" i="20"/>
  <c r="I303" i="20"/>
  <c r="H303" i="20"/>
  <c r="G303" i="20"/>
  <c r="F303" i="20"/>
  <c r="E303" i="20"/>
  <c r="D303" i="20"/>
  <c r="C303" i="20"/>
  <c r="L302" i="20"/>
  <c r="K302" i="20"/>
  <c r="J302" i="20"/>
  <c r="I302" i="20"/>
  <c r="H302" i="20"/>
  <c r="G302" i="20"/>
  <c r="F302" i="20"/>
  <c r="E302" i="20"/>
  <c r="D302" i="20"/>
  <c r="C302" i="20"/>
  <c r="L301" i="20"/>
  <c r="K301" i="20"/>
  <c r="J301" i="20"/>
  <c r="I301" i="20"/>
  <c r="H301" i="20"/>
  <c r="G301" i="20"/>
  <c r="F301" i="20"/>
  <c r="E301" i="20"/>
  <c r="D301" i="20"/>
  <c r="C301" i="20"/>
  <c r="L300" i="20"/>
  <c r="K300" i="20"/>
  <c r="J300" i="20"/>
  <c r="I300" i="20"/>
  <c r="H300" i="20"/>
  <c r="G300" i="20"/>
  <c r="F300" i="20"/>
  <c r="E300" i="20"/>
  <c r="D300" i="20"/>
  <c r="C300" i="20"/>
  <c r="L299" i="20"/>
  <c r="K299" i="20"/>
  <c r="J299" i="20"/>
  <c r="I299" i="20"/>
  <c r="H299" i="20"/>
  <c r="G299" i="20"/>
  <c r="F299" i="20"/>
  <c r="E299" i="20"/>
  <c r="D299" i="20"/>
  <c r="C299" i="20"/>
  <c r="L298" i="20"/>
  <c r="K298" i="20"/>
  <c r="J298" i="20"/>
  <c r="I298" i="20"/>
  <c r="H298" i="20"/>
  <c r="G298" i="20"/>
  <c r="F298" i="20"/>
  <c r="E298" i="20"/>
  <c r="D298" i="20"/>
  <c r="C298" i="20"/>
  <c r="L297" i="20"/>
  <c r="K297" i="20"/>
  <c r="J297" i="20"/>
  <c r="I297" i="20"/>
  <c r="H297" i="20"/>
  <c r="G297" i="20"/>
  <c r="F297" i="20"/>
  <c r="E297" i="20"/>
  <c r="D297" i="20"/>
  <c r="C297" i="20"/>
  <c r="L296" i="20"/>
  <c r="K296" i="20"/>
  <c r="J296" i="20"/>
  <c r="I296" i="20"/>
  <c r="H296" i="20"/>
  <c r="G296" i="20"/>
  <c r="F296" i="20"/>
  <c r="E296" i="20"/>
  <c r="D296" i="20"/>
  <c r="C296" i="20"/>
  <c r="L295" i="20"/>
  <c r="K295" i="20"/>
  <c r="J295" i="20"/>
  <c r="I295" i="20"/>
  <c r="H295" i="20"/>
  <c r="G295" i="20"/>
  <c r="F295" i="20"/>
  <c r="E295" i="20"/>
  <c r="D295" i="20"/>
  <c r="C295" i="20"/>
  <c r="L294" i="20"/>
  <c r="K294" i="20"/>
  <c r="J294" i="20"/>
  <c r="I294" i="20"/>
  <c r="H294" i="20"/>
  <c r="G294" i="20"/>
  <c r="F294" i="20"/>
  <c r="E294" i="20"/>
  <c r="D294" i="20"/>
  <c r="C294" i="20"/>
  <c r="L293" i="20"/>
  <c r="K293" i="20"/>
  <c r="J293" i="20"/>
  <c r="I293" i="20"/>
  <c r="H293" i="20"/>
  <c r="G293" i="20"/>
  <c r="F293" i="20"/>
  <c r="E293" i="20"/>
  <c r="D293" i="20"/>
  <c r="C293" i="20"/>
  <c r="B293" i="20"/>
  <c r="L292" i="20"/>
  <c r="K292" i="20"/>
  <c r="J292" i="20"/>
  <c r="I292" i="20"/>
  <c r="H292" i="20"/>
  <c r="G292" i="20"/>
  <c r="F292" i="20"/>
  <c r="E292" i="20"/>
  <c r="D292" i="20"/>
  <c r="C292" i="20"/>
  <c r="L291" i="20"/>
  <c r="K291" i="20"/>
  <c r="J291" i="20"/>
  <c r="I291" i="20"/>
  <c r="H291" i="20"/>
  <c r="G291" i="20"/>
  <c r="F291" i="20"/>
  <c r="E291" i="20"/>
  <c r="D291" i="20"/>
  <c r="C291" i="20"/>
  <c r="L290" i="20"/>
  <c r="K290" i="20"/>
  <c r="J290" i="20"/>
  <c r="I290" i="20"/>
  <c r="H290" i="20"/>
  <c r="G290" i="20"/>
  <c r="F290" i="20"/>
  <c r="E290" i="20"/>
  <c r="D290" i="20"/>
  <c r="C290" i="20"/>
  <c r="L289" i="20"/>
  <c r="K289" i="20"/>
  <c r="J289" i="20"/>
  <c r="I289" i="20"/>
  <c r="H289" i="20"/>
  <c r="G289" i="20"/>
  <c r="F289" i="20"/>
  <c r="E289" i="20"/>
  <c r="D289" i="20"/>
  <c r="C289" i="20"/>
  <c r="L288" i="20"/>
  <c r="K288" i="20"/>
  <c r="J288" i="20"/>
  <c r="I288" i="20"/>
  <c r="H288" i="20"/>
  <c r="G288" i="20"/>
  <c r="F288" i="20"/>
  <c r="E288" i="20"/>
  <c r="D288" i="20"/>
  <c r="C288" i="20"/>
  <c r="L287" i="20"/>
  <c r="K287" i="20"/>
  <c r="J287" i="20"/>
  <c r="I287" i="20"/>
  <c r="H287" i="20"/>
  <c r="G287" i="20"/>
  <c r="F287" i="20"/>
  <c r="E287" i="20"/>
  <c r="D287" i="20"/>
  <c r="C287" i="20"/>
  <c r="L286" i="20"/>
  <c r="K286" i="20"/>
  <c r="J286" i="20"/>
  <c r="I286" i="20"/>
  <c r="H286" i="20"/>
  <c r="G286" i="20"/>
  <c r="F286" i="20"/>
  <c r="E286" i="20"/>
  <c r="D286" i="20"/>
  <c r="C286" i="20"/>
  <c r="O285" i="20"/>
  <c r="L285" i="20"/>
  <c r="K285" i="20"/>
  <c r="J285" i="20"/>
  <c r="I285" i="20"/>
  <c r="H285" i="20"/>
  <c r="G285" i="20"/>
  <c r="F285" i="20"/>
  <c r="E285" i="20"/>
  <c r="D285" i="20"/>
  <c r="C285" i="20"/>
  <c r="B285" i="20"/>
  <c r="A283" i="20"/>
  <c r="B381" i="20"/>
  <c r="B380" i="20"/>
  <c r="B379" i="20"/>
  <c r="B378" i="20"/>
  <c r="B377" i="20"/>
  <c r="B376" i="20"/>
  <c r="B375" i="20"/>
  <c r="B374" i="20"/>
  <c r="B373" i="20"/>
  <c r="B372" i="20"/>
  <c r="B371" i="20"/>
  <c r="B370" i="20"/>
  <c r="B369" i="20"/>
  <c r="B368" i="20"/>
  <c r="B367" i="20"/>
  <c r="B366" i="20"/>
  <c r="B365" i="20"/>
  <c r="B364" i="20"/>
  <c r="B363" i="20"/>
  <c r="B362" i="20"/>
  <c r="B361" i="20"/>
  <c r="B360" i="20"/>
  <c r="B359" i="20"/>
  <c r="B358" i="20"/>
  <c r="B356" i="20"/>
  <c r="B355" i="20"/>
  <c r="B354" i="20"/>
  <c r="B353" i="20"/>
  <c r="B352" i="20"/>
  <c r="B351" i="20"/>
  <c r="B350" i="20"/>
  <c r="B349" i="20"/>
  <c r="B348" i="20"/>
  <c r="B347" i="20"/>
  <c r="B346" i="20"/>
  <c r="B345" i="20"/>
  <c r="B344" i="20"/>
  <c r="B343" i="20"/>
  <c r="B342" i="20"/>
  <c r="B341" i="20"/>
  <c r="B340" i="20"/>
  <c r="B339" i="20"/>
  <c r="B338" i="20"/>
  <c r="B337" i="20"/>
  <c r="B336" i="20"/>
  <c r="B335" i="20"/>
  <c r="B334" i="20"/>
  <c r="B333" i="20"/>
  <c r="B332" i="20"/>
  <c r="B331" i="20"/>
  <c r="B330" i="20"/>
  <c r="B329" i="20"/>
  <c r="B328" i="20"/>
  <c r="B327" i="20"/>
  <c r="B326" i="20"/>
  <c r="B324" i="20"/>
  <c r="B323" i="20"/>
  <c r="B322" i="20"/>
  <c r="B321" i="20"/>
  <c r="B320" i="20"/>
  <c r="B319" i="20"/>
  <c r="B318" i="20"/>
  <c r="B317" i="20"/>
  <c r="B316" i="20"/>
  <c r="B315" i="20"/>
  <c r="B314" i="20"/>
  <c r="B313" i="20"/>
  <c r="B312" i="20"/>
  <c r="B311" i="20"/>
  <c r="B310" i="20"/>
  <c r="B309" i="20"/>
  <c r="B308" i="20"/>
  <c r="B307" i="20"/>
  <c r="B306" i="20"/>
  <c r="B305" i="20"/>
  <c r="B304" i="20"/>
  <c r="B303" i="20"/>
  <c r="B302" i="20"/>
  <c r="B301" i="20"/>
  <c r="B300" i="20"/>
  <c r="B299" i="20"/>
  <c r="B298" i="20"/>
  <c r="B297" i="20"/>
  <c r="B296" i="20"/>
  <c r="B295" i="20"/>
  <c r="B294" i="20"/>
  <c r="B292" i="20"/>
  <c r="B291" i="20"/>
  <c r="B290" i="20"/>
  <c r="B289" i="20"/>
  <c r="B288" i="20"/>
  <c r="B287" i="20"/>
  <c r="B286" i="20"/>
  <c r="AL7" i="20"/>
  <c r="AK7" i="20"/>
  <c r="AJ7" i="20"/>
  <c r="AI7" i="20"/>
  <c r="AH7" i="20"/>
  <c r="AG7" i="20"/>
  <c r="AF7" i="20"/>
  <c r="AE7" i="20"/>
  <c r="AD7" i="20"/>
  <c r="AC7" i="20"/>
  <c r="AB7" i="20"/>
  <c r="AA7" i="20"/>
  <c r="Z7" i="20"/>
  <c r="Y7" i="20"/>
  <c r="X7" i="20"/>
  <c r="W7" i="20"/>
  <c r="V7" i="20"/>
  <c r="U7" i="20"/>
  <c r="T7" i="20"/>
  <c r="S7" i="20"/>
  <c r="R7" i="20"/>
  <c r="P7" i="20"/>
  <c r="O7" i="20"/>
  <c r="N7" i="20"/>
  <c r="M7" i="20"/>
  <c r="L7" i="20"/>
  <c r="K7" i="20"/>
  <c r="J7" i="20"/>
  <c r="I7" i="20"/>
  <c r="H7" i="20"/>
  <c r="G7" i="20"/>
  <c r="F7" i="20"/>
  <c r="AL6" i="20"/>
  <c r="AK6" i="20"/>
  <c r="AJ6" i="20"/>
  <c r="AI6" i="20"/>
  <c r="AH6" i="20"/>
  <c r="AG6" i="20"/>
  <c r="AF6" i="20"/>
  <c r="AE6" i="20"/>
  <c r="AD6" i="20"/>
  <c r="AC6" i="20"/>
  <c r="AB6" i="20"/>
  <c r="AA6" i="20"/>
  <c r="Z6" i="20"/>
  <c r="Y6" i="20"/>
  <c r="X6" i="20"/>
  <c r="W6" i="20"/>
  <c r="V6" i="20"/>
  <c r="U6" i="20"/>
  <c r="T6" i="20"/>
  <c r="S6" i="20"/>
  <c r="R6" i="20"/>
  <c r="P6" i="20"/>
  <c r="O6" i="20"/>
  <c r="N6" i="20"/>
  <c r="M6" i="20"/>
  <c r="L6" i="20"/>
  <c r="K6" i="20"/>
  <c r="J6" i="20"/>
  <c r="I6" i="20"/>
  <c r="H6" i="20"/>
  <c r="G6" i="20"/>
  <c r="F6" i="20"/>
  <c r="M388" i="19"/>
  <c r="L388" i="19"/>
  <c r="J388" i="19"/>
  <c r="I388" i="19"/>
  <c r="H388" i="19"/>
  <c r="G388" i="19"/>
  <c r="F388" i="19"/>
  <c r="E388" i="19"/>
  <c r="D388" i="19"/>
  <c r="C388" i="19"/>
  <c r="M387" i="19"/>
  <c r="L387" i="19"/>
  <c r="J387" i="19"/>
  <c r="I387" i="19"/>
  <c r="H387" i="19"/>
  <c r="G387" i="19"/>
  <c r="F387" i="19"/>
  <c r="E387" i="19"/>
  <c r="D387" i="19"/>
  <c r="C387" i="19"/>
  <c r="M386" i="19"/>
  <c r="L386" i="19"/>
  <c r="J386" i="19"/>
  <c r="I386" i="19"/>
  <c r="H386" i="19"/>
  <c r="G386" i="19"/>
  <c r="F386" i="19"/>
  <c r="E386" i="19"/>
  <c r="D386" i="19"/>
  <c r="C386" i="19"/>
  <c r="M385" i="19"/>
  <c r="L385" i="19"/>
  <c r="J385" i="19"/>
  <c r="I385" i="19"/>
  <c r="H385" i="19"/>
  <c r="G385" i="19"/>
  <c r="F385" i="19"/>
  <c r="E385" i="19"/>
  <c r="D385" i="19"/>
  <c r="C385" i="19"/>
  <c r="M384" i="19"/>
  <c r="L384" i="19"/>
  <c r="J384" i="19"/>
  <c r="I384" i="19"/>
  <c r="H384" i="19"/>
  <c r="G384" i="19"/>
  <c r="F384" i="19"/>
  <c r="E384" i="19"/>
  <c r="D384" i="19"/>
  <c r="C384" i="19"/>
  <c r="M383" i="19"/>
  <c r="L383" i="19"/>
  <c r="J383" i="19"/>
  <c r="I383" i="19"/>
  <c r="H383" i="19"/>
  <c r="G383" i="19"/>
  <c r="F383" i="19"/>
  <c r="E383" i="19"/>
  <c r="D383" i="19"/>
  <c r="C383" i="19"/>
  <c r="M382" i="19"/>
  <c r="L382" i="19"/>
  <c r="J382" i="19"/>
  <c r="I382" i="19"/>
  <c r="H382" i="19"/>
  <c r="G382" i="19"/>
  <c r="F382" i="19"/>
  <c r="E382" i="19"/>
  <c r="D382" i="19"/>
  <c r="C382" i="19"/>
  <c r="M381" i="19"/>
  <c r="L381" i="19"/>
  <c r="J381" i="19"/>
  <c r="I381" i="19"/>
  <c r="H381" i="19"/>
  <c r="G381" i="19"/>
  <c r="F381" i="19"/>
  <c r="E381" i="19"/>
  <c r="D381" i="19"/>
  <c r="C381" i="19"/>
  <c r="M380" i="19"/>
  <c r="L380" i="19"/>
  <c r="J380" i="19"/>
  <c r="I380" i="19"/>
  <c r="H380" i="19"/>
  <c r="G380" i="19"/>
  <c r="F380" i="19"/>
  <c r="E380" i="19"/>
  <c r="D380" i="19"/>
  <c r="C380" i="19"/>
  <c r="M379" i="19"/>
  <c r="L379" i="19"/>
  <c r="J379" i="19"/>
  <c r="I379" i="19"/>
  <c r="H379" i="19"/>
  <c r="G379" i="19"/>
  <c r="F379" i="19"/>
  <c r="E379" i="19"/>
  <c r="D379" i="19"/>
  <c r="C379" i="19"/>
  <c r="M378" i="19"/>
  <c r="L378" i="19"/>
  <c r="J378" i="19"/>
  <c r="I378" i="19"/>
  <c r="H378" i="19"/>
  <c r="G378" i="19"/>
  <c r="F378" i="19"/>
  <c r="E378" i="19"/>
  <c r="D378" i="19"/>
  <c r="C378" i="19"/>
  <c r="M377" i="19"/>
  <c r="L377" i="19"/>
  <c r="J377" i="19"/>
  <c r="I377" i="19"/>
  <c r="H377" i="19"/>
  <c r="G377" i="19"/>
  <c r="F377" i="19"/>
  <c r="E377" i="19"/>
  <c r="D377" i="19"/>
  <c r="C377" i="19"/>
  <c r="M376" i="19"/>
  <c r="L376" i="19"/>
  <c r="J376" i="19"/>
  <c r="I376" i="19"/>
  <c r="H376" i="19"/>
  <c r="G376" i="19"/>
  <c r="F376" i="19"/>
  <c r="E376" i="19"/>
  <c r="D376" i="19"/>
  <c r="C376" i="19"/>
  <c r="M375" i="19"/>
  <c r="L375" i="19"/>
  <c r="J375" i="19"/>
  <c r="I375" i="19"/>
  <c r="H375" i="19"/>
  <c r="G375" i="19"/>
  <c r="F375" i="19"/>
  <c r="E375" i="19"/>
  <c r="D375" i="19"/>
  <c r="C375" i="19"/>
  <c r="M374" i="19"/>
  <c r="L374" i="19"/>
  <c r="J374" i="19"/>
  <c r="I374" i="19"/>
  <c r="H374" i="19"/>
  <c r="G374" i="19"/>
  <c r="F374" i="19"/>
  <c r="E374" i="19"/>
  <c r="D374" i="19"/>
  <c r="C374" i="19"/>
  <c r="M373" i="19"/>
  <c r="L373" i="19"/>
  <c r="J373" i="19"/>
  <c r="I373" i="19"/>
  <c r="H373" i="19"/>
  <c r="G373" i="19"/>
  <c r="F373" i="19"/>
  <c r="E373" i="19"/>
  <c r="D373" i="19"/>
  <c r="C373" i="19"/>
  <c r="M372" i="19"/>
  <c r="L372" i="19"/>
  <c r="J372" i="19"/>
  <c r="I372" i="19"/>
  <c r="H372" i="19"/>
  <c r="G372" i="19"/>
  <c r="F372" i="19"/>
  <c r="E372" i="19"/>
  <c r="D372" i="19"/>
  <c r="C372" i="19"/>
  <c r="M371" i="19"/>
  <c r="L371" i="19"/>
  <c r="J371" i="19"/>
  <c r="I371" i="19"/>
  <c r="H371" i="19"/>
  <c r="G371" i="19"/>
  <c r="F371" i="19"/>
  <c r="E371" i="19"/>
  <c r="D371" i="19"/>
  <c r="C371" i="19"/>
  <c r="M370" i="19"/>
  <c r="L370" i="19"/>
  <c r="J370" i="19"/>
  <c r="I370" i="19"/>
  <c r="H370" i="19"/>
  <c r="G370" i="19"/>
  <c r="F370" i="19"/>
  <c r="E370" i="19"/>
  <c r="D370" i="19"/>
  <c r="C370" i="19"/>
  <c r="M369" i="19"/>
  <c r="L369" i="19"/>
  <c r="J369" i="19"/>
  <c r="I369" i="19"/>
  <c r="H369" i="19"/>
  <c r="G369" i="19"/>
  <c r="F369" i="19"/>
  <c r="E369" i="19"/>
  <c r="D369" i="19"/>
  <c r="C369" i="19"/>
  <c r="M368" i="19"/>
  <c r="L368" i="19"/>
  <c r="J368" i="19"/>
  <c r="I368" i="19"/>
  <c r="H368" i="19"/>
  <c r="G368" i="19"/>
  <c r="F368" i="19"/>
  <c r="E368" i="19"/>
  <c r="D368" i="19"/>
  <c r="C368" i="19"/>
  <c r="M367" i="19"/>
  <c r="L367" i="19"/>
  <c r="J367" i="19"/>
  <c r="I367" i="19"/>
  <c r="H367" i="19"/>
  <c r="G367" i="19"/>
  <c r="F367" i="19"/>
  <c r="E367" i="19"/>
  <c r="D367" i="19"/>
  <c r="C367" i="19"/>
  <c r="M366" i="19"/>
  <c r="L366" i="19"/>
  <c r="J366" i="19"/>
  <c r="I366" i="19"/>
  <c r="H366" i="19"/>
  <c r="G366" i="19"/>
  <c r="F366" i="19"/>
  <c r="E366" i="19"/>
  <c r="D366" i="19"/>
  <c r="C366" i="19"/>
  <c r="M365" i="19"/>
  <c r="L365" i="19"/>
  <c r="J365" i="19"/>
  <c r="I365" i="19"/>
  <c r="H365" i="19"/>
  <c r="G365" i="19"/>
  <c r="F365" i="19"/>
  <c r="E365" i="19"/>
  <c r="D365" i="19"/>
  <c r="C365" i="19"/>
  <c r="M364" i="19"/>
  <c r="L364" i="19"/>
  <c r="J364" i="19"/>
  <c r="I364" i="19"/>
  <c r="H364" i="19"/>
  <c r="G364" i="19"/>
  <c r="F364" i="19"/>
  <c r="E364" i="19"/>
  <c r="D364" i="19"/>
  <c r="C364" i="19"/>
  <c r="M363" i="19"/>
  <c r="L363" i="19"/>
  <c r="J363" i="19"/>
  <c r="I363" i="19"/>
  <c r="H363" i="19"/>
  <c r="G363" i="19"/>
  <c r="F363" i="19"/>
  <c r="E363" i="19"/>
  <c r="D363" i="19"/>
  <c r="C363" i="19"/>
  <c r="M362" i="19"/>
  <c r="L362" i="19"/>
  <c r="J362" i="19"/>
  <c r="I362" i="19"/>
  <c r="H362" i="19"/>
  <c r="G362" i="19"/>
  <c r="F362" i="19"/>
  <c r="E362" i="19"/>
  <c r="D362" i="19"/>
  <c r="C362" i="19"/>
  <c r="M361" i="19"/>
  <c r="L361" i="19"/>
  <c r="J361" i="19"/>
  <c r="I361" i="19"/>
  <c r="H361" i="19"/>
  <c r="G361" i="19"/>
  <c r="F361" i="19"/>
  <c r="E361" i="19"/>
  <c r="D361" i="19"/>
  <c r="C361" i="19"/>
  <c r="M360" i="19"/>
  <c r="L360" i="19"/>
  <c r="J360" i="19"/>
  <c r="I360" i="19"/>
  <c r="H360" i="19"/>
  <c r="G360" i="19"/>
  <c r="F360" i="19"/>
  <c r="E360" i="19"/>
  <c r="D360" i="19"/>
  <c r="C360" i="19"/>
  <c r="M359" i="19"/>
  <c r="L359" i="19"/>
  <c r="J359" i="19"/>
  <c r="I359" i="19"/>
  <c r="H359" i="19"/>
  <c r="G359" i="19"/>
  <c r="F359" i="19"/>
  <c r="E359" i="19"/>
  <c r="D359" i="19"/>
  <c r="C359" i="19"/>
  <c r="M358" i="19"/>
  <c r="L358" i="19"/>
  <c r="J358" i="19"/>
  <c r="I358" i="19"/>
  <c r="H358" i="19"/>
  <c r="G358" i="19"/>
  <c r="F358" i="19"/>
  <c r="E358" i="19"/>
  <c r="D358" i="19"/>
  <c r="C358" i="19"/>
  <c r="M357" i="19"/>
  <c r="L357" i="19"/>
  <c r="J357" i="19"/>
  <c r="I357" i="19"/>
  <c r="H357" i="19"/>
  <c r="G357" i="19"/>
  <c r="F357" i="19"/>
  <c r="E357" i="19"/>
  <c r="D357" i="19"/>
  <c r="C357" i="19"/>
  <c r="M356" i="19"/>
  <c r="L356" i="19"/>
  <c r="J356" i="19"/>
  <c r="I356" i="19"/>
  <c r="H356" i="19"/>
  <c r="G356" i="19"/>
  <c r="F356" i="19"/>
  <c r="E356" i="19"/>
  <c r="D356" i="19"/>
  <c r="C356" i="19"/>
  <c r="M355" i="19"/>
  <c r="L355" i="19"/>
  <c r="J355" i="19"/>
  <c r="I355" i="19"/>
  <c r="H355" i="19"/>
  <c r="G355" i="19"/>
  <c r="F355" i="19"/>
  <c r="E355" i="19"/>
  <c r="D355" i="19"/>
  <c r="C355" i="19"/>
  <c r="M354" i="19"/>
  <c r="L354" i="19"/>
  <c r="J354" i="19"/>
  <c r="I354" i="19"/>
  <c r="H354" i="19"/>
  <c r="G354" i="19"/>
  <c r="F354" i="19"/>
  <c r="E354" i="19"/>
  <c r="D354" i="19"/>
  <c r="C354" i="19"/>
  <c r="M353" i="19"/>
  <c r="L353" i="19"/>
  <c r="J353" i="19"/>
  <c r="I353" i="19"/>
  <c r="H353" i="19"/>
  <c r="G353" i="19"/>
  <c r="F353" i="19"/>
  <c r="E353" i="19"/>
  <c r="D353" i="19"/>
  <c r="C353" i="19"/>
  <c r="M352" i="19"/>
  <c r="L352" i="19"/>
  <c r="J352" i="19"/>
  <c r="I352" i="19"/>
  <c r="H352" i="19"/>
  <c r="G352" i="19"/>
  <c r="F352" i="19"/>
  <c r="E352" i="19"/>
  <c r="D352" i="19"/>
  <c r="C352" i="19"/>
  <c r="M351" i="19"/>
  <c r="L351" i="19"/>
  <c r="J351" i="19"/>
  <c r="I351" i="19"/>
  <c r="H351" i="19"/>
  <c r="G351" i="19"/>
  <c r="F351" i="19"/>
  <c r="E351" i="19"/>
  <c r="D351" i="19"/>
  <c r="C351" i="19"/>
  <c r="M350" i="19"/>
  <c r="L350" i="19"/>
  <c r="J350" i="19"/>
  <c r="I350" i="19"/>
  <c r="H350" i="19"/>
  <c r="G350" i="19"/>
  <c r="F350" i="19"/>
  <c r="E350" i="19"/>
  <c r="D350" i="19"/>
  <c r="C350" i="19"/>
  <c r="M349" i="19"/>
  <c r="L349" i="19"/>
  <c r="J349" i="19"/>
  <c r="I349" i="19"/>
  <c r="H349" i="19"/>
  <c r="G349" i="19"/>
  <c r="F349" i="19"/>
  <c r="E349" i="19"/>
  <c r="D349" i="19"/>
  <c r="C349" i="19"/>
  <c r="M348" i="19"/>
  <c r="L348" i="19"/>
  <c r="J348" i="19"/>
  <c r="I348" i="19"/>
  <c r="H348" i="19"/>
  <c r="G348" i="19"/>
  <c r="F348" i="19"/>
  <c r="E348" i="19"/>
  <c r="D348" i="19"/>
  <c r="C348" i="19"/>
  <c r="M347" i="19"/>
  <c r="L347" i="19"/>
  <c r="J347" i="19"/>
  <c r="I347" i="19"/>
  <c r="H347" i="19"/>
  <c r="G347" i="19"/>
  <c r="F347" i="19"/>
  <c r="E347" i="19"/>
  <c r="D347" i="19"/>
  <c r="C347" i="19"/>
  <c r="M346" i="19"/>
  <c r="L346" i="19"/>
  <c r="J346" i="19"/>
  <c r="I346" i="19"/>
  <c r="H346" i="19"/>
  <c r="G346" i="19"/>
  <c r="F346" i="19"/>
  <c r="E346" i="19"/>
  <c r="D346" i="19"/>
  <c r="C346" i="19"/>
  <c r="M345" i="19"/>
  <c r="L345" i="19"/>
  <c r="J345" i="19"/>
  <c r="I345" i="19"/>
  <c r="H345" i="19"/>
  <c r="G345" i="19"/>
  <c r="F345" i="19"/>
  <c r="E345" i="19"/>
  <c r="D345" i="19"/>
  <c r="C345" i="19"/>
  <c r="M344" i="19"/>
  <c r="L344" i="19"/>
  <c r="J344" i="19"/>
  <c r="I344" i="19"/>
  <c r="H344" i="19"/>
  <c r="G344" i="19"/>
  <c r="F344" i="19"/>
  <c r="E344" i="19"/>
  <c r="D344" i="19"/>
  <c r="C344" i="19"/>
  <c r="M343" i="19"/>
  <c r="L343" i="19"/>
  <c r="J343" i="19"/>
  <c r="I343" i="19"/>
  <c r="H343" i="19"/>
  <c r="G343" i="19"/>
  <c r="F343" i="19"/>
  <c r="E343" i="19"/>
  <c r="D343" i="19"/>
  <c r="C343" i="19"/>
  <c r="M342" i="19"/>
  <c r="L342" i="19"/>
  <c r="J342" i="19"/>
  <c r="I342" i="19"/>
  <c r="H342" i="19"/>
  <c r="G342" i="19"/>
  <c r="F342" i="19"/>
  <c r="E342" i="19"/>
  <c r="D342" i="19"/>
  <c r="C342" i="19"/>
  <c r="M341" i="19"/>
  <c r="L341" i="19"/>
  <c r="J341" i="19"/>
  <c r="I341" i="19"/>
  <c r="H341" i="19"/>
  <c r="G341" i="19"/>
  <c r="F341" i="19"/>
  <c r="E341" i="19"/>
  <c r="D341" i="19"/>
  <c r="C341" i="19"/>
  <c r="M340" i="19"/>
  <c r="L340" i="19"/>
  <c r="J340" i="19"/>
  <c r="I340" i="19"/>
  <c r="H340" i="19"/>
  <c r="G340" i="19"/>
  <c r="F340" i="19"/>
  <c r="E340" i="19"/>
  <c r="D340" i="19"/>
  <c r="C340" i="19"/>
  <c r="M339" i="19"/>
  <c r="L339" i="19"/>
  <c r="J339" i="19"/>
  <c r="I339" i="19"/>
  <c r="H339" i="19"/>
  <c r="G339" i="19"/>
  <c r="F339" i="19"/>
  <c r="E339" i="19"/>
  <c r="D339" i="19"/>
  <c r="C339" i="19"/>
  <c r="M338" i="19"/>
  <c r="L338" i="19"/>
  <c r="J338" i="19"/>
  <c r="I338" i="19"/>
  <c r="H338" i="19"/>
  <c r="G338" i="19"/>
  <c r="F338" i="19"/>
  <c r="E338" i="19"/>
  <c r="D338" i="19"/>
  <c r="C338" i="19"/>
  <c r="M337" i="19"/>
  <c r="L337" i="19"/>
  <c r="J337" i="19"/>
  <c r="I337" i="19"/>
  <c r="H337" i="19"/>
  <c r="G337" i="19"/>
  <c r="F337" i="19"/>
  <c r="E337" i="19"/>
  <c r="D337" i="19"/>
  <c r="C337" i="19"/>
  <c r="M336" i="19"/>
  <c r="L336" i="19"/>
  <c r="J336" i="19"/>
  <c r="I336" i="19"/>
  <c r="H336" i="19"/>
  <c r="G336" i="19"/>
  <c r="F336" i="19"/>
  <c r="E336" i="19"/>
  <c r="D336" i="19"/>
  <c r="C336" i="19"/>
  <c r="M335" i="19"/>
  <c r="L335" i="19"/>
  <c r="J335" i="19"/>
  <c r="I335" i="19"/>
  <c r="H335" i="19"/>
  <c r="G335" i="19"/>
  <c r="F335" i="19"/>
  <c r="E335" i="19"/>
  <c r="D335" i="19"/>
  <c r="C335" i="19"/>
  <c r="M334" i="19"/>
  <c r="L334" i="19"/>
  <c r="J334" i="19"/>
  <c r="I334" i="19"/>
  <c r="H334" i="19"/>
  <c r="G334" i="19"/>
  <c r="F334" i="19"/>
  <c r="E334" i="19"/>
  <c r="D334" i="19"/>
  <c r="C334" i="19"/>
  <c r="M333" i="19"/>
  <c r="L333" i="19"/>
  <c r="J333" i="19"/>
  <c r="I333" i="19"/>
  <c r="H333" i="19"/>
  <c r="G333" i="19"/>
  <c r="F333" i="19"/>
  <c r="E333" i="19"/>
  <c r="D333" i="19"/>
  <c r="C333" i="19"/>
  <c r="M332" i="19"/>
  <c r="L332" i="19"/>
  <c r="J332" i="19"/>
  <c r="I332" i="19"/>
  <c r="H332" i="19"/>
  <c r="G332" i="19"/>
  <c r="F332" i="19"/>
  <c r="E332" i="19"/>
  <c r="D332" i="19"/>
  <c r="C332" i="19"/>
  <c r="M331" i="19"/>
  <c r="L331" i="19"/>
  <c r="J331" i="19"/>
  <c r="I331" i="19"/>
  <c r="H331" i="19"/>
  <c r="G331" i="19"/>
  <c r="F331" i="19"/>
  <c r="E331" i="19"/>
  <c r="D331" i="19"/>
  <c r="C331" i="19"/>
  <c r="M330" i="19"/>
  <c r="L330" i="19"/>
  <c r="J330" i="19"/>
  <c r="I330" i="19"/>
  <c r="H330" i="19"/>
  <c r="G330" i="19"/>
  <c r="F330" i="19"/>
  <c r="E330" i="19"/>
  <c r="D330" i="19"/>
  <c r="C330" i="19"/>
  <c r="M329" i="19"/>
  <c r="L329" i="19"/>
  <c r="J329" i="19"/>
  <c r="I329" i="19"/>
  <c r="H329" i="19"/>
  <c r="G329" i="19"/>
  <c r="F329" i="19"/>
  <c r="E329" i="19"/>
  <c r="D329" i="19"/>
  <c r="C329" i="19"/>
  <c r="M328" i="19"/>
  <c r="L328" i="19"/>
  <c r="J328" i="19"/>
  <c r="I328" i="19"/>
  <c r="H328" i="19"/>
  <c r="G328" i="19"/>
  <c r="F328" i="19"/>
  <c r="E328" i="19"/>
  <c r="D328" i="19"/>
  <c r="C328" i="19"/>
  <c r="M327" i="19"/>
  <c r="L327" i="19"/>
  <c r="J327" i="19"/>
  <c r="I327" i="19"/>
  <c r="H327" i="19"/>
  <c r="G327" i="19"/>
  <c r="F327" i="19"/>
  <c r="E327" i="19"/>
  <c r="D327" i="19"/>
  <c r="C327" i="19"/>
  <c r="M326" i="19"/>
  <c r="L326" i="19"/>
  <c r="J326" i="19"/>
  <c r="I326" i="19"/>
  <c r="H326" i="19"/>
  <c r="G326" i="19"/>
  <c r="F326" i="19"/>
  <c r="E326" i="19"/>
  <c r="D326" i="19"/>
  <c r="C326" i="19"/>
  <c r="M325" i="19"/>
  <c r="L325" i="19"/>
  <c r="J325" i="19"/>
  <c r="I325" i="19"/>
  <c r="H325" i="19"/>
  <c r="G325" i="19"/>
  <c r="F325" i="19"/>
  <c r="E325" i="19"/>
  <c r="D325" i="19"/>
  <c r="C325" i="19"/>
  <c r="M324" i="19"/>
  <c r="L324" i="19"/>
  <c r="J324" i="19"/>
  <c r="I324" i="19"/>
  <c r="H324" i="19"/>
  <c r="G324" i="19"/>
  <c r="F324" i="19"/>
  <c r="E324" i="19"/>
  <c r="D324" i="19"/>
  <c r="C324" i="19"/>
  <c r="M323" i="19"/>
  <c r="L323" i="19"/>
  <c r="J323" i="19"/>
  <c r="I323" i="19"/>
  <c r="H323" i="19"/>
  <c r="G323" i="19"/>
  <c r="F323" i="19"/>
  <c r="E323" i="19"/>
  <c r="D323" i="19"/>
  <c r="C323" i="19"/>
  <c r="M322" i="19"/>
  <c r="L322" i="19"/>
  <c r="J322" i="19"/>
  <c r="I322" i="19"/>
  <c r="H322" i="19"/>
  <c r="G322" i="19"/>
  <c r="F322" i="19"/>
  <c r="E322" i="19"/>
  <c r="D322" i="19"/>
  <c r="C322" i="19"/>
  <c r="M321" i="19"/>
  <c r="L321" i="19"/>
  <c r="J321" i="19"/>
  <c r="I321" i="19"/>
  <c r="H321" i="19"/>
  <c r="G321" i="19"/>
  <c r="F321" i="19"/>
  <c r="E321" i="19"/>
  <c r="D321" i="19"/>
  <c r="C321" i="19"/>
  <c r="M320" i="19"/>
  <c r="L320" i="19"/>
  <c r="J320" i="19"/>
  <c r="I320" i="19"/>
  <c r="H320" i="19"/>
  <c r="G320" i="19"/>
  <c r="F320" i="19"/>
  <c r="E320" i="19"/>
  <c r="D320" i="19"/>
  <c r="C320" i="19"/>
  <c r="M319" i="19"/>
  <c r="L319" i="19"/>
  <c r="J319" i="19"/>
  <c r="I319" i="19"/>
  <c r="H319" i="19"/>
  <c r="G319" i="19"/>
  <c r="F319" i="19"/>
  <c r="E319" i="19"/>
  <c r="D319" i="19"/>
  <c r="C319" i="19"/>
  <c r="M318" i="19"/>
  <c r="L318" i="19"/>
  <c r="J318" i="19"/>
  <c r="I318" i="19"/>
  <c r="H318" i="19"/>
  <c r="G318" i="19"/>
  <c r="F318" i="19"/>
  <c r="E318" i="19"/>
  <c r="D318" i="19"/>
  <c r="C318" i="19"/>
  <c r="M317" i="19"/>
  <c r="L317" i="19"/>
  <c r="J317" i="19"/>
  <c r="I317" i="19"/>
  <c r="H317" i="19"/>
  <c r="G317" i="19"/>
  <c r="F317" i="19"/>
  <c r="E317" i="19"/>
  <c r="D317" i="19"/>
  <c r="C317" i="19"/>
  <c r="M316" i="19"/>
  <c r="L316" i="19"/>
  <c r="J316" i="19"/>
  <c r="I316" i="19"/>
  <c r="H316" i="19"/>
  <c r="G316" i="19"/>
  <c r="F316" i="19"/>
  <c r="E316" i="19"/>
  <c r="D316" i="19"/>
  <c r="C316" i="19"/>
  <c r="M315" i="19"/>
  <c r="L315" i="19"/>
  <c r="J315" i="19"/>
  <c r="I315" i="19"/>
  <c r="H315" i="19"/>
  <c r="G315" i="19"/>
  <c r="F315" i="19"/>
  <c r="E315" i="19"/>
  <c r="D315" i="19"/>
  <c r="C315" i="19"/>
  <c r="M314" i="19"/>
  <c r="L314" i="19"/>
  <c r="J314" i="19"/>
  <c r="I314" i="19"/>
  <c r="H314" i="19"/>
  <c r="G314" i="19"/>
  <c r="F314" i="19"/>
  <c r="E314" i="19"/>
  <c r="D314" i="19"/>
  <c r="C314" i="19"/>
  <c r="M313" i="19"/>
  <c r="L313" i="19"/>
  <c r="J313" i="19"/>
  <c r="I313" i="19"/>
  <c r="H313" i="19"/>
  <c r="G313" i="19"/>
  <c r="F313" i="19"/>
  <c r="E313" i="19"/>
  <c r="D313" i="19"/>
  <c r="C313" i="19"/>
  <c r="M312" i="19"/>
  <c r="L312" i="19"/>
  <c r="J312" i="19"/>
  <c r="I312" i="19"/>
  <c r="H312" i="19"/>
  <c r="G312" i="19"/>
  <c r="F312" i="19"/>
  <c r="E312" i="19"/>
  <c r="D312" i="19"/>
  <c r="C312" i="19"/>
  <c r="M311" i="19"/>
  <c r="L311" i="19"/>
  <c r="J311" i="19"/>
  <c r="I311" i="19"/>
  <c r="H311" i="19"/>
  <c r="G311" i="19"/>
  <c r="F311" i="19"/>
  <c r="E311" i="19"/>
  <c r="D311" i="19"/>
  <c r="C311" i="19"/>
  <c r="M310" i="19"/>
  <c r="L310" i="19"/>
  <c r="J310" i="19"/>
  <c r="I310" i="19"/>
  <c r="H310" i="19"/>
  <c r="G310" i="19"/>
  <c r="F310" i="19"/>
  <c r="E310" i="19"/>
  <c r="D310" i="19"/>
  <c r="C310" i="19"/>
  <c r="M309" i="19"/>
  <c r="L309" i="19"/>
  <c r="J309" i="19"/>
  <c r="I309" i="19"/>
  <c r="H309" i="19"/>
  <c r="G309" i="19"/>
  <c r="F309" i="19"/>
  <c r="E309" i="19"/>
  <c r="D309" i="19"/>
  <c r="C309" i="19"/>
  <c r="M308" i="19"/>
  <c r="L308" i="19"/>
  <c r="J308" i="19"/>
  <c r="I308" i="19"/>
  <c r="H308" i="19"/>
  <c r="G308" i="19"/>
  <c r="F308" i="19"/>
  <c r="E308" i="19"/>
  <c r="D308" i="19"/>
  <c r="C308" i="19"/>
  <c r="M307" i="19"/>
  <c r="L307" i="19"/>
  <c r="J307" i="19"/>
  <c r="I307" i="19"/>
  <c r="H307" i="19"/>
  <c r="G307" i="19"/>
  <c r="F307" i="19"/>
  <c r="E307" i="19"/>
  <c r="D307" i="19"/>
  <c r="C307" i="19"/>
  <c r="M306" i="19"/>
  <c r="L306" i="19"/>
  <c r="J306" i="19"/>
  <c r="I306" i="19"/>
  <c r="H306" i="19"/>
  <c r="G306" i="19"/>
  <c r="F306" i="19"/>
  <c r="E306" i="19"/>
  <c r="D306" i="19"/>
  <c r="C306" i="19"/>
  <c r="M305" i="19"/>
  <c r="L305" i="19"/>
  <c r="J305" i="19"/>
  <c r="I305" i="19"/>
  <c r="H305" i="19"/>
  <c r="G305" i="19"/>
  <c r="F305" i="19"/>
  <c r="E305" i="19"/>
  <c r="D305" i="19"/>
  <c r="C305" i="19"/>
  <c r="M304" i="19"/>
  <c r="L304" i="19"/>
  <c r="J304" i="19"/>
  <c r="I304" i="19"/>
  <c r="H304" i="19"/>
  <c r="G304" i="19"/>
  <c r="F304" i="19"/>
  <c r="E304" i="19"/>
  <c r="D304" i="19"/>
  <c r="C304" i="19"/>
  <c r="M303" i="19"/>
  <c r="L303" i="19"/>
  <c r="J303" i="19"/>
  <c r="I303" i="19"/>
  <c r="H303" i="19"/>
  <c r="G303" i="19"/>
  <c r="F303" i="19"/>
  <c r="E303" i="19"/>
  <c r="D303" i="19"/>
  <c r="C303" i="19"/>
  <c r="M302" i="19"/>
  <c r="L302" i="19"/>
  <c r="J302" i="19"/>
  <c r="I302" i="19"/>
  <c r="H302" i="19"/>
  <c r="G302" i="19"/>
  <c r="F302" i="19"/>
  <c r="E302" i="19"/>
  <c r="D302" i="19"/>
  <c r="C302" i="19"/>
  <c r="M301" i="19"/>
  <c r="L301" i="19"/>
  <c r="J301" i="19"/>
  <c r="I301" i="19"/>
  <c r="H301" i="19"/>
  <c r="G301" i="19"/>
  <c r="F301" i="19"/>
  <c r="E301" i="19"/>
  <c r="D301" i="19"/>
  <c r="C301" i="19"/>
  <c r="M300" i="19"/>
  <c r="L300" i="19"/>
  <c r="J300" i="19"/>
  <c r="I300" i="19"/>
  <c r="H300" i="19"/>
  <c r="G300" i="19"/>
  <c r="F300" i="19"/>
  <c r="E300" i="19"/>
  <c r="D300" i="19"/>
  <c r="C300" i="19"/>
  <c r="M299" i="19"/>
  <c r="L299" i="19"/>
  <c r="J299" i="19"/>
  <c r="I299" i="19"/>
  <c r="H299" i="19"/>
  <c r="G299" i="19"/>
  <c r="F299" i="19"/>
  <c r="E299" i="19"/>
  <c r="D299" i="19"/>
  <c r="C299" i="19"/>
  <c r="M298" i="19"/>
  <c r="L298" i="19"/>
  <c r="J298" i="19"/>
  <c r="I298" i="19"/>
  <c r="H298" i="19"/>
  <c r="G298" i="19"/>
  <c r="F298" i="19"/>
  <c r="E298" i="19"/>
  <c r="D298" i="19"/>
  <c r="C298" i="19"/>
  <c r="M297" i="19"/>
  <c r="L297" i="19"/>
  <c r="J297" i="19"/>
  <c r="I297" i="19"/>
  <c r="H297" i="19"/>
  <c r="G297" i="19"/>
  <c r="F297" i="19"/>
  <c r="E297" i="19"/>
  <c r="D297" i="19"/>
  <c r="C297" i="19"/>
  <c r="M296" i="19"/>
  <c r="L296" i="19"/>
  <c r="J296" i="19"/>
  <c r="I296" i="19"/>
  <c r="H296" i="19"/>
  <c r="G296" i="19"/>
  <c r="F296" i="19"/>
  <c r="E296" i="19"/>
  <c r="D296" i="19"/>
  <c r="C296" i="19"/>
  <c r="M295" i="19"/>
  <c r="L295" i="19"/>
  <c r="J295" i="19"/>
  <c r="I295" i="19"/>
  <c r="H295" i="19"/>
  <c r="G295" i="19"/>
  <c r="F295" i="19"/>
  <c r="E295" i="19"/>
  <c r="D295" i="19"/>
  <c r="C295" i="19"/>
  <c r="M294" i="19"/>
  <c r="L294" i="19"/>
  <c r="J294" i="19"/>
  <c r="I294" i="19"/>
  <c r="H294" i="19"/>
  <c r="G294" i="19"/>
  <c r="F294" i="19"/>
  <c r="E294" i="19"/>
  <c r="D294" i="19"/>
  <c r="C294" i="19"/>
  <c r="M293" i="19"/>
  <c r="L293" i="19"/>
  <c r="J293" i="19"/>
  <c r="I293" i="19"/>
  <c r="H293" i="19"/>
  <c r="G293" i="19"/>
  <c r="F293" i="19"/>
  <c r="E293" i="19"/>
  <c r="D293" i="19"/>
  <c r="C293" i="19"/>
  <c r="A290" i="19"/>
  <c r="D104" i="19"/>
  <c r="B388" i="19" s="1"/>
  <c r="D103" i="19"/>
  <c r="B387" i="19" s="1"/>
  <c r="D102" i="19"/>
  <c r="B386" i="19" s="1"/>
  <c r="D101" i="19"/>
  <c r="B385" i="19" s="1"/>
  <c r="D100" i="19"/>
  <c r="B384" i="19" s="1"/>
  <c r="D99" i="19"/>
  <c r="B383" i="19" s="1"/>
  <c r="D98" i="19"/>
  <c r="B382" i="19" s="1"/>
  <c r="D97" i="19"/>
  <c r="B381" i="19" s="1"/>
  <c r="D96" i="19"/>
  <c r="B380" i="19" s="1"/>
  <c r="D95" i="19"/>
  <c r="B379" i="19" s="1"/>
  <c r="D94" i="19"/>
  <c r="B378" i="19" s="1"/>
  <c r="D93" i="19"/>
  <c r="B377" i="19" s="1"/>
  <c r="D92" i="19"/>
  <c r="B376" i="19" s="1"/>
  <c r="D91" i="19"/>
  <c r="B375" i="19" s="1"/>
  <c r="D90" i="19"/>
  <c r="B374" i="19" s="1"/>
  <c r="D89" i="19"/>
  <c r="B373" i="19" s="1"/>
  <c r="D88" i="19"/>
  <c r="B372" i="19" s="1"/>
  <c r="D87" i="19"/>
  <c r="B371" i="19" s="1"/>
  <c r="D86" i="19"/>
  <c r="B370" i="19" s="1"/>
  <c r="D85" i="19"/>
  <c r="B369" i="19" s="1"/>
  <c r="D84" i="19"/>
  <c r="B368" i="19" s="1"/>
  <c r="D83" i="19"/>
  <c r="B367" i="19" s="1"/>
  <c r="D82" i="19"/>
  <c r="B366" i="19" s="1"/>
  <c r="D81" i="19"/>
  <c r="B365" i="19" s="1"/>
  <c r="D80" i="19"/>
  <c r="B364" i="19" s="1"/>
  <c r="D79" i="19"/>
  <c r="B363" i="19" s="1"/>
  <c r="D78" i="19"/>
  <c r="B362" i="19" s="1"/>
  <c r="D77" i="19"/>
  <c r="B361" i="19" s="1"/>
  <c r="D76" i="19"/>
  <c r="B360" i="19" s="1"/>
  <c r="D75" i="19"/>
  <c r="B359" i="19" s="1"/>
  <c r="D74" i="19"/>
  <c r="B358" i="19" s="1"/>
  <c r="D73" i="19"/>
  <c r="B357" i="19" s="1"/>
  <c r="D72" i="19"/>
  <c r="B356" i="19" s="1"/>
  <c r="D71" i="19"/>
  <c r="B355" i="19" s="1"/>
  <c r="D70" i="19"/>
  <c r="B354" i="19" s="1"/>
  <c r="D69" i="19"/>
  <c r="B353" i="19" s="1"/>
  <c r="D68" i="19"/>
  <c r="B352" i="19" s="1"/>
  <c r="D67" i="19"/>
  <c r="B351" i="19" s="1"/>
  <c r="D66" i="19"/>
  <c r="B350" i="19" s="1"/>
  <c r="D65" i="19"/>
  <c r="B349" i="19" s="1"/>
  <c r="D64" i="19"/>
  <c r="B348" i="19" s="1"/>
  <c r="D63" i="19"/>
  <c r="B347" i="19" s="1"/>
  <c r="D62" i="19"/>
  <c r="B346" i="19" s="1"/>
  <c r="D61" i="19"/>
  <c r="B345" i="19" s="1"/>
  <c r="D60" i="19"/>
  <c r="B344" i="19" s="1"/>
  <c r="D59" i="19"/>
  <c r="B343" i="19" s="1"/>
  <c r="D58" i="19"/>
  <c r="B342" i="19" s="1"/>
  <c r="D57" i="19"/>
  <c r="B341" i="19" s="1"/>
  <c r="D56" i="19"/>
  <c r="B340" i="19" s="1"/>
  <c r="D55" i="19"/>
  <c r="B339" i="19" s="1"/>
  <c r="D54" i="19"/>
  <c r="B338" i="19" s="1"/>
  <c r="D53" i="19"/>
  <c r="B337" i="19" s="1"/>
  <c r="D52" i="19"/>
  <c r="B336" i="19" s="1"/>
  <c r="D51" i="19"/>
  <c r="B335" i="19" s="1"/>
  <c r="D50" i="19"/>
  <c r="B334" i="19" s="1"/>
  <c r="D49" i="19"/>
  <c r="B333" i="19" s="1"/>
  <c r="D48" i="19"/>
  <c r="B332" i="19" s="1"/>
  <c r="D47" i="19"/>
  <c r="B331" i="19" s="1"/>
  <c r="D46" i="19"/>
  <c r="B330" i="19" s="1"/>
  <c r="D45" i="19"/>
  <c r="B329" i="19" s="1"/>
  <c r="D44" i="19"/>
  <c r="B328" i="19" s="1"/>
  <c r="D43" i="19"/>
  <c r="B327" i="19" s="1"/>
  <c r="D42" i="19"/>
  <c r="B326" i="19" s="1"/>
  <c r="D41" i="19"/>
  <c r="B325" i="19" s="1"/>
  <c r="D40" i="19"/>
  <c r="B324" i="19" s="1"/>
  <c r="D39" i="19"/>
  <c r="B323" i="19" s="1"/>
  <c r="D38" i="19"/>
  <c r="B322" i="19" s="1"/>
  <c r="D37" i="19"/>
  <c r="B321" i="19" s="1"/>
  <c r="D36" i="19"/>
  <c r="B320" i="19" s="1"/>
  <c r="D35" i="19"/>
  <c r="B319" i="19" s="1"/>
  <c r="D34" i="19"/>
  <c r="B318" i="19" s="1"/>
  <c r="D33" i="19"/>
  <c r="B317" i="19" s="1"/>
  <c r="D32" i="19"/>
  <c r="B316" i="19" s="1"/>
  <c r="D31" i="19"/>
  <c r="B315" i="19" s="1"/>
  <c r="D30" i="19"/>
  <c r="B314" i="19" s="1"/>
  <c r="D29" i="19"/>
  <c r="B313" i="19" s="1"/>
  <c r="D28" i="19"/>
  <c r="B312" i="19" s="1"/>
  <c r="D27" i="19"/>
  <c r="B311" i="19" s="1"/>
  <c r="D26" i="19"/>
  <c r="B310" i="19" s="1"/>
  <c r="D25" i="19"/>
  <c r="B309" i="19" s="1"/>
  <c r="D24" i="19"/>
  <c r="B308" i="19" s="1"/>
  <c r="D23" i="19"/>
  <c r="B307" i="19" s="1"/>
  <c r="D22" i="19"/>
  <c r="B306" i="19" s="1"/>
  <c r="D21" i="19"/>
  <c r="B305" i="19" s="1"/>
  <c r="D20" i="19"/>
  <c r="B304" i="19" s="1"/>
  <c r="D19" i="19"/>
  <c r="B303" i="19" s="1"/>
  <c r="D18" i="19"/>
  <c r="B302" i="19" s="1"/>
  <c r="D17" i="19"/>
  <c r="B301" i="19" s="1"/>
  <c r="D16" i="19"/>
  <c r="B300" i="19" s="1"/>
  <c r="D15" i="19"/>
  <c r="B299" i="19" s="1"/>
  <c r="D14" i="19"/>
  <c r="B298" i="19" s="1"/>
  <c r="D13" i="19"/>
  <c r="B297" i="19" s="1"/>
  <c r="D12" i="19"/>
  <c r="B296" i="19" s="1"/>
  <c r="D11" i="19"/>
  <c r="B295" i="19" s="1"/>
  <c r="D10" i="19"/>
  <c r="B294" i="19" s="1"/>
  <c r="D9" i="19"/>
  <c r="B293" i="19" s="1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O7" i="19"/>
  <c r="N7" i="19"/>
  <c r="M7" i="19"/>
  <c r="L7" i="19"/>
  <c r="K7" i="19"/>
  <c r="J7" i="19"/>
  <c r="I7" i="19"/>
  <c r="H7" i="19"/>
  <c r="G7" i="19"/>
  <c r="F7" i="19"/>
  <c r="E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O6" i="19"/>
  <c r="N6" i="19"/>
  <c r="M6" i="19"/>
  <c r="L6" i="19"/>
  <c r="K6" i="19"/>
  <c r="J6" i="19"/>
  <c r="I6" i="19"/>
  <c r="H6" i="19"/>
  <c r="G6" i="19"/>
  <c r="F6" i="19"/>
  <c r="E6" i="19"/>
  <c r="M388" i="18"/>
  <c r="L388" i="18"/>
  <c r="J388" i="18"/>
  <c r="I388" i="18"/>
  <c r="H388" i="18"/>
  <c r="G388" i="18"/>
  <c r="F388" i="18"/>
  <c r="E388" i="18"/>
  <c r="D388" i="18"/>
  <c r="C388" i="18"/>
  <c r="M387" i="18"/>
  <c r="L387" i="18"/>
  <c r="J387" i="18"/>
  <c r="I387" i="18"/>
  <c r="H387" i="18"/>
  <c r="G387" i="18"/>
  <c r="F387" i="18"/>
  <c r="E387" i="18"/>
  <c r="D387" i="18"/>
  <c r="C387" i="18"/>
  <c r="M386" i="18"/>
  <c r="L386" i="18"/>
  <c r="J386" i="18"/>
  <c r="I386" i="18"/>
  <c r="H386" i="18"/>
  <c r="G386" i="18"/>
  <c r="F386" i="18"/>
  <c r="E386" i="18"/>
  <c r="D386" i="18"/>
  <c r="C386" i="18"/>
  <c r="M385" i="18"/>
  <c r="L385" i="18"/>
  <c r="J385" i="18"/>
  <c r="I385" i="18"/>
  <c r="H385" i="18"/>
  <c r="G385" i="18"/>
  <c r="F385" i="18"/>
  <c r="E385" i="18"/>
  <c r="D385" i="18"/>
  <c r="C385" i="18"/>
  <c r="M384" i="18"/>
  <c r="L384" i="18"/>
  <c r="J384" i="18"/>
  <c r="I384" i="18"/>
  <c r="H384" i="18"/>
  <c r="G384" i="18"/>
  <c r="F384" i="18"/>
  <c r="E384" i="18"/>
  <c r="D384" i="18"/>
  <c r="C384" i="18"/>
  <c r="M383" i="18"/>
  <c r="L383" i="18"/>
  <c r="J383" i="18"/>
  <c r="I383" i="18"/>
  <c r="H383" i="18"/>
  <c r="G383" i="18"/>
  <c r="F383" i="18"/>
  <c r="E383" i="18"/>
  <c r="D383" i="18"/>
  <c r="C383" i="18"/>
  <c r="M382" i="18"/>
  <c r="L382" i="18"/>
  <c r="J382" i="18"/>
  <c r="I382" i="18"/>
  <c r="H382" i="18"/>
  <c r="G382" i="18"/>
  <c r="F382" i="18"/>
  <c r="E382" i="18"/>
  <c r="D382" i="18"/>
  <c r="C382" i="18"/>
  <c r="M381" i="18"/>
  <c r="L381" i="18"/>
  <c r="J381" i="18"/>
  <c r="I381" i="18"/>
  <c r="H381" i="18"/>
  <c r="G381" i="18"/>
  <c r="F381" i="18"/>
  <c r="E381" i="18"/>
  <c r="D381" i="18"/>
  <c r="C381" i="18"/>
  <c r="M380" i="18"/>
  <c r="L380" i="18"/>
  <c r="J380" i="18"/>
  <c r="I380" i="18"/>
  <c r="H380" i="18"/>
  <c r="G380" i="18"/>
  <c r="F380" i="18"/>
  <c r="E380" i="18"/>
  <c r="D380" i="18"/>
  <c r="C380" i="18"/>
  <c r="M379" i="18"/>
  <c r="L379" i="18"/>
  <c r="J379" i="18"/>
  <c r="I379" i="18"/>
  <c r="H379" i="18"/>
  <c r="G379" i="18"/>
  <c r="F379" i="18"/>
  <c r="E379" i="18"/>
  <c r="D379" i="18"/>
  <c r="C379" i="18"/>
  <c r="M378" i="18"/>
  <c r="L378" i="18"/>
  <c r="J378" i="18"/>
  <c r="I378" i="18"/>
  <c r="H378" i="18"/>
  <c r="G378" i="18"/>
  <c r="F378" i="18"/>
  <c r="E378" i="18"/>
  <c r="D378" i="18"/>
  <c r="C378" i="18"/>
  <c r="M377" i="18"/>
  <c r="L377" i="18"/>
  <c r="J377" i="18"/>
  <c r="I377" i="18"/>
  <c r="H377" i="18"/>
  <c r="G377" i="18"/>
  <c r="F377" i="18"/>
  <c r="E377" i="18"/>
  <c r="D377" i="18"/>
  <c r="C377" i="18"/>
  <c r="M376" i="18"/>
  <c r="L376" i="18"/>
  <c r="J376" i="18"/>
  <c r="I376" i="18"/>
  <c r="H376" i="18"/>
  <c r="G376" i="18"/>
  <c r="F376" i="18"/>
  <c r="E376" i="18"/>
  <c r="D376" i="18"/>
  <c r="C376" i="18"/>
  <c r="M375" i="18"/>
  <c r="L375" i="18"/>
  <c r="J375" i="18"/>
  <c r="I375" i="18"/>
  <c r="H375" i="18"/>
  <c r="G375" i="18"/>
  <c r="F375" i="18"/>
  <c r="E375" i="18"/>
  <c r="D375" i="18"/>
  <c r="C375" i="18"/>
  <c r="M374" i="18"/>
  <c r="L374" i="18"/>
  <c r="J374" i="18"/>
  <c r="I374" i="18"/>
  <c r="H374" i="18"/>
  <c r="G374" i="18"/>
  <c r="F374" i="18"/>
  <c r="E374" i="18"/>
  <c r="D374" i="18"/>
  <c r="C374" i="18"/>
  <c r="M373" i="18"/>
  <c r="L373" i="18"/>
  <c r="J373" i="18"/>
  <c r="I373" i="18"/>
  <c r="H373" i="18"/>
  <c r="G373" i="18"/>
  <c r="F373" i="18"/>
  <c r="E373" i="18"/>
  <c r="D373" i="18"/>
  <c r="C373" i="18"/>
  <c r="M372" i="18"/>
  <c r="L372" i="18"/>
  <c r="J372" i="18"/>
  <c r="I372" i="18"/>
  <c r="H372" i="18"/>
  <c r="G372" i="18"/>
  <c r="F372" i="18"/>
  <c r="E372" i="18"/>
  <c r="D372" i="18"/>
  <c r="C372" i="18"/>
  <c r="M371" i="18"/>
  <c r="L371" i="18"/>
  <c r="J371" i="18"/>
  <c r="I371" i="18"/>
  <c r="H371" i="18"/>
  <c r="G371" i="18"/>
  <c r="F371" i="18"/>
  <c r="E371" i="18"/>
  <c r="D371" i="18"/>
  <c r="C371" i="18"/>
  <c r="M370" i="18"/>
  <c r="L370" i="18"/>
  <c r="J370" i="18"/>
  <c r="I370" i="18"/>
  <c r="H370" i="18"/>
  <c r="G370" i="18"/>
  <c r="F370" i="18"/>
  <c r="E370" i="18"/>
  <c r="D370" i="18"/>
  <c r="C370" i="18"/>
  <c r="M369" i="18"/>
  <c r="L369" i="18"/>
  <c r="J369" i="18"/>
  <c r="I369" i="18"/>
  <c r="H369" i="18"/>
  <c r="G369" i="18"/>
  <c r="F369" i="18"/>
  <c r="E369" i="18"/>
  <c r="D369" i="18"/>
  <c r="C369" i="18"/>
  <c r="M368" i="18"/>
  <c r="L368" i="18"/>
  <c r="J368" i="18"/>
  <c r="I368" i="18"/>
  <c r="H368" i="18"/>
  <c r="G368" i="18"/>
  <c r="F368" i="18"/>
  <c r="E368" i="18"/>
  <c r="D368" i="18"/>
  <c r="C368" i="18"/>
  <c r="M367" i="18"/>
  <c r="L367" i="18"/>
  <c r="J367" i="18"/>
  <c r="I367" i="18"/>
  <c r="H367" i="18"/>
  <c r="G367" i="18"/>
  <c r="F367" i="18"/>
  <c r="E367" i="18"/>
  <c r="D367" i="18"/>
  <c r="C367" i="18"/>
  <c r="M366" i="18"/>
  <c r="L366" i="18"/>
  <c r="J366" i="18"/>
  <c r="I366" i="18"/>
  <c r="H366" i="18"/>
  <c r="G366" i="18"/>
  <c r="F366" i="18"/>
  <c r="E366" i="18"/>
  <c r="D366" i="18"/>
  <c r="C366" i="18"/>
  <c r="M365" i="18"/>
  <c r="L365" i="18"/>
  <c r="J365" i="18"/>
  <c r="I365" i="18"/>
  <c r="H365" i="18"/>
  <c r="G365" i="18"/>
  <c r="F365" i="18"/>
  <c r="E365" i="18"/>
  <c r="D365" i="18"/>
  <c r="C365" i="18"/>
  <c r="M364" i="18"/>
  <c r="L364" i="18"/>
  <c r="J364" i="18"/>
  <c r="I364" i="18"/>
  <c r="H364" i="18"/>
  <c r="G364" i="18"/>
  <c r="F364" i="18"/>
  <c r="E364" i="18"/>
  <c r="D364" i="18"/>
  <c r="C364" i="18"/>
  <c r="M363" i="18"/>
  <c r="L363" i="18"/>
  <c r="J363" i="18"/>
  <c r="I363" i="18"/>
  <c r="H363" i="18"/>
  <c r="G363" i="18"/>
  <c r="F363" i="18"/>
  <c r="E363" i="18"/>
  <c r="D363" i="18"/>
  <c r="C363" i="18"/>
  <c r="M362" i="18"/>
  <c r="L362" i="18"/>
  <c r="J362" i="18"/>
  <c r="I362" i="18"/>
  <c r="H362" i="18"/>
  <c r="G362" i="18"/>
  <c r="F362" i="18"/>
  <c r="E362" i="18"/>
  <c r="D362" i="18"/>
  <c r="C362" i="18"/>
  <c r="M361" i="18"/>
  <c r="L361" i="18"/>
  <c r="J361" i="18"/>
  <c r="I361" i="18"/>
  <c r="H361" i="18"/>
  <c r="G361" i="18"/>
  <c r="F361" i="18"/>
  <c r="E361" i="18"/>
  <c r="D361" i="18"/>
  <c r="C361" i="18"/>
  <c r="M360" i="18"/>
  <c r="L360" i="18"/>
  <c r="J360" i="18"/>
  <c r="I360" i="18"/>
  <c r="H360" i="18"/>
  <c r="G360" i="18"/>
  <c r="F360" i="18"/>
  <c r="E360" i="18"/>
  <c r="D360" i="18"/>
  <c r="C360" i="18"/>
  <c r="M359" i="18"/>
  <c r="L359" i="18"/>
  <c r="J359" i="18"/>
  <c r="I359" i="18"/>
  <c r="H359" i="18"/>
  <c r="G359" i="18"/>
  <c r="F359" i="18"/>
  <c r="E359" i="18"/>
  <c r="D359" i="18"/>
  <c r="C359" i="18"/>
  <c r="M358" i="18"/>
  <c r="L358" i="18"/>
  <c r="J358" i="18"/>
  <c r="I358" i="18"/>
  <c r="H358" i="18"/>
  <c r="G358" i="18"/>
  <c r="F358" i="18"/>
  <c r="E358" i="18"/>
  <c r="D358" i="18"/>
  <c r="C358" i="18"/>
  <c r="M357" i="18"/>
  <c r="L357" i="18"/>
  <c r="J357" i="18"/>
  <c r="I357" i="18"/>
  <c r="H357" i="18"/>
  <c r="G357" i="18"/>
  <c r="F357" i="18"/>
  <c r="E357" i="18"/>
  <c r="D357" i="18"/>
  <c r="C357" i="18"/>
  <c r="M356" i="18"/>
  <c r="L356" i="18"/>
  <c r="J356" i="18"/>
  <c r="I356" i="18"/>
  <c r="H356" i="18"/>
  <c r="G356" i="18"/>
  <c r="F356" i="18"/>
  <c r="E356" i="18"/>
  <c r="D356" i="18"/>
  <c r="C356" i="18"/>
  <c r="M355" i="18"/>
  <c r="L355" i="18"/>
  <c r="J355" i="18"/>
  <c r="I355" i="18"/>
  <c r="H355" i="18"/>
  <c r="G355" i="18"/>
  <c r="F355" i="18"/>
  <c r="E355" i="18"/>
  <c r="D355" i="18"/>
  <c r="C355" i="18"/>
  <c r="M354" i="18"/>
  <c r="L354" i="18"/>
  <c r="J354" i="18"/>
  <c r="I354" i="18"/>
  <c r="H354" i="18"/>
  <c r="G354" i="18"/>
  <c r="F354" i="18"/>
  <c r="E354" i="18"/>
  <c r="D354" i="18"/>
  <c r="C354" i="18"/>
  <c r="M353" i="18"/>
  <c r="L353" i="18"/>
  <c r="J353" i="18"/>
  <c r="I353" i="18"/>
  <c r="H353" i="18"/>
  <c r="G353" i="18"/>
  <c r="F353" i="18"/>
  <c r="E353" i="18"/>
  <c r="D353" i="18"/>
  <c r="C353" i="18"/>
  <c r="M352" i="18"/>
  <c r="L352" i="18"/>
  <c r="J352" i="18"/>
  <c r="I352" i="18"/>
  <c r="H352" i="18"/>
  <c r="G352" i="18"/>
  <c r="F352" i="18"/>
  <c r="E352" i="18"/>
  <c r="D352" i="18"/>
  <c r="C352" i="18"/>
  <c r="M351" i="18"/>
  <c r="L351" i="18"/>
  <c r="J351" i="18"/>
  <c r="I351" i="18"/>
  <c r="H351" i="18"/>
  <c r="G351" i="18"/>
  <c r="F351" i="18"/>
  <c r="E351" i="18"/>
  <c r="D351" i="18"/>
  <c r="C351" i="18"/>
  <c r="M350" i="18"/>
  <c r="L350" i="18"/>
  <c r="J350" i="18"/>
  <c r="I350" i="18"/>
  <c r="H350" i="18"/>
  <c r="G350" i="18"/>
  <c r="F350" i="18"/>
  <c r="E350" i="18"/>
  <c r="D350" i="18"/>
  <c r="C350" i="18"/>
  <c r="M349" i="18"/>
  <c r="L349" i="18"/>
  <c r="J349" i="18"/>
  <c r="I349" i="18"/>
  <c r="H349" i="18"/>
  <c r="G349" i="18"/>
  <c r="F349" i="18"/>
  <c r="E349" i="18"/>
  <c r="D349" i="18"/>
  <c r="C349" i="18"/>
  <c r="M348" i="18"/>
  <c r="L348" i="18"/>
  <c r="J348" i="18"/>
  <c r="I348" i="18"/>
  <c r="H348" i="18"/>
  <c r="G348" i="18"/>
  <c r="F348" i="18"/>
  <c r="E348" i="18"/>
  <c r="D348" i="18"/>
  <c r="C348" i="18"/>
  <c r="M347" i="18"/>
  <c r="L347" i="18"/>
  <c r="J347" i="18"/>
  <c r="I347" i="18"/>
  <c r="H347" i="18"/>
  <c r="G347" i="18"/>
  <c r="F347" i="18"/>
  <c r="E347" i="18"/>
  <c r="D347" i="18"/>
  <c r="C347" i="18"/>
  <c r="M346" i="18"/>
  <c r="L346" i="18"/>
  <c r="J346" i="18"/>
  <c r="I346" i="18"/>
  <c r="H346" i="18"/>
  <c r="G346" i="18"/>
  <c r="F346" i="18"/>
  <c r="E346" i="18"/>
  <c r="D346" i="18"/>
  <c r="C346" i="18"/>
  <c r="M345" i="18"/>
  <c r="L345" i="18"/>
  <c r="J345" i="18"/>
  <c r="I345" i="18"/>
  <c r="H345" i="18"/>
  <c r="G345" i="18"/>
  <c r="F345" i="18"/>
  <c r="E345" i="18"/>
  <c r="D345" i="18"/>
  <c r="C345" i="18"/>
  <c r="M344" i="18"/>
  <c r="L344" i="18"/>
  <c r="J344" i="18"/>
  <c r="I344" i="18"/>
  <c r="H344" i="18"/>
  <c r="G344" i="18"/>
  <c r="F344" i="18"/>
  <c r="E344" i="18"/>
  <c r="D344" i="18"/>
  <c r="C344" i="18"/>
  <c r="M343" i="18"/>
  <c r="L343" i="18"/>
  <c r="J343" i="18"/>
  <c r="I343" i="18"/>
  <c r="H343" i="18"/>
  <c r="G343" i="18"/>
  <c r="F343" i="18"/>
  <c r="E343" i="18"/>
  <c r="D343" i="18"/>
  <c r="C343" i="18"/>
  <c r="M342" i="18"/>
  <c r="L342" i="18"/>
  <c r="J342" i="18"/>
  <c r="I342" i="18"/>
  <c r="H342" i="18"/>
  <c r="G342" i="18"/>
  <c r="F342" i="18"/>
  <c r="E342" i="18"/>
  <c r="D342" i="18"/>
  <c r="C342" i="18"/>
  <c r="M341" i="18"/>
  <c r="L341" i="18"/>
  <c r="J341" i="18"/>
  <c r="I341" i="18"/>
  <c r="H341" i="18"/>
  <c r="G341" i="18"/>
  <c r="F341" i="18"/>
  <c r="E341" i="18"/>
  <c r="D341" i="18"/>
  <c r="C341" i="18"/>
  <c r="M340" i="18"/>
  <c r="L340" i="18"/>
  <c r="J340" i="18"/>
  <c r="I340" i="18"/>
  <c r="H340" i="18"/>
  <c r="G340" i="18"/>
  <c r="F340" i="18"/>
  <c r="E340" i="18"/>
  <c r="D340" i="18"/>
  <c r="C340" i="18"/>
  <c r="M339" i="18"/>
  <c r="L339" i="18"/>
  <c r="J339" i="18"/>
  <c r="I339" i="18"/>
  <c r="H339" i="18"/>
  <c r="G339" i="18"/>
  <c r="F339" i="18"/>
  <c r="E339" i="18"/>
  <c r="D339" i="18"/>
  <c r="C339" i="18"/>
  <c r="M338" i="18"/>
  <c r="L338" i="18"/>
  <c r="J338" i="18"/>
  <c r="I338" i="18"/>
  <c r="H338" i="18"/>
  <c r="G338" i="18"/>
  <c r="F338" i="18"/>
  <c r="E338" i="18"/>
  <c r="D338" i="18"/>
  <c r="C338" i="18"/>
  <c r="M337" i="18"/>
  <c r="L337" i="18"/>
  <c r="J337" i="18"/>
  <c r="I337" i="18"/>
  <c r="H337" i="18"/>
  <c r="G337" i="18"/>
  <c r="F337" i="18"/>
  <c r="E337" i="18"/>
  <c r="D337" i="18"/>
  <c r="C337" i="18"/>
  <c r="M336" i="18"/>
  <c r="L336" i="18"/>
  <c r="J336" i="18"/>
  <c r="I336" i="18"/>
  <c r="H336" i="18"/>
  <c r="G336" i="18"/>
  <c r="F336" i="18"/>
  <c r="E336" i="18"/>
  <c r="D336" i="18"/>
  <c r="C336" i="18"/>
  <c r="M335" i="18"/>
  <c r="L335" i="18"/>
  <c r="J335" i="18"/>
  <c r="I335" i="18"/>
  <c r="H335" i="18"/>
  <c r="G335" i="18"/>
  <c r="F335" i="18"/>
  <c r="E335" i="18"/>
  <c r="D335" i="18"/>
  <c r="C335" i="18"/>
  <c r="M334" i="18"/>
  <c r="L334" i="18"/>
  <c r="J334" i="18"/>
  <c r="I334" i="18"/>
  <c r="H334" i="18"/>
  <c r="G334" i="18"/>
  <c r="F334" i="18"/>
  <c r="E334" i="18"/>
  <c r="D334" i="18"/>
  <c r="C334" i="18"/>
  <c r="M333" i="18"/>
  <c r="L333" i="18"/>
  <c r="J333" i="18"/>
  <c r="I333" i="18"/>
  <c r="H333" i="18"/>
  <c r="G333" i="18"/>
  <c r="F333" i="18"/>
  <c r="E333" i="18"/>
  <c r="D333" i="18"/>
  <c r="C333" i="18"/>
  <c r="M332" i="18"/>
  <c r="L332" i="18"/>
  <c r="J332" i="18"/>
  <c r="I332" i="18"/>
  <c r="H332" i="18"/>
  <c r="G332" i="18"/>
  <c r="F332" i="18"/>
  <c r="E332" i="18"/>
  <c r="D332" i="18"/>
  <c r="C332" i="18"/>
  <c r="M331" i="18"/>
  <c r="L331" i="18"/>
  <c r="J331" i="18"/>
  <c r="I331" i="18"/>
  <c r="H331" i="18"/>
  <c r="G331" i="18"/>
  <c r="F331" i="18"/>
  <c r="E331" i="18"/>
  <c r="D331" i="18"/>
  <c r="C331" i="18"/>
  <c r="M330" i="18"/>
  <c r="L330" i="18"/>
  <c r="J330" i="18"/>
  <c r="I330" i="18"/>
  <c r="H330" i="18"/>
  <c r="G330" i="18"/>
  <c r="F330" i="18"/>
  <c r="E330" i="18"/>
  <c r="D330" i="18"/>
  <c r="C330" i="18"/>
  <c r="M329" i="18"/>
  <c r="L329" i="18"/>
  <c r="J329" i="18"/>
  <c r="I329" i="18"/>
  <c r="H329" i="18"/>
  <c r="G329" i="18"/>
  <c r="F329" i="18"/>
  <c r="E329" i="18"/>
  <c r="D329" i="18"/>
  <c r="C329" i="18"/>
  <c r="M328" i="18"/>
  <c r="L328" i="18"/>
  <c r="J328" i="18"/>
  <c r="I328" i="18"/>
  <c r="H328" i="18"/>
  <c r="G328" i="18"/>
  <c r="F328" i="18"/>
  <c r="E328" i="18"/>
  <c r="D328" i="18"/>
  <c r="C328" i="18"/>
  <c r="M327" i="18"/>
  <c r="L327" i="18"/>
  <c r="J327" i="18"/>
  <c r="I327" i="18"/>
  <c r="H327" i="18"/>
  <c r="G327" i="18"/>
  <c r="F327" i="18"/>
  <c r="E327" i="18"/>
  <c r="D327" i="18"/>
  <c r="C327" i="18"/>
  <c r="M326" i="18"/>
  <c r="L326" i="18"/>
  <c r="J326" i="18"/>
  <c r="I326" i="18"/>
  <c r="H326" i="18"/>
  <c r="G326" i="18"/>
  <c r="F326" i="18"/>
  <c r="E326" i="18"/>
  <c r="D326" i="18"/>
  <c r="C326" i="18"/>
  <c r="M325" i="18"/>
  <c r="L325" i="18"/>
  <c r="J325" i="18"/>
  <c r="I325" i="18"/>
  <c r="H325" i="18"/>
  <c r="G325" i="18"/>
  <c r="F325" i="18"/>
  <c r="E325" i="18"/>
  <c r="D325" i="18"/>
  <c r="C325" i="18"/>
  <c r="M324" i="18"/>
  <c r="L324" i="18"/>
  <c r="J324" i="18"/>
  <c r="I324" i="18"/>
  <c r="H324" i="18"/>
  <c r="G324" i="18"/>
  <c r="F324" i="18"/>
  <c r="E324" i="18"/>
  <c r="D324" i="18"/>
  <c r="C324" i="18"/>
  <c r="M323" i="18"/>
  <c r="L323" i="18"/>
  <c r="J323" i="18"/>
  <c r="I323" i="18"/>
  <c r="H323" i="18"/>
  <c r="G323" i="18"/>
  <c r="F323" i="18"/>
  <c r="E323" i="18"/>
  <c r="D323" i="18"/>
  <c r="C323" i="18"/>
  <c r="M322" i="18"/>
  <c r="L322" i="18"/>
  <c r="J322" i="18"/>
  <c r="I322" i="18"/>
  <c r="H322" i="18"/>
  <c r="G322" i="18"/>
  <c r="F322" i="18"/>
  <c r="E322" i="18"/>
  <c r="D322" i="18"/>
  <c r="C322" i="18"/>
  <c r="M321" i="18"/>
  <c r="L321" i="18"/>
  <c r="J321" i="18"/>
  <c r="I321" i="18"/>
  <c r="H321" i="18"/>
  <c r="G321" i="18"/>
  <c r="F321" i="18"/>
  <c r="E321" i="18"/>
  <c r="D321" i="18"/>
  <c r="C321" i="18"/>
  <c r="M320" i="18"/>
  <c r="L320" i="18"/>
  <c r="J320" i="18"/>
  <c r="I320" i="18"/>
  <c r="H320" i="18"/>
  <c r="G320" i="18"/>
  <c r="F320" i="18"/>
  <c r="E320" i="18"/>
  <c r="D320" i="18"/>
  <c r="C320" i="18"/>
  <c r="M319" i="18"/>
  <c r="L319" i="18"/>
  <c r="J319" i="18"/>
  <c r="I319" i="18"/>
  <c r="H319" i="18"/>
  <c r="G319" i="18"/>
  <c r="F319" i="18"/>
  <c r="E319" i="18"/>
  <c r="D319" i="18"/>
  <c r="C319" i="18"/>
  <c r="M318" i="18"/>
  <c r="L318" i="18"/>
  <c r="J318" i="18"/>
  <c r="I318" i="18"/>
  <c r="H318" i="18"/>
  <c r="G318" i="18"/>
  <c r="F318" i="18"/>
  <c r="E318" i="18"/>
  <c r="D318" i="18"/>
  <c r="C318" i="18"/>
  <c r="M317" i="18"/>
  <c r="L317" i="18"/>
  <c r="J317" i="18"/>
  <c r="I317" i="18"/>
  <c r="H317" i="18"/>
  <c r="G317" i="18"/>
  <c r="F317" i="18"/>
  <c r="E317" i="18"/>
  <c r="D317" i="18"/>
  <c r="C317" i="18"/>
  <c r="M316" i="18"/>
  <c r="L316" i="18"/>
  <c r="J316" i="18"/>
  <c r="I316" i="18"/>
  <c r="H316" i="18"/>
  <c r="G316" i="18"/>
  <c r="F316" i="18"/>
  <c r="E316" i="18"/>
  <c r="D316" i="18"/>
  <c r="C316" i="18"/>
  <c r="M315" i="18"/>
  <c r="L315" i="18"/>
  <c r="J315" i="18"/>
  <c r="I315" i="18"/>
  <c r="H315" i="18"/>
  <c r="G315" i="18"/>
  <c r="F315" i="18"/>
  <c r="E315" i="18"/>
  <c r="D315" i="18"/>
  <c r="C315" i="18"/>
  <c r="M314" i="18"/>
  <c r="L314" i="18"/>
  <c r="J314" i="18"/>
  <c r="I314" i="18"/>
  <c r="H314" i="18"/>
  <c r="G314" i="18"/>
  <c r="F314" i="18"/>
  <c r="E314" i="18"/>
  <c r="D314" i="18"/>
  <c r="C314" i="18"/>
  <c r="M313" i="18"/>
  <c r="L313" i="18"/>
  <c r="J313" i="18"/>
  <c r="I313" i="18"/>
  <c r="H313" i="18"/>
  <c r="G313" i="18"/>
  <c r="F313" i="18"/>
  <c r="E313" i="18"/>
  <c r="D313" i="18"/>
  <c r="C313" i="18"/>
  <c r="M312" i="18"/>
  <c r="L312" i="18"/>
  <c r="J312" i="18"/>
  <c r="I312" i="18"/>
  <c r="H312" i="18"/>
  <c r="G312" i="18"/>
  <c r="F312" i="18"/>
  <c r="E312" i="18"/>
  <c r="D312" i="18"/>
  <c r="C312" i="18"/>
  <c r="M311" i="18"/>
  <c r="L311" i="18"/>
  <c r="J311" i="18"/>
  <c r="I311" i="18"/>
  <c r="H311" i="18"/>
  <c r="G311" i="18"/>
  <c r="F311" i="18"/>
  <c r="E311" i="18"/>
  <c r="D311" i="18"/>
  <c r="C311" i="18"/>
  <c r="M310" i="18"/>
  <c r="L310" i="18"/>
  <c r="J310" i="18"/>
  <c r="I310" i="18"/>
  <c r="H310" i="18"/>
  <c r="G310" i="18"/>
  <c r="F310" i="18"/>
  <c r="E310" i="18"/>
  <c r="D310" i="18"/>
  <c r="C310" i="18"/>
  <c r="M309" i="18"/>
  <c r="L309" i="18"/>
  <c r="J309" i="18"/>
  <c r="I309" i="18"/>
  <c r="H309" i="18"/>
  <c r="G309" i="18"/>
  <c r="F309" i="18"/>
  <c r="E309" i="18"/>
  <c r="D309" i="18"/>
  <c r="C309" i="18"/>
  <c r="M308" i="18"/>
  <c r="L308" i="18"/>
  <c r="J308" i="18"/>
  <c r="I308" i="18"/>
  <c r="H308" i="18"/>
  <c r="G308" i="18"/>
  <c r="F308" i="18"/>
  <c r="E308" i="18"/>
  <c r="D308" i="18"/>
  <c r="C308" i="18"/>
  <c r="M307" i="18"/>
  <c r="L307" i="18"/>
  <c r="J307" i="18"/>
  <c r="I307" i="18"/>
  <c r="H307" i="18"/>
  <c r="G307" i="18"/>
  <c r="F307" i="18"/>
  <c r="E307" i="18"/>
  <c r="D307" i="18"/>
  <c r="C307" i="18"/>
  <c r="M306" i="18"/>
  <c r="L306" i="18"/>
  <c r="J306" i="18"/>
  <c r="I306" i="18"/>
  <c r="H306" i="18"/>
  <c r="G306" i="18"/>
  <c r="F306" i="18"/>
  <c r="E306" i="18"/>
  <c r="D306" i="18"/>
  <c r="C306" i="18"/>
  <c r="M305" i="18"/>
  <c r="L305" i="18"/>
  <c r="J305" i="18"/>
  <c r="I305" i="18"/>
  <c r="H305" i="18"/>
  <c r="G305" i="18"/>
  <c r="F305" i="18"/>
  <c r="E305" i="18"/>
  <c r="D305" i="18"/>
  <c r="C305" i="18"/>
  <c r="M304" i="18"/>
  <c r="L304" i="18"/>
  <c r="J304" i="18"/>
  <c r="I304" i="18"/>
  <c r="H304" i="18"/>
  <c r="G304" i="18"/>
  <c r="F304" i="18"/>
  <c r="E304" i="18"/>
  <c r="D304" i="18"/>
  <c r="C304" i="18"/>
  <c r="M303" i="18"/>
  <c r="L303" i="18"/>
  <c r="J303" i="18"/>
  <c r="I303" i="18"/>
  <c r="H303" i="18"/>
  <c r="G303" i="18"/>
  <c r="F303" i="18"/>
  <c r="E303" i="18"/>
  <c r="D303" i="18"/>
  <c r="C303" i="18"/>
  <c r="M302" i="18"/>
  <c r="L302" i="18"/>
  <c r="J302" i="18"/>
  <c r="I302" i="18"/>
  <c r="H302" i="18"/>
  <c r="G302" i="18"/>
  <c r="F302" i="18"/>
  <c r="E302" i="18"/>
  <c r="D302" i="18"/>
  <c r="C302" i="18"/>
  <c r="M301" i="18"/>
  <c r="L301" i="18"/>
  <c r="J301" i="18"/>
  <c r="I301" i="18"/>
  <c r="H301" i="18"/>
  <c r="G301" i="18"/>
  <c r="F301" i="18"/>
  <c r="E301" i="18"/>
  <c r="D301" i="18"/>
  <c r="C301" i="18"/>
  <c r="M300" i="18"/>
  <c r="L300" i="18"/>
  <c r="J300" i="18"/>
  <c r="I300" i="18"/>
  <c r="H300" i="18"/>
  <c r="G300" i="18"/>
  <c r="F300" i="18"/>
  <c r="E300" i="18"/>
  <c r="D300" i="18"/>
  <c r="C300" i="18"/>
  <c r="M299" i="18"/>
  <c r="L299" i="18"/>
  <c r="J299" i="18"/>
  <c r="I299" i="18"/>
  <c r="H299" i="18"/>
  <c r="G299" i="18"/>
  <c r="F299" i="18"/>
  <c r="E299" i="18"/>
  <c r="D299" i="18"/>
  <c r="C299" i="18"/>
  <c r="M298" i="18"/>
  <c r="L298" i="18"/>
  <c r="J298" i="18"/>
  <c r="I298" i="18"/>
  <c r="H298" i="18"/>
  <c r="G298" i="18"/>
  <c r="F298" i="18"/>
  <c r="E298" i="18"/>
  <c r="D298" i="18"/>
  <c r="C298" i="18"/>
  <c r="M297" i="18"/>
  <c r="L297" i="18"/>
  <c r="J297" i="18"/>
  <c r="I297" i="18"/>
  <c r="H297" i="18"/>
  <c r="G297" i="18"/>
  <c r="F297" i="18"/>
  <c r="E297" i="18"/>
  <c r="D297" i="18"/>
  <c r="C297" i="18"/>
  <c r="M296" i="18"/>
  <c r="L296" i="18"/>
  <c r="J296" i="18"/>
  <c r="I296" i="18"/>
  <c r="H296" i="18"/>
  <c r="G296" i="18"/>
  <c r="F296" i="18"/>
  <c r="E296" i="18"/>
  <c r="D296" i="18"/>
  <c r="C296" i="18"/>
  <c r="M295" i="18"/>
  <c r="L295" i="18"/>
  <c r="J295" i="18"/>
  <c r="I295" i="18"/>
  <c r="H295" i="18"/>
  <c r="G295" i="18"/>
  <c r="F295" i="18"/>
  <c r="E295" i="18"/>
  <c r="D295" i="18"/>
  <c r="C295" i="18"/>
  <c r="M294" i="18"/>
  <c r="L294" i="18"/>
  <c r="J294" i="18"/>
  <c r="I294" i="18"/>
  <c r="H294" i="18"/>
  <c r="G294" i="18"/>
  <c r="F294" i="18"/>
  <c r="E294" i="18"/>
  <c r="D294" i="18"/>
  <c r="C294" i="18"/>
  <c r="M293" i="18"/>
  <c r="L293" i="18"/>
  <c r="J293" i="18"/>
  <c r="I293" i="18"/>
  <c r="H293" i="18"/>
  <c r="G293" i="18"/>
  <c r="F293" i="18"/>
  <c r="E293" i="18"/>
  <c r="D293" i="18"/>
  <c r="C293" i="18"/>
  <c r="A290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O7" i="18"/>
  <c r="N7" i="18"/>
  <c r="M7" i="18"/>
  <c r="L7" i="18"/>
  <c r="K7" i="18"/>
  <c r="J7" i="18"/>
  <c r="I7" i="18"/>
  <c r="H7" i="18"/>
  <c r="G7" i="18"/>
  <c r="F7" i="18"/>
  <c r="E7" i="18"/>
  <c r="AI6" i="18"/>
  <c r="AH6" i="18"/>
  <c r="AG6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O6" i="18"/>
  <c r="N6" i="18"/>
  <c r="M6" i="18"/>
  <c r="L6" i="18"/>
  <c r="K6" i="18"/>
  <c r="J6" i="18"/>
  <c r="I6" i="18"/>
  <c r="H6" i="18"/>
  <c r="G6" i="18"/>
  <c r="F6" i="18"/>
  <c r="E6" i="18"/>
  <c r="L381" i="17"/>
  <c r="K381" i="17"/>
  <c r="J381" i="17"/>
  <c r="I381" i="17"/>
  <c r="H381" i="17"/>
  <c r="G381" i="17"/>
  <c r="F381" i="17"/>
  <c r="E381" i="17"/>
  <c r="D381" i="17"/>
  <c r="C381" i="17"/>
  <c r="L380" i="17"/>
  <c r="K380" i="17"/>
  <c r="J380" i="17"/>
  <c r="I380" i="17"/>
  <c r="H380" i="17"/>
  <c r="G380" i="17"/>
  <c r="F380" i="17"/>
  <c r="E380" i="17"/>
  <c r="D380" i="17"/>
  <c r="C380" i="17"/>
  <c r="L379" i="17"/>
  <c r="K379" i="17"/>
  <c r="J379" i="17"/>
  <c r="I379" i="17"/>
  <c r="H379" i="17"/>
  <c r="G379" i="17"/>
  <c r="F379" i="17"/>
  <c r="E379" i="17"/>
  <c r="D379" i="17"/>
  <c r="C379" i="17"/>
  <c r="L378" i="17"/>
  <c r="K378" i="17"/>
  <c r="J378" i="17"/>
  <c r="I378" i="17"/>
  <c r="H378" i="17"/>
  <c r="G378" i="17"/>
  <c r="F378" i="17"/>
  <c r="E378" i="17"/>
  <c r="D378" i="17"/>
  <c r="C378" i="17"/>
  <c r="L377" i="17"/>
  <c r="K377" i="17"/>
  <c r="J377" i="17"/>
  <c r="I377" i="17"/>
  <c r="H377" i="17"/>
  <c r="G377" i="17"/>
  <c r="F377" i="17"/>
  <c r="E377" i="17"/>
  <c r="D377" i="17"/>
  <c r="C377" i="17"/>
  <c r="L376" i="17"/>
  <c r="K376" i="17"/>
  <c r="J376" i="17"/>
  <c r="I376" i="17"/>
  <c r="H376" i="17"/>
  <c r="G376" i="17"/>
  <c r="F376" i="17"/>
  <c r="E376" i="17"/>
  <c r="D376" i="17"/>
  <c r="C376" i="17"/>
  <c r="L375" i="17"/>
  <c r="K375" i="17"/>
  <c r="J375" i="17"/>
  <c r="I375" i="17"/>
  <c r="H375" i="17"/>
  <c r="G375" i="17"/>
  <c r="F375" i="17"/>
  <c r="E375" i="17"/>
  <c r="D375" i="17"/>
  <c r="C375" i="17"/>
  <c r="L374" i="17"/>
  <c r="K374" i="17"/>
  <c r="J374" i="17"/>
  <c r="I374" i="17"/>
  <c r="H374" i="17"/>
  <c r="G374" i="17"/>
  <c r="F374" i="17"/>
  <c r="E374" i="17"/>
  <c r="D374" i="17"/>
  <c r="C374" i="17"/>
  <c r="L373" i="17"/>
  <c r="K373" i="17"/>
  <c r="J373" i="17"/>
  <c r="I373" i="17"/>
  <c r="H373" i="17"/>
  <c r="G373" i="17"/>
  <c r="F373" i="17"/>
  <c r="E373" i="17"/>
  <c r="D373" i="17"/>
  <c r="C373" i="17"/>
  <c r="L372" i="17"/>
  <c r="K372" i="17"/>
  <c r="J372" i="17"/>
  <c r="I372" i="17"/>
  <c r="H372" i="17"/>
  <c r="G372" i="17"/>
  <c r="F372" i="17"/>
  <c r="E372" i="17"/>
  <c r="D372" i="17"/>
  <c r="C372" i="17"/>
  <c r="L371" i="17"/>
  <c r="K371" i="17"/>
  <c r="J371" i="17"/>
  <c r="I371" i="17"/>
  <c r="H371" i="17"/>
  <c r="G371" i="17"/>
  <c r="F371" i="17"/>
  <c r="E371" i="17"/>
  <c r="D371" i="17"/>
  <c r="C371" i="17"/>
  <c r="L370" i="17"/>
  <c r="K370" i="17"/>
  <c r="J370" i="17"/>
  <c r="I370" i="17"/>
  <c r="H370" i="17"/>
  <c r="G370" i="17"/>
  <c r="F370" i="17"/>
  <c r="E370" i="17"/>
  <c r="D370" i="17"/>
  <c r="C370" i="17"/>
  <c r="L369" i="17"/>
  <c r="K369" i="17"/>
  <c r="J369" i="17"/>
  <c r="I369" i="17"/>
  <c r="H369" i="17"/>
  <c r="G369" i="17"/>
  <c r="F369" i="17"/>
  <c r="E369" i="17"/>
  <c r="D369" i="17"/>
  <c r="C369" i="17"/>
  <c r="L368" i="17"/>
  <c r="K368" i="17"/>
  <c r="J368" i="17"/>
  <c r="I368" i="17"/>
  <c r="H368" i="17"/>
  <c r="G368" i="17"/>
  <c r="F368" i="17"/>
  <c r="E368" i="17"/>
  <c r="D368" i="17"/>
  <c r="C368" i="17"/>
  <c r="L367" i="17"/>
  <c r="K367" i="17"/>
  <c r="J367" i="17"/>
  <c r="I367" i="17"/>
  <c r="H367" i="17"/>
  <c r="G367" i="17"/>
  <c r="F367" i="17"/>
  <c r="E367" i="17"/>
  <c r="D367" i="17"/>
  <c r="C367" i="17"/>
  <c r="L366" i="17"/>
  <c r="K366" i="17"/>
  <c r="J366" i="17"/>
  <c r="I366" i="17"/>
  <c r="H366" i="17"/>
  <c r="G366" i="17"/>
  <c r="F366" i="17"/>
  <c r="E366" i="17"/>
  <c r="D366" i="17"/>
  <c r="C366" i="17"/>
  <c r="L365" i="17"/>
  <c r="K365" i="17"/>
  <c r="J365" i="17"/>
  <c r="I365" i="17"/>
  <c r="H365" i="17"/>
  <c r="G365" i="17"/>
  <c r="F365" i="17"/>
  <c r="E365" i="17"/>
  <c r="D365" i="17"/>
  <c r="C365" i="17"/>
  <c r="L364" i="17"/>
  <c r="K364" i="17"/>
  <c r="J364" i="17"/>
  <c r="I364" i="17"/>
  <c r="H364" i="17"/>
  <c r="G364" i="17"/>
  <c r="F364" i="17"/>
  <c r="E364" i="17"/>
  <c r="D364" i="17"/>
  <c r="C364" i="17"/>
  <c r="L363" i="17"/>
  <c r="K363" i="17"/>
  <c r="J363" i="17"/>
  <c r="I363" i="17"/>
  <c r="H363" i="17"/>
  <c r="G363" i="17"/>
  <c r="F363" i="17"/>
  <c r="E363" i="17"/>
  <c r="D363" i="17"/>
  <c r="C363" i="17"/>
  <c r="L362" i="17"/>
  <c r="K362" i="17"/>
  <c r="J362" i="17"/>
  <c r="I362" i="17"/>
  <c r="H362" i="17"/>
  <c r="G362" i="17"/>
  <c r="F362" i="17"/>
  <c r="E362" i="17"/>
  <c r="D362" i="17"/>
  <c r="C362" i="17"/>
  <c r="L361" i="17"/>
  <c r="K361" i="17"/>
  <c r="J361" i="17"/>
  <c r="I361" i="17"/>
  <c r="H361" i="17"/>
  <c r="G361" i="17"/>
  <c r="F361" i="17"/>
  <c r="E361" i="17"/>
  <c r="D361" i="17"/>
  <c r="C361" i="17"/>
  <c r="L360" i="17"/>
  <c r="K360" i="17"/>
  <c r="J360" i="17"/>
  <c r="I360" i="17"/>
  <c r="H360" i="17"/>
  <c r="G360" i="17"/>
  <c r="F360" i="17"/>
  <c r="E360" i="17"/>
  <c r="D360" i="17"/>
  <c r="C360" i="17"/>
  <c r="L359" i="17"/>
  <c r="K359" i="17"/>
  <c r="J359" i="17"/>
  <c r="I359" i="17"/>
  <c r="H359" i="17"/>
  <c r="G359" i="17"/>
  <c r="F359" i="17"/>
  <c r="E359" i="17"/>
  <c r="D359" i="17"/>
  <c r="C359" i="17"/>
  <c r="L358" i="17"/>
  <c r="K358" i="17"/>
  <c r="J358" i="17"/>
  <c r="I358" i="17"/>
  <c r="H358" i="17"/>
  <c r="G358" i="17"/>
  <c r="F358" i="17"/>
  <c r="E358" i="17"/>
  <c r="D358" i="17"/>
  <c r="C358" i="17"/>
  <c r="L357" i="17"/>
  <c r="K357" i="17"/>
  <c r="J357" i="17"/>
  <c r="I357" i="17"/>
  <c r="H357" i="17"/>
  <c r="G357" i="17"/>
  <c r="F357" i="17"/>
  <c r="E357" i="17"/>
  <c r="D357" i="17"/>
  <c r="C357" i="17"/>
  <c r="L356" i="17"/>
  <c r="K356" i="17"/>
  <c r="J356" i="17"/>
  <c r="I356" i="17"/>
  <c r="H356" i="17"/>
  <c r="G356" i="17"/>
  <c r="F356" i="17"/>
  <c r="E356" i="17"/>
  <c r="D356" i="17"/>
  <c r="C356" i="17"/>
  <c r="L355" i="17"/>
  <c r="K355" i="17"/>
  <c r="J355" i="17"/>
  <c r="I355" i="17"/>
  <c r="H355" i="17"/>
  <c r="G355" i="17"/>
  <c r="F355" i="17"/>
  <c r="E355" i="17"/>
  <c r="D355" i="17"/>
  <c r="C355" i="17"/>
  <c r="L354" i="17"/>
  <c r="K354" i="17"/>
  <c r="J354" i="17"/>
  <c r="I354" i="17"/>
  <c r="H354" i="17"/>
  <c r="G354" i="17"/>
  <c r="F354" i="17"/>
  <c r="E354" i="17"/>
  <c r="D354" i="17"/>
  <c r="C354" i="17"/>
  <c r="L353" i="17"/>
  <c r="K353" i="17"/>
  <c r="J353" i="17"/>
  <c r="I353" i="17"/>
  <c r="H353" i="17"/>
  <c r="G353" i="17"/>
  <c r="F353" i="17"/>
  <c r="E353" i="17"/>
  <c r="D353" i="17"/>
  <c r="C353" i="17"/>
  <c r="L352" i="17"/>
  <c r="K352" i="17"/>
  <c r="J352" i="17"/>
  <c r="I352" i="17"/>
  <c r="H352" i="17"/>
  <c r="G352" i="17"/>
  <c r="F352" i="17"/>
  <c r="E352" i="17"/>
  <c r="D352" i="17"/>
  <c r="C352" i="17"/>
  <c r="L351" i="17"/>
  <c r="K351" i="17"/>
  <c r="J351" i="17"/>
  <c r="I351" i="17"/>
  <c r="H351" i="17"/>
  <c r="G351" i="17"/>
  <c r="F351" i="17"/>
  <c r="E351" i="17"/>
  <c r="D351" i="17"/>
  <c r="C351" i="17"/>
  <c r="L350" i="17"/>
  <c r="K350" i="17"/>
  <c r="J350" i="17"/>
  <c r="I350" i="17"/>
  <c r="H350" i="17"/>
  <c r="G350" i="17"/>
  <c r="F350" i="17"/>
  <c r="E350" i="17"/>
  <c r="D350" i="17"/>
  <c r="C350" i="17"/>
  <c r="L349" i="17"/>
  <c r="K349" i="17"/>
  <c r="J349" i="17"/>
  <c r="I349" i="17"/>
  <c r="H349" i="17"/>
  <c r="G349" i="17"/>
  <c r="F349" i="17"/>
  <c r="E349" i="17"/>
  <c r="D349" i="17"/>
  <c r="C349" i="17"/>
  <c r="L348" i="17"/>
  <c r="K348" i="17"/>
  <c r="J348" i="17"/>
  <c r="I348" i="17"/>
  <c r="H348" i="17"/>
  <c r="G348" i="17"/>
  <c r="F348" i="17"/>
  <c r="E348" i="17"/>
  <c r="D348" i="17"/>
  <c r="C348" i="17"/>
  <c r="L347" i="17"/>
  <c r="K347" i="17"/>
  <c r="J347" i="17"/>
  <c r="I347" i="17"/>
  <c r="H347" i="17"/>
  <c r="G347" i="17"/>
  <c r="F347" i="17"/>
  <c r="E347" i="17"/>
  <c r="D347" i="17"/>
  <c r="C347" i="17"/>
  <c r="L346" i="17"/>
  <c r="K346" i="17"/>
  <c r="J346" i="17"/>
  <c r="I346" i="17"/>
  <c r="H346" i="17"/>
  <c r="G346" i="17"/>
  <c r="F346" i="17"/>
  <c r="E346" i="17"/>
  <c r="D346" i="17"/>
  <c r="C346" i="17"/>
  <c r="L345" i="17"/>
  <c r="K345" i="17"/>
  <c r="J345" i="17"/>
  <c r="I345" i="17"/>
  <c r="H345" i="17"/>
  <c r="G345" i="17"/>
  <c r="F345" i="17"/>
  <c r="E345" i="17"/>
  <c r="D345" i="17"/>
  <c r="C345" i="17"/>
  <c r="L344" i="17"/>
  <c r="K344" i="17"/>
  <c r="J344" i="17"/>
  <c r="I344" i="17"/>
  <c r="H344" i="17"/>
  <c r="G344" i="17"/>
  <c r="F344" i="17"/>
  <c r="E344" i="17"/>
  <c r="D344" i="17"/>
  <c r="C344" i="17"/>
  <c r="L343" i="17"/>
  <c r="K343" i="17"/>
  <c r="J343" i="17"/>
  <c r="I343" i="17"/>
  <c r="H343" i="17"/>
  <c r="G343" i="17"/>
  <c r="F343" i="17"/>
  <c r="E343" i="17"/>
  <c r="D343" i="17"/>
  <c r="C343" i="17"/>
  <c r="L342" i="17"/>
  <c r="K342" i="17"/>
  <c r="J342" i="17"/>
  <c r="I342" i="17"/>
  <c r="H342" i="17"/>
  <c r="G342" i="17"/>
  <c r="F342" i="17"/>
  <c r="E342" i="17"/>
  <c r="D342" i="17"/>
  <c r="C342" i="17"/>
  <c r="L341" i="17"/>
  <c r="K341" i="17"/>
  <c r="J341" i="17"/>
  <c r="I341" i="17"/>
  <c r="H341" i="17"/>
  <c r="G341" i="17"/>
  <c r="F341" i="17"/>
  <c r="E341" i="17"/>
  <c r="D341" i="17"/>
  <c r="C341" i="17"/>
  <c r="L340" i="17"/>
  <c r="K340" i="17"/>
  <c r="J340" i="17"/>
  <c r="I340" i="17"/>
  <c r="H340" i="17"/>
  <c r="G340" i="17"/>
  <c r="F340" i="17"/>
  <c r="E340" i="17"/>
  <c r="D340" i="17"/>
  <c r="C340" i="17"/>
  <c r="L339" i="17"/>
  <c r="K339" i="17"/>
  <c r="J339" i="17"/>
  <c r="I339" i="17"/>
  <c r="H339" i="17"/>
  <c r="G339" i="17"/>
  <c r="F339" i="17"/>
  <c r="E339" i="17"/>
  <c r="D339" i="17"/>
  <c r="C339" i="17"/>
  <c r="L338" i="17"/>
  <c r="K338" i="17"/>
  <c r="J338" i="17"/>
  <c r="I338" i="17"/>
  <c r="H338" i="17"/>
  <c r="G338" i="17"/>
  <c r="F338" i="17"/>
  <c r="E338" i="17"/>
  <c r="D338" i="17"/>
  <c r="C338" i="17"/>
  <c r="L337" i="17"/>
  <c r="K337" i="17"/>
  <c r="J337" i="17"/>
  <c r="I337" i="17"/>
  <c r="H337" i="17"/>
  <c r="G337" i="17"/>
  <c r="F337" i="17"/>
  <c r="E337" i="17"/>
  <c r="D337" i="17"/>
  <c r="C337" i="17"/>
  <c r="L336" i="17"/>
  <c r="K336" i="17"/>
  <c r="J336" i="17"/>
  <c r="I336" i="17"/>
  <c r="H336" i="17"/>
  <c r="G336" i="17"/>
  <c r="F336" i="17"/>
  <c r="E336" i="17"/>
  <c r="D336" i="17"/>
  <c r="C336" i="17"/>
  <c r="L335" i="17"/>
  <c r="K335" i="17"/>
  <c r="J335" i="17"/>
  <c r="I335" i="17"/>
  <c r="H335" i="17"/>
  <c r="G335" i="17"/>
  <c r="F335" i="17"/>
  <c r="E335" i="17"/>
  <c r="D335" i="17"/>
  <c r="C335" i="17"/>
  <c r="L334" i="17"/>
  <c r="K334" i="17"/>
  <c r="J334" i="17"/>
  <c r="I334" i="17"/>
  <c r="H334" i="17"/>
  <c r="G334" i="17"/>
  <c r="F334" i="17"/>
  <c r="E334" i="17"/>
  <c r="D334" i="17"/>
  <c r="C334" i="17"/>
  <c r="L333" i="17"/>
  <c r="K333" i="17"/>
  <c r="J333" i="17"/>
  <c r="I333" i="17"/>
  <c r="H333" i="17"/>
  <c r="G333" i="17"/>
  <c r="F333" i="17"/>
  <c r="E333" i="17"/>
  <c r="D333" i="17"/>
  <c r="C333" i="17"/>
  <c r="L332" i="17"/>
  <c r="K332" i="17"/>
  <c r="J332" i="17"/>
  <c r="I332" i="17"/>
  <c r="H332" i="17"/>
  <c r="G332" i="17"/>
  <c r="F332" i="17"/>
  <c r="E332" i="17"/>
  <c r="D332" i="17"/>
  <c r="C332" i="17"/>
  <c r="L331" i="17"/>
  <c r="K331" i="17"/>
  <c r="J331" i="17"/>
  <c r="I331" i="17"/>
  <c r="H331" i="17"/>
  <c r="G331" i="17"/>
  <c r="F331" i="17"/>
  <c r="E331" i="17"/>
  <c r="D331" i="17"/>
  <c r="C331" i="17"/>
  <c r="L330" i="17"/>
  <c r="K330" i="17"/>
  <c r="J330" i="17"/>
  <c r="I330" i="17"/>
  <c r="H330" i="17"/>
  <c r="G330" i="17"/>
  <c r="F330" i="17"/>
  <c r="E330" i="17"/>
  <c r="D330" i="17"/>
  <c r="C330" i="17"/>
  <c r="L329" i="17"/>
  <c r="K329" i="17"/>
  <c r="J329" i="17"/>
  <c r="I329" i="17"/>
  <c r="H329" i="17"/>
  <c r="G329" i="17"/>
  <c r="F329" i="17"/>
  <c r="E329" i="17"/>
  <c r="D329" i="17"/>
  <c r="C329" i="17"/>
  <c r="L328" i="17"/>
  <c r="K328" i="17"/>
  <c r="J328" i="17"/>
  <c r="I328" i="17"/>
  <c r="H328" i="17"/>
  <c r="G328" i="17"/>
  <c r="F328" i="17"/>
  <c r="E328" i="17"/>
  <c r="D328" i="17"/>
  <c r="C328" i="17"/>
  <c r="L327" i="17"/>
  <c r="K327" i="17"/>
  <c r="J327" i="17"/>
  <c r="I327" i="17"/>
  <c r="H327" i="17"/>
  <c r="G327" i="17"/>
  <c r="F327" i="17"/>
  <c r="E327" i="17"/>
  <c r="D327" i="17"/>
  <c r="C327" i="17"/>
  <c r="L326" i="17"/>
  <c r="K326" i="17"/>
  <c r="J326" i="17"/>
  <c r="I326" i="17"/>
  <c r="H326" i="17"/>
  <c r="G326" i="17"/>
  <c r="F326" i="17"/>
  <c r="E326" i="17"/>
  <c r="D326" i="17"/>
  <c r="C326" i="17"/>
  <c r="L325" i="17"/>
  <c r="K325" i="17"/>
  <c r="J325" i="17"/>
  <c r="I325" i="17"/>
  <c r="H325" i="17"/>
  <c r="G325" i="17"/>
  <c r="F325" i="17"/>
  <c r="E325" i="17"/>
  <c r="D325" i="17"/>
  <c r="C325" i="17"/>
  <c r="L324" i="17"/>
  <c r="K324" i="17"/>
  <c r="J324" i="17"/>
  <c r="I324" i="17"/>
  <c r="H324" i="17"/>
  <c r="G324" i="17"/>
  <c r="F324" i="17"/>
  <c r="E324" i="17"/>
  <c r="D324" i="17"/>
  <c r="C324" i="17"/>
  <c r="L323" i="17"/>
  <c r="K323" i="17"/>
  <c r="J323" i="17"/>
  <c r="I323" i="17"/>
  <c r="H323" i="17"/>
  <c r="G323" i="17"/>
  <c r="F323" i="17"/>
  <c r="E323" i="17"/>
  <c r="D323" i="17"/>
  <c r="C323" i="17"/>
  <c r="L322" i="17"/>
  <c r="K322" i="17"/>
  <c r="J322" i="17"/>
  <c r="I322" i="17"/>
  <c r="H322" i="17"/>
  <c r="G322" i="17"/>
  <c r="F322" i="17"/>
  <c r="E322" i="17"/>
  <c r="D322" i="17"/>
  <c r="C322" i="17"/>
  <c r="L321" i="17"/>
  <c r="K321" i="17"/>
  <c r="J321" i="17"/>
  <c r="I321" i="17"/>
  <c r="H321" i="17"/>
  <c r="G321" i="17"/>
  <c r="F321" i="17"/>
  <c r="E321" i="17"/>
  <c r="D321" i="17"/>
  <c r="C321" i="17"/>
  <c r="L320" i="17"/>
  <c r="K320" i="17"/>
  <c r="J320" i="17"/>
  <c r="I320" i="17"/>
  <c r="H320" i="17"/>
  <c r="G320" i="17"/>
  <c r="F320" i="17"/>
  <c r="E320" i="17"/>
  <c r="D320" i="17"/>
  <c r="C320" i="17"/>
  <c r="L319" i="17"/>
  <c r="K319" i="17"/>
  <c r="J319" i="17"/>
  <c r="I319" i="17"/>
  <c r="H319" i="17"/>
  <c r="G319" i="17"/>
  <c r="F319" i="17"/>
  <c r="E319" i="17"/>
  <c r="D319" i="17"/>
  <c r="C319" i="17"/>
  <c r="L318" i="17"/>
  <c r="K318" i="17"/>
  <c r="J318" i="17"/>
  <c r="I318" i="17"/>
  <c r="H318" i="17"/>
  <c r="G318" i="17"/>
  <c r="F318" i="17"/>
  <c r="E318" i="17"/>
  <c r="D318" i="17"/>
  <c r="C318" i="17"/>
  <c r="L317" i="17"/>
  <c r="K317" i="17"/>
  <c r="J317" i="17"/>
  <c r="I317" i="17"/>
  <c r="H317" i="17"/>
  <c r="G317" i="17"/>
  <c r="F317" i="17"/>
  <c r="E317" i="17"/>
  <c r="D317" i="17"/>
  <c r="C317" i="17"/>
  <c r="L316" i="17"/>
  <c r="K316" i="17"/>
  <c r="J316" i="17"/>
  <c r="I316" i="17"/>
  <c r="H316" i="17"/>
  <c r="G316" i="17"/>
  <c r="F316" i="17"/>
  <c r="E316" i="17"/>
  <c r="D316" i="17"/>
  <c r="C316" i="17"/>
  <c r="L315" i="17"/>
  <c r="K315" i="17"/>
  <c r="J315" i="17"/>
  <c r="I315" i="17"/>
  <c r="H315" i="17"/>
  <c r="G315" i="17"/>
  <c r="F315" i="17"/>
  <c r="E315" i="17"/>
  <c r="D315" i="17"/>
  <c r="C315" i="17"/>
  <c r="L314" i="17"/>
  <c r="K314" i="17"/>
  <c r="J314" i="17"/>
  <c r="I314" i="17"/>
  <c r="H314" i="17"/>
  <c r="G314" i="17"/>
  <c r="F314" i="17"/>
  <c r="E314" i="17"/>
  <c r="D314" i="17"/>
  <c r="C314" i="17"/>
  <c r="L313" i="17"/>
  <c r="K313" i="17"/>
  <c r="J313" i="17"/>
  <c r="I313" i="17"/>
  <c r="H313" i="17"/>
  <c r="G313" i="17"/>
  <c r="F313" i="17"/>
  <c r="E313" i="17"/>
  <c r="D313" i="17"/>
  <c r="C313" i="17"/>
  <c r="L312" i="17"/>
  <c r="K312" i="17"/>
  <c r="J312" i="17"/>
  <c r="I312" i="17"/>
  <c r="H312" i="17"/>
  <c r="G312" i="17"/>
  <c r="F312" i="17"/>
  <c r="E312" i="17"/>
  <c r="D312" i="17"/>
  <c r="C312" i="17"/>
  <c r="L311" i="17"/>
  <c r="K311" i="17"/>
  <c r="J311" i="17"/>
  <c r="I311" i="17"/>
  <c r="H311" i="17"/>
  <c r="G311" i="17"/>
  <c r="F311" i="17"/>
  <c r="E311" i="17"/>
  <c r="D311" i="17"/>
  <c r="C311" i="17"/>
  <c r="L310" i="17"/>
  <c r="K310" i="17"/>
  <c r="J310" i="17"/>
  <c r="I310" i="17"/>
  <c r="H310" i="17"/>
  <c r="G310" i="17"/>
  <c r="F310" i="17"/>
  <c r="E310" i="17"/>
  <c r="D310" i="17"/>
  <c r="C310" i="17"/>
  <c r="L309" i="17"/>
  <c r="K309" i="17"/>
  <c r="J309" i="17"/>
  <c r="I309" i="17"/>
  <c r="H309" i="17"/>
  <c r="G309" i="17"/>
  <c r="F309" i="17"/>
  <c r="E309" i="17"/>
  <c r="D309" i="17"/>
  <c r="C309" i="17"/>
  <c r="L308" i="17"/>
  <c r="K308" i="17"/>
  <c r="J308" i="17"/>
  <c r="I308" i="17"/>
  <c r="H308" i="17"/>
  <c r="G308" i="17"/>
  <c r="F308" i="17"/>
  <c r="E308" i="17"/>
  <c r="D308" i="17"/>
  <c r="C308" i="17"/>
  <c r="L307" i="17"/>
  <c r="K307" i="17"/>
  <c r="J307" i="17"/>
  <c r="I307" i="17"/>
  <c r="H307" i="17"/>
  <c r="G307" i="17"/>
  <c r="F307" i="17"/>
  <c r="E307" i="17"/>
  <c r="D307" i="17"/>
  <c r="C307" i="17"/>
  <c r="L306" i="17"/>
  <c r="K306" i="17"/>
  <c r="J306" i="17"/>
  <c r="I306" i="17"/>
  <c r="H306" i="17"/>
  <c r="G306" i="17"/>
  <c r="F306" i="17"/>
  <c r="E306" i="17"/>
  <c r="D306" i="17"/>
  <c r="C306" i="17"/>
  <c r="L305" i="17"/>
  <c r="K305" i="17"/>
  <c r="J305" i="17"/>
  <c r="I305" i="17"/>
  <c r="H305" i="17"/>
  <c r="G305" i="17"/>
  <c r="F305" i="17"/>
  <c r="E305" i="17"/>
  <c r="D305" i="17"/>
  <c r="C305" i="17"/>
  <c r="L304" i="17"/>
  <c r="K304" i="17"/>
  <c r="J304" i="17"/>
  <c r="I304" i="17"/>
  <c r="H304" i="17"/>
  <c r="G304" i="17"/>
  <c r="F304" i="17"/>
  <c r="E304" i="17"/>
  <c r="D304" i="17"/>
  <c r="C304" i="17"/>
  <c r="L303" i="17"/>
  <c r="K303" i="17"/>
  <c r="J303" i="17"/>
  <c r="I303" i="17"/>
  <c r="H303" i="17"/>
  <c r="G303" i="17"/>
  <c r="F303" i="17"/>
  <c r="E303" i="17"/>
  <c r="D303" i="17"/>
  <c r="C303" i="17"/>
  <c r="L302" i="17"/>
  <c r="K302" i="17"/>
  <c r="J302" i="17"/>
  <c r="I302" i="17"/>
  <c r="H302" i="17"/>
  <c r="G302" i="17"/>
  <c r="F302" i="17"/>
  <c r="E302" i="17"/>
  <c r="D302" i="17"/>
  <c r="C302" i="17"/>
  <c r="L301" i="17"/>
  <c r="K301" i="17"/>
  <c r="J301" i="17"/>
  <c r="I301" i="17"/>
  <c r="H301" i="17"/>
  <c r="G301" i="17"/>
  <c r="F301" i="17"/>
  <c r="E301" i="17"/>
  <c r="D301" i="17"/>
  <c r="C301" i="17"/>
  <c r="L300" i="17"/>
  <c r="K300" i="17"/>
  <c r="J300" i="17"/>
  <c r="I300" i="17"/>
  <c r="H300" i="17"/>
  <c r="G300" i="17"/>
  <c r="F300" i="17"/>
  <c r="E300" i="17"/>
  <c r="D300" i="17"/>
  <c r="C300" i="17"/>
  <c r="L299" i="17"/>
  <c r="K299" i="17"/>
  <c r="J299" i="17"/>
  <c r="I299" i="17"/>
  <c r="H299" i="17"/>
  <c r="G299" i="17"/>
  <c r="F299" i="17"/>
  <c r="E299" i="17"/>
  <c r="D299" i="17"/>
  <c r="C299" i="17"/>
  <c r="L298" i="17"/>
  <c r="K298" i="17"/>
  <c r="J298" i="17"/>
  <c r="I298" i="17"/>
  <c r="H298" i="17"/>
  <c r="G298" i="17"/>
  <c r="F298" i="17"/>
  <c r="E298" i="17"/>
  <c r="D298" i="17"/>
  <c r="C298" i="17"/>
  <c r="L297" i="17"/>
  <c r="K297" i="17"/>
  <c r="J297" i="17"/>
  <c r="I297" i="17"/>
  <c r="H297" i="17"/>
  <c r="G297" i="17"/>
  <c r="F297" i="17"/>
  <c r="E297" i="17"/>
  <c r="D297" i="17"/>
  <c r="C297" i="17"/>
  <c r="L296" i="17"/>
  <c r="K296" i="17"/>
  <c r="J296" i="17"/>
  <c r="I296" i="17"/>
  <c r="H296" i="17"/>
  <c r="G296" i="17"/>
  <c r="F296" i="17"/>
  <c r="E296" i="17"/>
  <c r="D296" i="17"/>
  <c r="C296" i="17"/>
  <c r="L295" i="17"/>
  <c r="K295" i="17"/>
  <c r="J295" i="17"/>
  <c r="I295" i="17"/>
  <c r="H295" i="17"/>
  <c r="G295" i="17"/>
  <c r="F295" i="17"/>
  <c r="E295" i="17"/>
  <c r="D295" i="17"/>
  <c r="C295" i="17"/>
  <c r="L294" i="17"/>
  <c r="K294" i="17"/>
  <c r="J294" i="17"/>
  <c r="I294" i="17"/>
  <c r="H294" i="17"/>
  <c r="G294" i="17"/>
  <c r="F294" i="17"/>
  <c r="E294" i="17"/>
  <c r="D294" i="17"/>
  <c r="C294" i="17"/>
  <c r="L293" i="17"/>
  <c r="K293" i="17"/>
  <c r="J293" i="17"/>
  <c r="I293" i="17"/>
  <c r="H293" i="17"/>
  <c r="G293" i="17"/>
  <c r="F293" i="17"/>
  <c r="E293" i="17"/>
  <c r="D293" i="17"/>
  <c r="C293" i="17"/>
  <c r="L292" i="17"/>
  <c r="K292" i="17"/>
  <c r="J292" i="17"/>
  <c r="I292" i="17"/>
  <c r="H292" i="17"/>
  <c r="G292" i="17"/>
  <c r="F292" i="17"/>
  <c r="E292" i="17"/>
  <c r="D292" i="17"/>
  <c r="C292" i="17"/>
  <c r="L291" i="17"/>
  <c r="K291" i="17"/>
  <c r="J291" i="17"/>
  <c r="I291" i="17"/>
  <c r="H291" i="17"/>
  <c r="G291" i="17"/>
  <c r="F291" i="17"/>
  <c r="E291" i="17"/>
  <c r="D291" i="17"/>
  <c r="C291" i="17"/>
  <c r="L290" i="17"/>
  <c r="K290" i="17"/>
  <c r="J290" i="17"/>
  <c r="I290" i="17"/>
  <c r="H290" i="17"/>
  <c r="G290" i="17"/>
  <c r="F290" i="17"/>
  <c r="E290" i="17"/>
  <c r="D290" i="17"/>
  <c r="C290" i="17"/>
  <c r="L289" i="17"/>
  <c r="K289" i="17"/>
  <c r="J289" i="17"/>
  <c r="I289" i="17"/>
  <c r="H289" i="17"/>
  <c r="G289" i="17"/>
  <c r="F289" i="17"/>
  <c r="E289" i="17"/>
  <c r="D289" i="17"/>
  <c r="C289" i="17"/>
  <c r="L288" i="17"/>
  <c r="K288" i="17"/>
  <c r="J288" i="17"/>
  <c r="I288" i="17"/>
  <c r="H288" i="17"/>
  <c r="G288" i="17"/>
  <c r="F288" i="17"/>
  <c r="E288" i="17"/>
  <c r="D288" i="17"/>
  <c r="C288" i="17"/>
  <c r="L287" i="17"/>
  <c r="K287" i="17"/>
  <c r="J287" i="17"/>
  <c r="I287" i="17"/>
  <c r="H287" i="17"/>
  <c r="G287" i="17"/>
  <c r="F287" i="17"/>
  <c r="E287" i="17"/>
  <c r="D287" i="17"/>
  <c r="C287" i="17"/>
  <c r="L286" i="17"/>
  <c r="K286" i="17"/>
  <c r="J286" i="17"/>
  <c r="I286" i="17"/>
  <c r="H286" i="17"/>
  <c r="G286" i="17"/>
  <c r="F286" i="17"/>
  <c r="E286" i="17"/>
  <c r="D286" i="17"/>
  <c r="C286" i="17"/>
  <c r="O285" i="17"/>
  <c r="L285" i="17"/>
  <c r="K285" i="17"/>
  <c r="J285" i="17"/>
  <c r="I285" i="17"/>
  <c r="H285" i="17"/>
  <c r="G285" i="17"/>
  <c r="F285" i="17"/>
  <c r="E285" i="17"/>
  <c r="D285" i="17"/>
  <c r="C285" i="17"/>
  <c r="B285" i="17"/>
  <c r="A283" i="17"/>
  <c r="D104" i="17"/>
  <c r="B381" i="17" s="1"/>
  <c r="D103" i="17"/>
  <c r="B380" i="17" s="1"/>
  <c r="D102" i="17"/>
  <c r="B379" i="17" s="1"/>
  <c r="D101" i="17"/>
  <c r="B378" i="17" s="1"/>
  <c r="D100" i="17"/>
  <c r="B377" i="17" s="1"/>
  <c r="D99" i="17"/>
  <c r="B376" i="17" s="1"/>
  <c r="D98" i="17"/>
  <c r="B375" i="17" s="1"/>
  <c r="D97" i="17"/>
  <c r="B374" i="17" s="1"/>
  <c r="D96" i="17"/>
  <c r="B373" i="17" s="1"/>
  <c r="D95" i="17"/>
  <c r="B372" i="17" s="1"/>
  <c r="D94" i="17"/>
  <c r="B371" i="17" s="1"/>
  <c r="D93" i="17"/>
  <c r="B370" i="17" s="1"/>
  <c r="D92" i="17"/>
  <c r="B369" i="17" s="1"/>
  <c r="D91" i="17"/>
  <c r="B368" i="17" s="1"/>
  <c r="D90" i="17"/>
  <c r="B367" i="17" s="1"/>
  <c r="D89" i="17"/>
  <c r="B366" i="17" s="1"/>
  <c r="D88" i="17"/>
  <c r="B365" i="17" s="1"/>
  <c r="D87" i="17"/>
  <c r="B364" i="17" s="1"/>
  <c r="D86" i="17"/>
  <c r="B363" i="17" s="1"/>
  <c r="D85" i="17"/>
  <c r="B362" i="17" s="1"/>
  <c r="D84" i="17"/>
  <c r="B361" i="17" s="1"/>
  <c r="D83" i="17"/>
  <c r="B360" i="17" s="1"/>
  <c r="D82" i="17"/>
  <c r="B359" i="17" s="1"/>
  <c r="D81" i="17"/>
  <c r="B358" i="17" s="1"/>
  <c r="D80" i="17"/>
  <c r="B357" i="17" s="1"/>
  <c r="D79" i="17"/>
  <c r="B356" i="17" s="1"/>
  <c r="D78" i="17"/>
  <c r="B355" i="17" s="1"/>
  <c r="D77" i="17"/>
  <c r="B354" i="17" s="1"/>
  <c r="D76" i="17"/>
  <c r="B353" i="17" s="1"/>
  <c r="D75" i="17"/>
  <c r="B352" i="17" s="1"/>
  <c r="D74" i="17"/>
  <c r="B351" i="17" s="1"/>
  <c r="D73" i="17"/>
  <c r="B350" i="17" s="1"/>
  <c r="D72" i="17"/>
  <c r="B349" i="17" s="1"/>
  <c r="D71" i="17"/>
  <c r="B348" i="17" s="1"/>
  <c r="D70" i="17"/>
  <c r="B347" i="17" s="1"/>
  <c r="D69" i="17"/>
  <c r="B346" i="17" s="1"/>
  <c r="D68" i="17"/>
  <c r="B345" i="17" s="1"/>
  <c r="D67" i="17"/>
  <c r="B344" i="17" s="1"/>
  <c r="D66" i="17"/>
  <c r="B343" i="17" s="1"/>
  <c r="D65" i="17"/>
  <c r="B342" i="17" s="1"/>
  <c r="D64" i="17"/>
  <c r="B341" i="17" s="1"/>
  <c r="D63" i="17"/>
  <c r="B340" i="17" s="1"/>
  <c r="D62" i="17"/>
  <c r="B339" i="17" s="1"/>
  <c r="D61" i="17"/>
  <c r="B338" i="17" s="1"/>
  <c r="D60" i="17"/>
  <c r="B337" i="17" s="1"/>
  <c r="D59" i="17"/>
  <c r="B336" i="17" s="1"/>
  <c r="D58" i="17"/>
  <c r="B335" i="17" s="1"/>
  <c r="D57" i="17"/>
  <c r="B334" i="17" s="1"/>
  <c r="D56" i="17"/>
  <c r="B333" i="17" s="1"/>
  <c r="D55" i="17"/>
  <c r="B332" i="17" s="1"/>
  <c r="D54" i="17"/>
  <c r="B331" i="17" s="1"/>
  <c r="D53" i="17"/>
  <c r="B330" i="17" s="1"/>
  <c r="D52" i="17"/>
  <c r="B329" i="17" s="1"/>
  <c r="D51" i="17"/>
  <c r="B328" i="17" s="1"/>
  <c r="D50" i="17"/>
  <c r="B327" i="17" s="1"/>
  <c r="D49" i="17"/>
  <c r="B326" i="17" s="1"/>
  <c r="D48" i="17"/>
  <c r="B325" i="17" s="1"/>
  <c r="D47" i="17"/>
  <c r="B324" i="17" s="1"/>
  <c r="D46" i="17"/>
  <c r="B323" i="17" s="1"/>
  <c r="D45" i="17"/>
  <c r="B322" i="17" s="1"/>
  <c r="D44" i="17"/>
  <c r="B321" i="17" s="1"/>
  <c r="D43" i="17"/>
  <c r="B320" i="17" s="1"/>
  <c r="D42" i="17"/>
  <c r="B319" i="17" s="1"/>
  <c r="D41" i="17"/>
  <c r="B318" i="17" s="1"/>
  <c r="D40" i="17"/>
  <c r="B317" i="17" s="1"/>
  <c r="D39" i="17"/>
  <c r="B316" i="17" s="1"/>
  <c r="D38" i="17"/>
  <c r="B315" i="17" s="1"/>
  <c r="D37" i="17"/>
  <c r="B314" i="17" s="1"/>
  <c r="D36" i="17"/>
  <c r="B313" i="17" s="1"/>
  <c r="D35" i="17"/>
  <c r="B312" i="17" s="1"/>
  <c r="D34" i="17"/>
  <c r="B311" i="17" s="1"/>
  <c r="D33" i="17"/>
  <c r="B310" i="17" s="1"/>
  <c r="D32" i="17"/>
  <c r="B309" i="17" s="1"/>
  <c r="D31" i="17"/>
  <c r="B308" i="17" s="1"/>
  <c r="D30" i="17"/>
  <c r="B307" i="17" s="1"/>
  <c r="D29" i="17"/>
  <c r="B306" i="17" s="1"/>
  <c r="D28" i="17"/>
  <c r="B305" i="17" s="1"/>
  <c r="D27" i="17"/>
  <c r="B304" i="17" s="1"/>
  <c r="D26" i="17"/>
  <c r="B303" i="17" s="1"/>
  <c r="D25" i="17"/>
  <c r="B302" i="17" s="1"/>
  <c r="D24" i="17"/>
  <c r="B301" i="17" s="1"/>
  <c r="D23" i="17"/>
  <c r="B300" i="17" s="1"/>
  <c r="D22" i="17"/>
  <c r="B299" i="17" s="1"/>
  <c r="D21" i="17"/>
  <c r="B298" i="17" s="1"/>
  <c r="D20" i="17"/>
  <c r="B297" i="17" s="1"/>
  <c r="D19" i="17"/>
  <c r="B296" i="17" s="1"/>
  <c r="D18" i="17"/>
  <c r="B295" i="17" s="1"/>
  <c r="D17" i="17"/>
  <c r="B294" i="17" s="1"/>
  <c r="D16" i="17"/>
  <c r="B293" i="17" s="1"/>
  <c r="D15" i="17"/>
  <c r="B292" i="17" s="1"/>
  <c r="D14" i="17"/>
  <c r="B291" i="17" s="1"/>
  <c r="D13" i="17"/>
  <c r="B290" i="17" s="1"/>
  <c r="D12" i="17"/>
  <c r="B289" i="17" s="1"/>
  <c r="D11" i="17"/>
  <c r="B288" i="17" s="1"/>
  <c r="D10" i="17"/>
  <c r="B287" i="17" s="1"/>
  <c r="D9" i="17"/>
  <c r="B286" i="17" s="1"/>
  <c r="AL7" i="17"/>
  <c r="AK7" i="17"/>
  <c r="AJ7" i="17"/>
  <c r="AI7" i="17"/>
  <c r="AH7" i="17"/>
  <c r="AG7" i="17"/>
  <c r="AF7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R7" i="17"/>
  <c r="P7" i="17"/>
  <c r="O7" i="17"/>
  <c r="N7" i="17"/>
  <c r="M7" i="17"/>
  <c r="L7" i="17"/>
  <c r="K7" i="17"/>
  <c r="J7" i="17"/>
  <c r="I7" i="17"/>
  <c r="H7" i="17"/>
  <c r="G7" i="17"/>
  <c r="F7" i="17"/>
  <c r="AL6" i="17"/>
  <c r="AK6" i="17"/>
  <c r="AJ6" i="17"/>
  <c r="AI6" i="17"/>
  <c r="AH6" i="17"/>
  <c r="AG6" i="17"/>
  <c r="AF6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R6" i="17"/>
  <c r="P6" i="17"/>
  <c r="O6" i="17"/>
  <c r="N6" i="17"/>
  <c r="M6" i="17"/>
  <c r="L6" i="17"/>
  <c r="K6" i="17"/>
  <c r="J6" i="17"/>
  <c r="I6" i="17"/>
  <c r="H6" i="17"/>
  <c r="G6" i="17"/>
  <c r="F6" i="17"/>
  <c r="F5" i="16" l="1"/>
  <c r="A4" i="14" l="1"/>
  <c r="D4" i="15" l="1"/>
  <c r="E4" i="15" s="1"/>
  <c r="F4" i="15" s="1"/>
  <c r="G4" i="15" s="1"/>
  <c r="H4" i="15" s="1"/>
  <c r="I4" i="15" s="1"/>
  <c r="J4" i="15" s="1"/>
  <c r="K4" i="15" s="1"/>
  <c r="L4" i="15" s="1"/>
  <c r="M4" i="15" s="1"/>
  <c r="N4" i="15" s="1"/>
  <c r="O4" i="15" s="1"/>
  <c r="P4" i="15" s="1"/>
  <c r="Q4" i="15" s="1"/>
  <c r="R4" i="15" s="1"/>
  <c r="S4" i="15" s="1"/>
  <c r="T4" i="15" s="1"/>
  <c r="U4" i="15" s="1"/>
  <c r="V4" i="15" s="1"/>
  <c r="W4" i="15" s="1"/>
  <c r="X4" i="15" s="1"/>
  <c r="Y4" i="15" s="1"/>
  <c r="Z4" i="15" s="1"/>
  <c r="AA4" i="15" s="1"/>
  <c r="AB4" i="15" s="1"/>
  <c r="AC4" i="15" s="1"/>
  <c r="AD4" i="15" s="1"/>
  <c r="AE4" i="15" s="1"/>
  <c r="AF4" i="15" s="1"/>
  <c r="AG4" i="15" s="1"/>
  <c r="AH4" i="15" s="1"/>
  <c r="N7" i="9" l="1"/>
  <c r="M7" i="9"/>
  <c r="N6" i="9"/>
  <c r="M6" i="9"/>
  <c r="O6" i="9"/>
  <c r="O7" i="9"/>
  <c r="P7" i="9" l="1"/>
  <c r="L7" i="9"/>
  <c r="K7" i="9"/>
  <c r="J7" i="9"/>
  <c r="I7" i="9"/>
  <c r="H7" i="9"/>
  <c r="G7" i="9"/>
  <c r="F7" i="9"/>
  <c r="P6" i="9"/>
  <c r="L6" i="9"/>
  <c r="K6" i="9"/>
  <c r="J6" i="9"/>
  <c r="I6" i="9"/>
  <c r="H6" i="9"/>
  <c r="G6" i="9"/>
  <c r="F6" i="9"/>
  <c r="K6" i="10"/>
  <c r="K7" i="10"/>
  <c r="F6" i="10" l="1"/>
  <c r="G6" i="10"/>
  <c r="H6" i="10"/>
  <c r="I6" i="10"/>
  <c r="J6" i="10"/>
  <c r="F7" i="10"/>
  <c r="G7" i="10"/>
  <c r="H7" i="10"/>
  <c r="I7" i="10"/>
  <c r="J7" i="10"/>
  <c r="E6" i="10"/>
  <c r="AA4" i="14" l="1"/>
  <c r="AA5" i="14" l="1"/>
  <c r="AA6" i="14" s="1"/>
  <c r="AA7" i="14" s="1"/>
  <c r="AA8" i="14" s="1"/>
  <c r="AA9" i="14" s="1"/>
  <c r="AA10" i="14" s="1"/>
  <c r="AA11" i="14" s="1"/>
  <c r="AA12" i="14" s="1"/>
  <c r="AA13" i="14" s="1"/>
  <c r="AA14" i="14" s="1"/>
  <c r="AA15" i="14" s="1"/>
  <c r="AA16" i="14" s="1"/>
  <c r="AA17" i="14" s="1"/>
  <c r="AA18" i="14" s="1"/>
  <c r="AA19" i="14" s="1"/>
  <c r="AA20" i="14" s="1"/>
  <c r="AA21" i="14" s="1"/>
  <c r="AA22" i="14" s="1"/>
  <c r="AA23" i="14" s="1"/>
  <c r="AA24" i="14" s="1"/>
  <c r="AA25" i="14" s="1"/>
  <c r="AA26" i="14" s="1"/>
  <c r="AA27" i="14" s="1"/>
  <c r="AA28" i="14" s="1"/>
  <c r="AA29" i="14" s="1"/>
  <c r="AA30" i="14" s="1"/>
  <c r="AA31" i="14" s="1"/>
  <c r="AA32" i="14" s="1"/>
  <c r="AA33" i="14" s="1"/>
  <c r="AA34" i="14" s="1"/>
  <c r="AA35" i="14" s="1"/>
  <c r="AA36" i="14" s="1"/>
  <c r="AA37" i="14" s="1"/>
  <c r="AA38" i="14" s="1"/>
  <c r="AA39" i="14" s="1"/>
  <c r="AA40" i="14" s="1"/>
  <c r="AA41" i="14" s="1"/>
  <c r="AA42" i="14" s="1"/>
  <c r="AA43" i="14" s="1"/>
  <c r="AA44" i="14" s="1"/>
  <c r="AA45" i="14" s="1"/>
  <c r="AA46" i="14" s="1"/>
  <c r="AA47" i="14" s="1"/>
  <c r="AA48" i="14" s="1"/>
  <c r="AA49" i="14" s="1"/>
  <c r="AA50" i="14" s="1"/>
  <c r="AA51" i="14" s="1"/>
  <c r="AA52" i="14" s="1"/>
  <c r="AA53" i="14" s="1"/>
  <c r="AA54" i="14" s="1"/>
  <c r="AA55" i="14" s="1"/>
  <c r="AA56" i="14" s="1"/>
  <c r="AA57" i="14" s="1"/>
  <c r="AA58" i="14" s="1"/>
  <c r="AA59" i="14" s="1"/>
  <c r="AA60" i="14" s="1"/>
  <c r="AA61" i="14" s="1"/>
  <c r="AA62" i="14" s="1"/>
  <c r="AA63" i="14" s="1"/>
  <c r="AA64" i="14" s="1"/>
  <c r="AA65" i="14" s="1"/>
  <c r="AA66" i="14" s="1"/>
  <c r="AA67" i="14" s="1"/>
  <c r="AA68" i="14" s="1"/>
  <c r="AA69" i="14" s="1"/>
  <c r="AA70" i="14" s="1"/>
  <c r="AA71" i="14" s="1"/>
  <c r="AA72" i="14" s="1"/>
  <c r="AA73" i="14" s="1"/>
  <c r="AA74" i="14" s="1"/>
  <c r="AA75" i="14" s="1"/>
  <c r="AA76" i="14" s="1"/>
  <c r="AA77" i="14" s="1"/>
  <c r="AA78" i="14" s="1"/>
  <c r="AA79" i="14" s="1"/>
  <c r="AA80" i="14" s="1"/>
  <c r="AA81" i="14" s="1"/>
  <c r="AA82" i="14" s="1"/>
  <c r="AA83" i="14" s="1"/>
  <c r="AA84" i="14" s="1"/>
  <c r="AA85" i="14" s="1"/>
  <c r="AA86" i="14" s="1"/>
  <c r="AA87" i="14" s="1"/>
  <c r="AA88" i="14" s="1"/>
  <c r="AA89" i="14" s="1"/>
  <c r="AA90" i="14" s="1"/>
  <c r="AA91" i="14" s="1"/>
  <c r="AA92" i="14" s="1"/>
  <c r="AA93" i="14" s="1"/>
  <c r="AA94" i="14" s="1"/>
  <c r="AA95" i="14" s="1"/>
  <c r="AA96" i="14" s="1"/>
  <c r="AA97" i="14" s="1"/>
  <c r="AA98" i="14" s="1"/>
  <c r="AA99" i="14" s="1"/>
  <c r="W5" i="14" l="1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W32" i="14"/>
  <c r="W33" i="14"/>
  <c r="W34" i="14"/>
  <c r="W35" i="14"/>
  <c r="W36" i="14"/>
  <c r="W37" i="14"/>
  <c r="W38" i="14"/>
  <c r="W39" i="14"/>
  <c r="W40" i="14"/>
  <c r="W41" i="14"/>
  <c r="W42" i="14"/>
  <c r="W43" i="14"/>
  <c r="W44" i="14"/>
  <c r="W45" i="14"/>
  <c r="W46" i="14"/>
  <c r="W47" i="14"/>
  <c r="W48" i="14"/>
  <c r="W49" i="14"/>
  <c r="W50" i="14"/>
  <c r="W51" i="14"/>
  <c r="W52" i="14"/>
  <c r="W53" i="14"/>
  <c r="W54" i="14"/>
  <c r="W55" i="14"/>
  <c r="W56" i="14"/>
  <c r="W57" i="14"/>
  <c r="W58" i="14"/>
  <c r="W59" i="14"/>
  <c r="W60" i="14"/>
  <c r="W61" i="14"/>
  <c r="W62" i="14"/>
  <c r="W63" i="14"/>
  <c r="W64" i="14"/>
  <c r="W65" i="14"/>
  <c r="W66" i="14"/>
  <c r="W67" i="14"/>
  <c r="W68" i="14"/>
  <c r="W69" i="14"/>
  <c r="W70" i="14"/>
  <c r="W71" i="14"/>
  <c r="W72" i="14"/>
  <c r="W73" i="14"/>
  <c r="W74" i="14"/>
  <c r="W75" i="14"/>
  <c r="W76" i="14"/>
  <c r="W77" i="14"/>
  <c r="W78" i="14"/>
  <c r="W79" i="14"/>
  <c r="W80" i="14"/>
  <c r="W81" i="14"/>
  <c r="W82" i="14"/>
  <c r="W83" i="14"/>
  <c r="W84" i="14"/>
  <c r="W85" i="14"/>
  <c r="W86" i="14"/>
  <c r="W87" i="14"/>
  <c r="W88" i="14"/>
  <c r="W89" i="14"/>
  <c r="W90" i="14"/>
  <c r="W91" i="14"/>
  <c r="W92" i="14"/>
  <c r="W93" i="14"/>
  <c r="W94" i="14"/>
  <c r="W95" i="14"/>
  <c r="W96" i="14"/>
  <c r="W97" i="14"/>
  <c r="W98" i="14"/>
  <c r="W99" i="14"/>
  <c r="W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4" i="14"/>
  <c r="E99" i="13" l="1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5" i="14"/>
  <c r="F100" i="13"/>
  <c r="E100" i="13"/>
  <c r="F99" i="13"/>
  <c r="Z98" i="14"/>
  <c r="F98" i="13"/>
  <c r="F97" i="13"/>
  <c r="E97" i="13"/>
  <c r="F96" i="13"/>
  <c r="E96" i="13"/>
  <c r="F95" i="13"/>
  <c r="F94" i="13"/>
  <c r="E94" i="13"/>
  <c r="F93" i="13"/>
  <c r="E93" i="13"/>
  <c r="F92" i="13"/>
  <c r="E92" i="13"/>
  <c r="F91" i="13"/>
  <c r="F90" i="13"/>
  <c r="F89" i="13"/>
  <c r="E89" i="13"/>
  <c r="F88" i="13"/>
  <c r="E88" i="13"/>
  <c r="F87" i="13"/>
  <c r="F86" i="13"/>
  <c r="E86" i="13"/>
  <c r="F85" i="13"/>
  <c r="E85" i="13"/>
  <c r="F84" i="13"/>
  <c r="E84" i="13"/>
  <c r="F83" i="13"/>
  <c r="F82" i="13"/>
  <c r="F81" i="13"/>
  <c r="E81" i="13"/>
  <c r="F80" i="13"/>
  <c r="E80" i="13"/>
  <c r="F79" i="13"/>
  <c r="F78" i="13"/>
  <c r="E78" i="13"/>
  <c r="F77" i="13"/>
  <c r="E77" i="13"/>
  <c r="F76" i="13"/>
  <c r="E76" i="13"/>
  <c r="F75" i="13"/>
  <c r="F74" i="13"/>
  <c r="F73" i="13"/>
  <c r="E73" i="13"/>
  <c r="F72" i="13"/>
  <c r="E72" i="13"/>
  <c r="F71" i="13"/>
  <c r="F70" i="13"/>
  <c r="E70" i="13"/>
  <c r="F69" i="13"/>
  <c r="E69" i="13"/>
  <c r="F68" i="13"/>
  <c r="E68" i="13"/>
  <c r="F67" i="13"/>
  <c r="F66" i="13"/>
  <c r="F65" i="13"/>
  <c r="E65" i="13"/>
  <c r="F64" i="13"/>
  <c r="E64" i="13"/>
  <c r="F63" i="13"/>
  <c r="F62" i="13"/>
  <c r="E62" i="13"/>
  <c r="F61" i="13"/>
  <c r="E61" i="13"/>
  <c r="F60" i="13"/>
  <c r="E60" i="13"/>
  <c r="F59" i="13"/>
  <c r="F58" i="13"/>
  <c r="F57" i="13"/>
  <c r="E57" i="13"/>
  <c r="F56" i="13"/>
  <c r="E56" i="13"/>
  <c r="F55" i="13"/>
  <c r="F54" i="13"/>
  <c r="E54" i="13"/>
  <c r="F53" i="13"/>
  <c r="E53" i="13"/>
  <c r="F52" i="13"/>
  <c r="E52" i="13"/>
  <c r="F51" i="13"/>
  <c r="F50" i="13"/>
  <c r="F49" i="13"/>
  <c r="E49" i="13"/>
  <c r="F48" i="13"/>
  <c r="E48" i="13"/>
  <c r="F47" i="13"/>
  <c r="F46" i="13"/>
  <c r="E46" i="13"/>
  <c r="F45" i="13"/>
  <c r="E45" i="13"/>
  <c r="F44" i="13"/>
  <c r="E44" i="13"/>
  <c r="F43" i="13"/>
  <c r="F42" i="13"/>
  <c r="F41" i="13"/>
  <c r="E41" i="13"/>
  <c r="F40" i="13"/>
  <c r="E40" i="13"/>
  <c r="F39" i="13"/>
  <c r="F38" i="13"/>
  <c r="E38" i="13"/>
  <c r="F37" i="13"/>
  <c r="E37" i="13"/>
  <c r="F36" i="13"/>
  <c r="E36" i="13"/>
  <c r="F35" i="13"/>
  <c r="F34" i="13"/>
  <c r="F33" i="13"/>
  <c r="E33" i="13"/>
  <c r="F32" i="13"/>
  <c r="E32" i="13"/>
  <c r="F31" i="13"/>
  <c r="F30" i="13"/>
  <c r="E30" i="13"/>
  <c r="F29" i="13"/>
  <c r="E29" i="13"/>
  <c r="F28" i="13"/>
  <c r="E28" i="13"/>
  <c r="F27" i="13"/>
  <c r="F26" i="13"/>
  <c r="F25" i="13"/>
  <c r="E25" i="13"/>
  <c r="F24" i="13"/>
  <c r="E24" i="13"/>
  <c r="F23" i="13"/>
  <c r="F22" i="13"/>
  <c r="E22" i="13"/>
  <c r="F21" i="13"/>
  <c r="E21" i="13"/>
  <c r="F20" i="13"/>
  <c r="E20" i="13"/>
  <c r="F19" i="13"/>
  <c r="F18" i="13"/>
  <c r="F17" i="13"/>
  <c r="E17" i="13"/>
  <c r="F16" i="13"/>
  <c r="E16" i="13"/>
  <c r="F15" i="13"/>
  <c r="F14" i="13"/>
  <c r="E14" i="13"/>
  <c r="F13" i="13"/>
  <c r="E13" i="13"/>
  <c r="F12" i="13"/>
  <c r="E12" i="13"/>
  <c r="F11" i="13"/>
  <c r="F10" i="13"/>
  <c r="E10" i="13"/>
  <c r="F9" i="13"/>
  <c r="E9" i="13"/>
  <c r="F8" i="13"/>
  <c r="E8" i="13"/>
  <c r="F7" i="13"/>
  <c r="F6" i="13"/>
  <c r="E6" i="13"/>
  <c r="D7" i="13"/>
  <c r="F5" i="13"/>
  <c r="Z4" i="14"/>
  <c r="Z6" i="14" l="1"/>
  <c r="Z10" i="14"/>
  <c r="Z14" i="14"/>
  <c r="Z18" i="14"/>
  <c r="Z22" i="14"/>
  <c r="Z26" i="14"/>
  <c r="Z30" i="14"/>
  <c r="Z34" i="14"/>
  <c r="Z38" i="14"/>
  <c r="Z42" i="14"/>
  <c r="Z46" i="14"/>
  <c r="Z50" i="14"/>
  <c r="Z54" i="14"/>
  <c r="Z58" i="14"/>
  <c r="Z62" i="14"/>
  <c r="Z66" i="14"/>
  <c r="Z70" i="14"/>
  <c r="Z74" i="14"/>
  <c r="Z78" i="14"/>
  <c r="Z82" i="14"/>
  <c r="Z86" i="14"/>
  <c r="Z90" i="14"/>
  <c r="Z94" i="14"/>
  <c r="E59" i="13"/>
  <c r="E75" i="13"/>
  <c r="E11" i="13"/>
  <c r="E35" i="13"/>
  <c r="E51" i="13"/>
  <c r="E91" i="13"/>
  <c r="E27" i="13"/>
  <c r="E67" i="13"/>
  <c r="E43" i="13"/>
  <c r="E83" i="13"/>
  <c r="E19" i="13"/>
  <c r="D70" i="13"/>
  <c r="D30" i="13"/>
  <c r="D5" i="13"/>
  <c r="D85" i="13"/>
  <c r="D61" i="13"/>
  <c r="D45" i="13"/>
  <c r="D21" i="13"/>
  <c r="D100" i="13"/>
  <c r="D92" i="13"/>
  <c r="D84" i="13"/>
  <c r="D76" i="13"/>
  <c r="D68" i="13"/>
  <c r="D60" i="13"/>
  <c r="D52" i="13"/>
  <c r="D44" i="13"/>
  <c r="D36" i="13"/>
  <c r="D28" i="13"/>
  <c r="D20" i="13"/>
  <c r="D12" i="13"/>
  <c r="D86" i="13"/>
  <c r="D62" i="13"/>
  <c r="D46" i="13"/>
  <c r="D22" i="13"/>
  <c r="Z11" i="14"/>
  <c r="D93" i="13"/>
  <c r="D37" i="13"/>
  <c r="D13" i="13"/>
  <c r="D75" i="13"/>
  <c r="D27" i="13"/>
  <c r="Z5" i="14"/>
  <c r="Z17" i="14"/>
  <c r="Z25" i="14"/>
  <c r="Z33" i="14"/>
  <c r="Z41" i="14"/>
  <c r="Z49" i="14"/>
  <c r="Z57" i="14"/>
  <c r="Z65" i="14"/>
  <c r="Z73" i="14"/>
  <c r="Z81" i="14"/>
  <c r="Z89" i="14"/>
  <c r="Z97" i="14"/>
  <c r="D98" i="13"/>
  <c r="D90" i="13"/>
  <c r="D82" i="13"/>
  <c r="D74" i="13"/>
  <c r="D66" i="13"/>
  <c r="D58" i="13"/>
  <c r="D50" i="13"/>
  <c r="D42" i="13"/>
  <c r="D34" i="13"/>
  <c r="D26" i="13"/>
  <c r="D18" i="13"/>
  <c r="D10" i="13"/>
  <c r="E98" i="13"/>
  <c r="E90" i="13"/>
  <c r="E82" i="13"/>
  <c r="E74" i="13"/>
  <c r="E66" i="13"/>
  <c r="E58" i="13"/>
  <c r="E50" i="13"/>
  <c r="E42" i="13"/>
  <c r="E34" i="13"/>
  <c r="E26" i="13"/>
  <c r="E18" i="13"/>
  <c r="D94" i="13"/>
  <c r="D97" i="13"/>
  <c r="D89" i="13"/>
  <c r="D81" i="13"/>
  <c r="D73" i="13"/>
  <c r="D65" i="13"/>
  <c r="D57" i="13"/>
  <c r="D49" i="13"/>
  <c r="D41" i="13"/>
  <c r="D33" i="13"/>
  <c r="D25" i="13"/>
  <c r="D17" i="13"/>
  <c r="D9" i="13"/>
  <c r="D78" i="13"/>
  <c r="D54" i="13"/>
  <c r="D38" i="13"/>
  <c r="D14" i="13"/>
  <c r="D6" i="13"/>
  <c r="D77" i="13"/>
  <c r="D69" i="13"/>
  <c r="D53" i="13"/>
  <c r="D29" i="13"/>
  <c r="E5" i="13"/>
  <c r="D91" i="13"/>
  <c r="D67" i="13"/>
  <c r="D51" i="13"/>
  <c r="D35" i="13"/>
  <c r="D11" i="13"/>
  <c r="D96" i="13"/>
  <c r="D88" i="13"/>
  <c r="D80" i="13"/>
  <c r="D72" i="13"/>
  <c r="D64" i="13"/>
  <c r="D56" i="13"/>
  <c r="D48" i="13"/>
  <c r="D40" i="13"/>
  <c r="D32" i="13"/>
  <c r="D24" i="13"/>
  <c r="D16" i="13"/>
  <c r="D8" i="13"/>
  <c r="D99" i="13"/>
  <c r="D83" i="13"/>
  <c r="D59" i="13"/>
  <c r="D43" i="13"/>
  <c r="D19" i="13"/>
  <c r="D95" i="13"/>
  <c r="D87" i="13"/>
  <c r="D79" i="13"/>
  <c r="D71" i="13"/>
  <c r="D63" i="13"/>
  <c r="D55" i="13"/>
  <c r="D47" i="13"/>
  <c r="D39" i="13"/>
  <c r="D31" i="13"/>
  <c r="D23" i="13"/>
  <c r="D15" i="13"/>
  <c r="E95" i="13"/>
  <c r="E87" i="13"/>
  <c r="E79" i="13"/>
  <c r="E71" i="13"/>
  <c r="E63" i="13"/>
  <c r="E55" i="13"/>
  <c r="E47" i="13"/>
  <c r="E39" i="13"/>
  <c r="E31" i="13"/>
  <c r="E23" i="13"/>
  <c r="E15" i="13"/>
  <c r="E7" i="13"/>
  <c r="Z19" i="14"/>
  <c r="Z27" i="14"/>
  <c r="Z35" i="14"/>
  <c r="Z43" i="14"/>
  <c r="Z51" i="14"/>
  <c r="Z59" i="14"/>
  <c r="Z67" i="14"/>
  <c r="Z75" i="14"/>
  <c r="Z83" i="14"/>
  <c r="Z91" i="14"/>
  <c r="Z99" i="14"/>
  <c r="Z9" i="14"/>
  <c r="Z7" i="14"/>
  <c r="Z12" i="14"/>
  <c r="Z92" i="14"/>
  <c r="Z13" i="14"/>
  <c r="Z29" i="14"/>
  <c r="Z37" i="14"/>
  <c r="Z45" i="14"/>
  <c r="Z53" i="14"/>
  <c r="Z61" i="14"/>
  <c r="Z69" i="14"/>
  <c r="Z77" i="14"/>
  <c r="Z85" i="14"/>
  <c r="Z93" i="14"/>
  <c r="Z20" i="14"/>
  <c r="Z28" i="14"/>
  <c r="Z36" i="14"/>
  <c r="Z44" i="14"/>
  <c r="Z52" i="14"/>
  <c r="Z60" i="14"/>
  <c r="Z68" i="14"/>
  <c r="Z76" i="14"/>
  <c r="Z84" i="14"/>
  <c r="Z8" i="14"/>
  <c r="Z15" i="14"/>
  <c r="Z23" i="14"/>
  <c r="Z31" i="14"/>
  <c r="Z39" i="14"/>
  <c r="Z47" i="14"/>
  <c r="Z55" i="14"/>
  <c r="Z63" i="14"/>
  <c r="Z71" i="14"/>
  <c r="Z79" i="14"/>
  <c r="Z87" i="14"/>
  <c r="Z95" i="14"/>
  <c r="Z21" i="14"/>
  <c r="Z16" i="14"/>
  <c r="Z24" i="14"/>
  <c r="Z32" i="14"/>
  <c r="Z40" i="14"/>
  <c r="Z48" i="14"/>
  <c r="Z56" i="14"/>
  <c r="Z64" i="14"/>
  <c r="Z72" i="14"/>
  <c r="Z80" i="14"/>
  <c r="Z88" i="14"/>
  <c r="Z96" i="14"/>
  <c r="Y6" i="9" l="1"/>
  <c r="Y7" i="9"/>
  <c r="W6" i="9" l="1"/>
  <c r="A7" i="12" l="1"/>
  <c r="L6" i="10" l="1"/>
  <c r="M6" i="10"/>
  <c r="N6" i="10"/>
  <c r="O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E7" i="10"/>
  <c r="L7" i="10"/>
  <c r="M7" i="10"/>
  <c r="N7" i="10"/>
  <c r="O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R6" i="9"/>
  <c r="S6" i="9"/>
  <c r="T6" i="9"/>
  <c r="U6" i="9"/>
  <c r="V6" i="9"/>
  <c r="X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R7" i="9"/>
  <c r="S7" i="9"/>
  <c r="T7" i="9"/>
  <c r="U7" i="9"/>
  <c r="V7" i="9"/>
  <c r="W7" i="9"/>
  <c r="X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1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2" i="12"/>
  <c r="A3" i="12"/>
  <c r="A4" i="12"/>
  <c r="A5" i="12"/>
  <c r="A6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1" i="12"/>
  <c r="M388" i="10" l="1"/>
  <c r="L388" i="10"/>
  <c r="J388" i="10"/>
  <c r="I388" i="10"/>
  <c r="H388" i="10"/>
  <c r="G388" i="10"/>
  <c r="F388" i="10"/>
  <c r="E388" i="10"/>
  <c r="D388" i="10"/>
  <c r="C388" i="10"/>
  <c r="M387" i="10"/>
  <c r="L387" i="10"/>
  <c r="J387" i="10"/>
  <c r="I387" i="10"/>
  <c r="H387" i="10"/>
  <c r="G387" i="10"/>
  <c r="F387" i="10"/>
  <c r="E387" i="10"/>
  <c r="D387" i="10"/>
  <c r="C387" i="10"/>
  <c r="M386" i="10"/>
  <c r="L386" i="10"/>
  <c r="J386" i="10"/>
  <c r="I386" i="10"/>
  <c r="H386" i="10"/>
  <c r="G386" i="10"/>
  <c r="F386" i="10"/>
  <c r="E386" i="10"/>
  <c r="D386" i="10"/>
  <c r="C386" i="10"/>
  <c r="M385" i="10"/>
  <c r="L385" i="10"/>
  <c r="J385" i="10"/>
  <c r="I385" i="10"/>
  <c r="H385" i="10"/>
  <c r="G385" i="10"/>
  <c r="F385" i="10"/>
  <c r="E385" i="10"/>
  <c r="D385" i="10"/>
  <c r="C385" i="10"/>
  <c r="M384" i="10"/>
  <c r="L384" i="10"/>
  <c r="J384" i="10"/>
  <c r="I384" i="10"/>
  <c r="H384" i="10"/>
  <c r="G384" i="10"/>
  <c r="F384" i="10"/>
  <c r="E384" i="10"/>
  <c r="D384" i="10"/>
  <c r="C384" i="10"/>
  <c r="M383" i="10"/>
  <c r="L383" i="10"/>
  <c r="J383" i="10"/>
  <c r="I383" i="10"/>
  <c r="H383" i="10"/>
  <c r="G383" i="10"/>
  <c r="F383" i="10"/>
  <c r="E383" i="10"/>
  <c r="D383" i="10"/>
  <c r="C383" i="10"/>
  <c r="M382" i="10"/>
  <c r="L382" i="10"/>
  <c r="J382" i="10"/>
  <c r="I382" i="10"/>
  <c r="H382" i="10"/>
  <c r="G382" i="10"/>
  <c r="F382" i="10"/>
  <c r="E382" i="10"/>
  <c r="D382" i="10"/>
  <c r="C382" i="10"/>
  <c r="M381" i="10"/>
  <c r="L381" i="10"/>
  <c r="J381" i="10"/>
  <c r="I381" i="10"/>
  <c r="H381" i="10"/>
  <c r="G381" i="10"/>
  <c r="F381" i="10"/>
  <c r="E381" i="10"/>
  <c r="D381" i="10"/>
  <c r="C381" i="10"/>
  <c r="M380" i="10"/>
  <c r="L380" i="10"/>
  <c r="J380" i="10"/>
  <c r="I380" i="10"/>
  <c r="H380" i="10"/>
  <c r="G380" i="10"/>
  <c r="F380" i="10"/>
  <c r="E380" i="10"/>
  <c r="D380" i="10"/>
  <c r="C380" i="10"/>
  <c r="M379" i="10"/>
  <c r="L379" i="10"/>
  <c r="J379" i="10"/>
  <c r="I379" i="10"/>
  <c r="H379" i="10"/>
  <c r="G379" i="10"/>
  <c r="F379" i="10"/>
  <c r="E379" i="10"/>
  <c r="D379" i="10"/>
  <c r="C379" i="10"/>
  <c r="M378" i="10"/>
  <c r="L378" i="10"/>
  <c r="J378" i="10"/>
  <c r="I378" i="10"/>
  <c r="H378" i="10"/>
  <c r="G378" i="10"/>
  <c r="F378" i="10"/>
  <c r="E378" i="10"/>
  <c r="D378" i="10"/>
  <c r="C378" i="10"/>
  <c r="M377" i="10"/>
  <c r="L377" i="10"/>
  <c r="J377" i="10"/>
  <c r="I377" i="10"/>
  <c r="H377" i="10"/>
  <c r="G377" i="10"/>
  <c r="F377" i="10"/>
  <c r="E377" i="10"/>
  <c r="D377" i="10"/>
  <c r="C377" i="10"/>
  <c r="M376" i="10"/>
  <c r="L376" i="10"/>
  <c r="J376" i="10"/>
  <c r="I376" i="10"/>
  <c r="H376" i="10"/>
  <c r="G376" i="10"/>
  <c r="F376" i="10"/>
  <c r="E376" i="10"/>
  <c r="D376" i="10"/>
  <c r="C376" i="10"/>
  <c r="M375" i="10"/>
  <c r="L375" i="10"/>
  <c r="J375" i="10"/>
  <c r="I375" i="10"/>
  <c r="H375" i="10"/>
  <c r="G375" i="10"/>
  <c r="F375" i="10"/>
  <c r="E375" i="10"/>
  <c r="D375" i="10"/>
  <c r="C375" i="10"/>
  <c r="M374" i="10"/>
  <c r="L374" i="10"/>
  <c r="J374" i="10"/>
  <c r="I374" i="10"/>
  <c r="H374" i="10"/>
  <c r="G374" i="10"/>
  <c r="F374" i="10"/>
  <c r="E374" i="10"/>
  <c r="D374" i="10"/>
  <c r="C374" i="10"/>
  <c r="M373" i="10"/>
  <c r="L373" i="10"/>
  <c r="J373" i="10"/>
  <c r="I373" i="10"/>
  <c r="H373" i="10"/>
  <c r="G373" i="10"/>
  <c r="F373" i="10"/>
  <c r="E373" i="10"/>
  <c r="D373" i="10"/>
  <c r="C373" i="10"/>
  <c r="M372" i="10"/>
  <c r="L372" i="10"/>
  <c r="J372" i="10"/>
  <c r="I372" i="10"/>
  <c r="H372" i="10"/>
  <c r="G372" i="10"/>
  <c r="F372" i="10"/>
  <c r="E372" i="10"/>
  <c r="D372" i="10"/>
  <c r="C372" i="10"/>
  <c r="M371" i="10"/>
  <c r="L371" i="10"/>
  <c r="J371" i="10"/>
  <c r="I371" i="10"/>
  <c r="H371" i="10"/>
  <c r="G371" i="10"/>
  <c r="F371" i="10"/>
  <c r="E371" i="10"/>
  <c r="D371" i="10"/>
  <c r="C371" i="10"/>
  <c r="M370" i="10"/>
  <c r="L370" i="10"/>
  <c r="J370" i="10"/>
  <c r="I370" i="10"/>
  <c r="H370" i="10"/>
  <c r="G370" i="10"/>
  <c r="F370" i="10"/>
  <c r="E370" i="10"/>
  <c r="D370" i="10"/>
  <c r="C370" i="10"/>
  <c r="M369" i="10"/>
  <c r="L369" i="10"/>
  <c r="J369" i="10"/>
  <c r="I369" i="10"/>
  <c r="H369" i="10"/>
  <c r="G369" i="10"/>
  <c r="F369" i="10"/>
  <c r="E369" i="10"/>
  <c r="D369" i="10"/>
  <c r="C369" i="10"/>
  <c r="M368" i="10"/>
  <c r="L368" i="10"/>
  <c r="J368" i="10"/>
  <c r="I368" i="10"/>
  <c r="H368" i="10"/>
  <c r="G368" i="10"/>
  <c r="F368" i="10"/>
  <c r="E368" i="10"/>
  <c r="D368" i="10"/>
  <c r="C368" i="10"/>
  <c r="M367" i="10"/>
  <c r="L367" i="10"/>
  <c r="J367" i="10"/>
  <c r="I367" i="10"/>
  <c r="H367" i="10"/>
  <c r="G367" i="10"/>
  <c r="F367" i="10"/>
  <c r="E367" i="10"/>
  <c r="D367" i="10"/>
  <c r="C367" i="10"/>
  <c r="M366" i="10"/>
  <c r="L366" i="10"/>
  <c r="J366" i="10"/>
  <c r="I366" i="10"/>
  <c r="H366" i="10"/>
  <c r="G366" i="10"/>
  <c r="F366" i="10"/>
  <c r="E366" i="10"/>
  <c r="D366" i="10"/>
  <c r="C366" i="10"/>
  <c r="M365" i="10"/>
  <c r="L365" i="10"/>
  <c r="J365" i="10"/>
  <c r="I365" i="10"/>
  <c r="H365" i="10"/>
  <c r="G365" i="10"/>
  <c r="F365" i="10"/>
  <c r="E365" i="10"/>
  <c r="D365" i="10"/>
  <c r="C365" i="10"/>
  <c r="M364" i="10"/>
  <c r="L364" i="10"/>
  <c r="J364" i="10"/>
  <c r="I364" i="10"/>
  <c r="H364" i="10"/>
  <c r="G364" i="10"/>
  <c r="F364" i="10"/>
  <c r="E364" i="10"/>
  <c r="D364" i="10"/>
  <c r="C364" i="10"/>
  <c r="M363" i="10"/>
  <c r="L363" i="10"/>
  <c r="J363" i="10"/>
  <c r="I363" i="10"/>
  <c r="H363" i="10"/>
  <c r="G363" i="10"/>
  <c r="F363" i="10"/>
  <c r="E363" i="10"/>
  <c r="D363" i="10"/>
  <c r="C363" i="10"/>
  <c r="M362" i="10"/>
  <c r="L362" i="10"/>
  <c r="J362" i="10"/>
  <c r="I362" i="10"/>
  <c r="H362" i="10"/>
  <c r="G362" i="10"/>
  <c r="F362" i="10"/>
  <c r="E362" i="10"/>
  <c r="D362" i="10"/>
  <c r="C362" i="10"/>
  <c r="M361" i="10"/>
  <c r="L361" i="10"/>
  <c r="J361" i="10"/>
  <c r="I361" i="10"/>
  <c r="H361" i="10"/>
  <c r="G361" i="10"/>
  <c r="F361" i="10"/>
  <c r="E361" i="10"/>
  <c r="D361" i="10"/>
  <c r="C361" i="10"/>
  <c r="M360" i="10"/>
  <c r="L360" i="10"/>
  <c r="J360" i="10"/>
  <c r="I360" i="10"/>
  <c r="H360" i="10"/>
  <c r="G360" i="10"/>
  <c r="F360" i="10"/>
  <c r="E360" i="10"/>
  <c r="D360" i="10"/>
  <c r="C360" i="10"/>
  <c r="M359" i="10"/>
  <c r="L359" i="10"/>
  <c r="J359" i="10"/>
  <c r="I359" i="10"/>
  <c r="H359" i="10"/>
  <c r="G359" i="10"/>
  <c r="F359" i="10"/>
  <c r="E359" i="10"/>
  <c r="D359" i="10"/>
  <c r="C359" i="10"/>
  <c r="M358" i="10"/>
  <c r="L358" i="10"/>
  <c r="J358" i="10"/>
  <c r="I358" i="10"/>
  <c r="H358" i="10"/>
  <c r="G358" i="10"/>
  <c r="F358" i="10"/>
  <c r="E358" i="10"/>
  <c r="D358" i="10"/>
  <c r="C358" i="10"/>
  <c r="M357" i="10"/>
  <c r="L357" i="10"/>
  <c r="J357" i="10"/>
  <c r="I357" i="10"/>
  <c r="H357" i="10"/>
  <c r="G357" i="10"/>
  <c r="F357" i="10"/>
  <c r="E357" i="10"/>
  <c r="D357" i="10"/>
  <c r="C357" i="10"/>
  <c r="M356" i="10"/>
  <c r="L356" i="10"/>
  <c r="J356" i="10"/>
  <c r="I356" i="10"/>
  <c r="H356" i="10"/>
  <c r="G356" i="10"/>
  <c r="F356" i="10"/>
  <c r="E356" i="10"/>
  <c r="D356" i="10"/>
  <c r="C356" i="10"/>
  <c r="M355" i="10"/>
  <c r="L355" i="10"/>
  <c r="J355" i="10"/>
  <c r="I355" i="10"/>
  <c r="H355" i="10"/>
  <c r="G355" i="10"/>
  <c r="F355" i="10"/>
  <c r="E355" i="10"/>
  <c r="D355" i="10"/>
  <c r="C355" i="10"/>
  <c r="M354" i="10"/>
  <c r="L354" i="10"/>
  <c r="J354" i="10"/>
  <c r="I354" i="10"/>
  <c r="H354" i="10"/>
  <c r="G354" i="10"/>
  <c r="F354" i="10"/>
  <c r="E354" i="10"/>
  <c r="D354" i="10"/>
  <c r="C354" i="10"/>
  <c r="M353" i="10"/>
  <c r="L353" i="10"/>
  <c r="J353" i="10"/>
  <c r="I353" i="10"/>
  <c r="H353" i="10"/>
  <c r="G353" i="10"/>
  <c r="F353" i="10"/>
  <c r="E353" i="10"/>
  <c r="D353" i="10"/>
  <c r="C353" i="10"/>
  <c r="M352" i="10"/>
  <c r="L352" i="10"/>
  <c r="J352" i="10"/>
  <c r="I352" i="10"/>
  <c r="H352" i="10"/>
  <c r="G352" i="10"/>
  <c r="F352" i="10"/>
  <c r="E352" i="10"/>
  <c r="D352" i="10"/>
  <c r="C352" i="10"/>
  <c r="M351" i="10"/>
  <c r="L351" i="10"/>
  <c r="J351" i="10"/>
  <c r="I351" i="10"/>
  <c r="H351" i="10"/>
  <c r="G351" i="10"/>
  <c r="F351" i="10"/>
  <c r="E351" i="10"/>
  <c r="D351" i="10"/>
  <c r="C351" i="10"/>
  <c r="M350" i="10"/>
  <c r="L350" i="10"/>
  <c r="J350" i="10"/>
  <c r="I350" i="10"/>
  <c r="H350" i="10"/>
  <c r="G350" i="10"/>
  <c r="F350" i="10"/>
  <c r="E350" i="10"/>
  <c r="D350" i="10"/>
  <c r="C350" i="10"/>
  <c r="M349" i="10"/>
  <c r="L349" i="10"/>
  <c r="J349" i="10"/>
  <c r="I349" i="10"/>
  <c r="H349" i="10"/>
  <c r="G349" i="10"/>
  <c r="F349" i="10"/>
  <c r="E349" i="10"/>
  <c r="D349" i="10"/>
  <c r="C349" i="10"/>
  <c r="M348" i="10"/>
  <c r="L348" i="10"/>
  <c r="J348" i="10"/>
  <c r="I348" i="10"/>
  <c r="H348" i="10"/>
  <c r="G348" i="10"/>
  <c r="F348" i="10"/>
  <c r="E348" i="10"/>
  <c r="D348" i="10"/>
  <c r="C348" i="10"/>
  <c r="M347" i="10"/>
  <c r="L347" i="10"/>
  <c r="J347" i="10"/>
  <c r="I347" i="10"/>
  <c r="H347" i="10"/>
  <c r="G347" i="10"/>
  <c r="F347" i="10"/>
  <c r="E347" i="10"/>
  <c r="D347" i="10"/>
  <c r="C347" i="10"/>
  <c r="M346" i="10"/>
  <c r="L346" i="10"/>
  <c r="J346" i="10"/>
  <c r="I346" i="10"/>
  <c r="H346" i="10"/>
  <c r="G346" i="10"/>
  <c r="F346" i="10"/>
  <c r="E346" i="10"/>
  <c r="D346" i="10"/>
  <c r="C346" i="10"/>
  <c r="M345" i="10"/>
  <c r="L345" i="10"/>
  <c r="J345" i="10"/>
  <c r="I345" i="10"/>
  <c r="H345" i="10"/>
  <c r="G345" i="10"/>
  <c r="F345" i="10"/>
  <c r="E345" i="10"/>
  <c r="D345" i="10"/>
  <c r="C345" i="10"/>
  <c r="M344" i="10"/>
  <c r="L344" i="10"/>
  <c r="J344" i="10"/>
  <c r="I344" i="10"/>
  <c r="H344" i="10"/>
  <c r="G344" i="10"/>
  <c r="F344" i="10"/>
  <c r="E344" i="10"/>
  <c r="D344" i="10"/>
  <c r="C344" i="10"/>
  <c r="M343" i="10"/>
  <c r="L343" i="10"/>
  <c r="J343" i="10"/>
  <c r="I343" i="10"/>
  <c r="H343" i="10"/>
  <c r="G343" i="10"/>
  <c r="F343" i="10"/>
  <c r="E343" i="10"/>
  <c r="D343" i="10"/>
  <c r="C343" i="10"/>
  <c r="M342" i="10"/>
  <c r="L342" i="10"/>
  <c r="J342" i="10"/>
  <c r="I342" i="10"/>
  <c r="H342" i="10"/>
  <c r="G342" i="10"/>
  <c r="F342" i="10"/>
  <c r="E342" i="10"/>
  <c r="D342" i="10"/>
  <c r="C342" i="10"/>
  <c r="M341" i="10"/>
  <c r="L341" i="10"/>
  <c r="J341" i="10"/>
  <c r="I341" i="10"/>
  <c r="H341" i="10"/>
  <c r="G341" i="10"/>
  <c r="F341" i="10"/>
  <c r="E341" i="10"/>
  <c r="D341" i="10"/>
  <c r="C341" i="10"/>
  <c r="M340" i="10"/>
  <c r="L340" i="10"/>
  <c r="J340" i="10"/>
  <c r="I340" i="10"/>
  <c r="H340" i="10"/>
  <c r="G340" i="10"/>
  <c r="F340" i="10"/>
  <c r="E340" i="10"/>
  <c r="D340" i="10"/>
  <c r="C340" i="10"/>
  <c r="M339" i="10"/>
  <c r="L339" i="10"/>
  <c r="J339" i="10"/>
  <c r="I339" i="10"/>
  <c r="H339" i="10"/>
  <c r="G339" i="10"/>
  <c r="F339" i="10"/>
  <c r="E339" i="10"/>
  <c r="D339" i="10"/>
  <c r="C339" i="10"/>
  <c r="M338" i="10"/>
  <c r="L338" i="10"/>
  <c r="J338" i="10"/>
  <c r="I338" i="10"/>
  <c r="H338" i="10"/>
  <c r="G338" i="10"/>
  <c r="F338" i="10"/>
  <c r="E338" i="10"/>
  <c r="D338" i="10"/>
  <c r="C338" i="10"/>
  <c r="M337" i="10"/>
  <c r="L337" i="10"/>
  <c r="J337" i="10"/>
  <c r="I337" i="10"/>
  <c r="H337" i="10"/>
  <c r="G337" i="10"/>
  <c r="F337" i="10"/>
  <c r="E337" i="10"/>
  <c r="D337" i="10"/>
  <c r="C337" i="10"/>
  <c r="M336" i="10"/>
  <c r="L336" i="10"/>
  <c r="J336" i="10"/>
  <c r="I336" i="10"/>
  <c r="H336" i="10"/>
  <c r="G336" i="10"/>
  <c r="F336" i="10"/>
  <c r="E336" i="10"/>
  <c r="D336" i="10"/>
  <c r="C336" i="10"/>
  <c r="M335" i="10"/>
  <c r="L335" i="10"/>
  <c r="J335" i="10"/>
  <c r="I335" i="10"/>
  <c r="H335" i="10"/>
  <c r="G335" i="10"/>
  <c r="F335" i="10"/>
  <c r="E335" i="10"/>
  <c r="D335" i="10"/>
  <c r="C335" i="10"/>
  <c r="M334" i="10"/>
  <c r="L334" i="10"/>
  <c r="J334" i="10"/>
  <c r="I334" i="10"/>
  <c r="H334" i="10"/>
  <c r="G334" i="10"/>
  <c r="F334" i="10"/>
  <c r="E334" i="10"/>
  <c r="D334" i="10"/>
  <c r="C334" i="10"/>
  <c r="M333" i="10"/>
  <c r="L333" i="10"/>
  <c r="J333" i="10"/>
  <c r="I333" i="10"/>
  <c r="H333" i="10"/>
  <c r="G333" i="10"/>
  <c r="F333" i="10"/>
  <c r="E333" i="10"/>
  <c r="D333" i="10"/>
  <c r="C333" i="10"/>
  <c r="M332" i="10"/>
  <c r="L332" i="10"/>
  <c r="J332" i="10"/>
  <c r="I332" i="10"/>
  <c r="H332" i="10"/>
  <c r="G332" i="10"/>
  <c r="F332" i="10"/>
  <c r="E332" i="10"/>
  <c r="D332" i="10"/>
  <c r="C332" i="10"/>
  <c r="M331" i="10"/>
  <c r="L331" i="10"/>
  <c r="J331" i="10"/>
  <c r="I331" i="10"/>
  <c r="H331" i="10"/>
  <c r="G331" i="10"/>
  <c r="F331" i="10"/>
  <c r="E331" i="10"/>
  <c r="D331" i="10"/>
  <c r="C331" i="10"/>
  <c r="M330" i="10"/>
  <c r="L330" i="10"/>
  <c r="J330" i="10"/>
  <c r="I330" i="10"/>
  <c r="H330" i="10"/>
  <c r="G330" i="10"/>
  <c r="F330" i="10"/>
  <c r="E330" i="10"/>
  <c r="D330" i="10"/>
  <c r="C330" i="10"/>
  <c r="M329" i="10"/>
  <c r="L329" i="10"/>
  <c r="J329" i="10"/>
  <c r="I329" i="10"/>
  <c r="H329" i="10"/>
  <c r="G329" i="10"/>
  <c r="F329" i="10"/>
  <c r="E329" i="10"/>
  <c r="D329" i="10"/>
  <c r="C329" i="10"/>
  <c r="M328" i="10"/>
  <c r="L328" i="10"/>
  <c r="J328" i="10"/>
  <c r="I328" i="10"/>
  <c r="H328" i="10"/>
  <c r="G328" i="10"/>
  <c r="F328" i="10"/>
  <c r="E328" i="10"/>
  <c r="D328" i="10"/>
  <c r="C328" i="10"/>
  <c r="M327" i="10"/>
  <c r="L327" i="10"/>
  <c r="J327" i="10"/>
  <c r="I327" i="10"/>
  <c r="H327" i="10"/>
  <c r="G327" i="10"/>
  <c r="F327" i="10"/>
  <c r="E327" i="10"/>
  <c r="D327" i="10"/>
  <c r="C327" i="10"/>
  <c r="M326" i="10"/>
  <c r="L326" i="10"/>
  <c r="J326" i="10"/>
  <c r="I326" i="10"/>
  <c r="H326" i="10"/>
  <c r="G326" i="10"/>
  <c r="F326" i="10"/>
  <c r="E326" i="10"/>
  <c r="D326" i="10"/>
  <c r="C326" i="10"/>
  <c r="M325" i="10"/>
  <c r="L325" i="10"/>
  <c r="J325" i="10"/>
  <c r="I325" i="10"/>
  <c r="H325" i="10"/>
  <c r="G325" i="10"/>
  <c r="F325" i="10"/>
  <c r="E325" i="10"/>
  <c r="D325" i="10"/>
  <c r="C325" i="10"/>
  <c r="M324" i="10"/>
  <c r="L324" i="10"/>
  <c r="J324" i="10"/>
  <c r="I324" i="10"/>
  <c r="H324" i="10"/>
  <c r="G324" i="10"/>
  <c r="F324" i="10"/>
  <c r="E324" i="10"/>
  <c r="D324" i="10"/>
  <c r="C324" i="10"/>
  <c r="M323" i="10"/>
  <c r="L323" i="10"/>
  <c r="J323" i="10"/>
  <c r="I323" i="10"/>
  <c r="H323" i="10"/>
  <c r="G323" i="10"/>
  <c r="F323" i="10"/>
  <c r="E323" i="10"/>
  <c r="D323" i="10"/>
  <c r="C323" i="10"/>
  <c r="M322" i="10"/>
  <c r="L322" i="10"/>
  <c r="J322" i="10"/>
  <c r="I322" i="10"/>
  <c r="H322" i="10"/>
  <c r="G322" i="10"/>
  <c r="F322" i="10"/>
  <c r="E322" i="10"/>
  <c r="D322" i="10"/>
  <c r="C322" i="10"/>
  <c r="M321" i="10"/>
  <c r="L321" i="10"/>
  <c r="J321" i="10"/>
  <c r="I321" i="10"/>
  <c r="H321" i="10"/>
  <c r="G321" i="10"/>
  <c r="F321" i="10"/>
  <c r="E321" i="10"/>
  <c r="D321" i="10"/>
  <c r="C321" i="10"/>
  <c r="M320" i="10"/>
  <c r="L320" i="10"/>
  <c r="J320" i="10"/>
  <c r="I320" i="10"/>
  <c r="H320" i="10"/>
  <c r="G320" i="10"/>
  <c r="F320" i="10"/>
  <c r="E320" i="10"/>
  <c r="D320" i="10"/>
  <c r="C320" i="10"/>
  <c r="M319" i="10"/>
  <c r="L319" i="10"/>
  <c r="J319" i="10"/>
  <c r="I319" i="10"/>
  <c r="H319" i="10"/>
  <c r="G319" i="10"/>
  <c r="F319" i="10"/>
  <c r="E319" i="10"/>
  <c r="D319" i="10"/>
  <c r="C319" i="10"/>
  <c r="M318" i="10"/>
  <c r="L318" i="10"/>
  <c r="J318" i="10"/>
  <c r="I318" i="10"/>
  <c r="H318" i="10"/>
  <c r="G318" i="10"/>
  <c r="F318" i="10"/>
  <c r="E318" i="10"/>
  <c r="D318" i="10"/>
  <c r="C318" i="10"/>
  <c r="M317" i="10"/>
  <c r="L317" i="10"/>
  <c r="J317" i="10"/>
  <c r="I317" i="10"/>
  <c r="H317" i="10"/>
  <c r="G317" i="10"/>
  <c r="F317" i="10"/>
  <c r="E317" i="10"/>
  <c r="D317" i="10"/>
  <c r="C317" i="10"/>
  <c r="M316" i="10"/>
  <c r="L316" i="10"/>
  <c r="J316" i="10"/>
  <c r="I316" i="10"/>
  <c r="H316" i="10"/>
  <c r="G316" i="10"/>
  <c r="F316" i="10"/>
  <c r="E316" i="10"/>
  <c r="D316" i="10"/>
  <c r="C316" i="10"/>
  <c r="M315" i="10"/>
  <c r="L315" i="10"/>
  <c r="J315" i="10"/>
  <c r="I315" i="10"/>
  <c r="H315" i="10"/>
  <c r="G315" i="10"/>
  <c r="F315" i="10"/>
  <c r="E315" i="10"/>
  <c r="D315" i="10"/>
  <c r="C315" i="10"/>
  <c r="M314" i="10"/>
  <c r="L314" i="10"/>
  <c r="J314" i="10"/>
  <c r="I314" i="10"/>
  <c r="H314" i="10"/>
  <c r="G314" i="10"/>
  <c r="F314" i="10"/>
  <c r="E314" i="10"/>
  <c r="D314" i="10"/>
  <c r="C314" i="10"/>
  <c r="M313" i="10"/>
  <c r="L313" i="10"/>
  <c r="J313" i="10"/>
  <c r="I313" i="10"/>
  <c r="H313" i="10"/>
  <c r="G313" i="10"/>
  <c r="F313" i="10"/>
  <c r="E313" i="10"/>
  <c r="D313" i="10"/>
  <c r="C313" i="10"/>
  <c r="M312" i="10"/>
  <c r="L312" i="10"/>
  <c r="J312" i="10"/>
  <c r="I312" i="10"/>
  <c r="H312" i="10"/>
  <c r="G312" i="10"/>
  <c r="F312" i="10"/>
  <c r="E312" i="10"/>
  <c r="D312" i="10"/>
  <c r="C312" i="10"/>
  <c r="M311" i="10"/>
  <c r="L311" i="10"/>
  <c r="J311" i="10"/>
  <c r="I311" i="10"/>
  <c r="H311" i="10"/>
  <c r="G311" i="10"/>
  <c r="F311" i="10"/>
  <c r="E311" i="10"/>
  <c r="D311" i="10"/>
  <c r="C311" i="10"/>
  <c r="M310" i="10"/>
  <c r="L310" i="10"/>
  <c r="J310" i="10"/>
  <c r="I310" i="10"/>
  <c r="H310" i="10"/>
  <c r="G310" i="10"/>
  <c r="F310" i="10"/>
  <c r="E310" i="10"/>
  <c r="D310" i="10"/>
  <c r="C310" i="10"/>
  <c r="M309" i="10"/>
  <c r="L309" i="10"/>
  <c r="J309" i="10"/>
  <c r="I309" i="10"/>
  <c r="H309" i="10"/>
  <c r="G309" i="10"/>
  <c r="F309" i="10"/>
  <c r="E309" i="10"/>
  <c r="D309" i="10"/>
  <c r="C309" i="10"/>
  <c r="M308" i="10"/>
  <c r="L308" i="10"/>
  <c r="J308" i="10"/>
  <c r="I308" i="10"/>
  <c r="H308" i="10"/>
  <c r="G308" i="10"/>
  <c r="F308" i="10"/>
  <c r="E308" i="10"/>
  <c r="D308" i="10"/>
  <c r="C308" i="10"/>
  <c r="M307" i="10"/>
  <c r="L307" i="10"/>
  <c r="J307" i="10"/>
  <c r="I307" i="10"/>
  <c r="H307" i="10"/>
  <c r="G307" i="10"/>
  <c r="F307" i="10"/>
  <c r="E307" i="10"/>
  <c r="D307" i="10"/>
  <c r="C307" i="10"/>
  <c r="M306" i="10"/>
  <c r="L306" i="10"/>
  <c r="J306" i="10"/>
  <c r="I306" i="10"/>
  <c r="H306" i="10"/>
  <c r="G306" i="10"/>
  <c r="F306" i="10"/>
  <c r="E306" i="10"/>
  <c r="D306" i="10"/>
  <c r="C306" i="10"/>
  <c r="M305" i="10"/>
  <c r="L305" i="10"/>
  <c r="J305" i="10"/>
  <c r="I305" i="10"/>
  <c r="H305" i="10"/>
  <c r="G305" i="10"/>
  <c r="F305" i="10"/>
  <c r="E305" i="10"/>
  <c r="D305" i="10"/>
  <c r="C305" i="10"/>
  <c r="M304" i="10"/>
  <c r="L304" i="10"/>
  <c r="J304" i="10"/>
  <c r="I304" i="10"/>
  <c r="H304" i="10"/>
  <c r="G304" i="10"/>
  <c r="F304" i="10"/>
  <c r="E304" i="10"/>
  <c r="D304" i="10"/>
  <c r="C304" i="10"/>
  <c r="M303" i="10"/>
  <c r="L303" i="10"/>
  <c r="J303" i="10"/>
  <c r="I303" i="10"/>
  <c r="H303" i="10"/>
  <c r="G303" i="10"/>
  <c r="F303" i="10"/>
  <c r="E303" i="10"/>
  <c r="D303" i="10"/>
  <c r="C303" i="10"/>
  <c r="M302" i="10"/>
  <c r="L302" i="10"/>
  <c r="J302" i="10"/>
  <c r="I302" i="10"/>
  <c r="H302" i="10"/>
  <c r="G302" i="10"/>
  <c r="F302" i="10"/>
  <c r="E302" i="10"/>
  <c r="D302" i="10"/>
  <c r="C302" i="10"/>
  <c r="M301" i="10"/>
  <c r="L301" i="10"/>
  <c r="J301" i="10"/>
  <c r="I301" i="10"/>
  <c r="H301" i="10"/>
  <c r="G301" i="10"/>
  <c r="F301" i="10"/>
  <c r="E301" i="10"/>
  <c r="D301" i="10"/>
  <c r="C301" i="10"/>
  <c r="M300" i="10"/>
  <c r="L300" i="10"/>
  <c r="J300" i="10"/>
  <c r="I300" i="10"/>
  <c r="H300" i="10"/>
  <c r="G300" i="10"/>
  <c r="F300" i="10"/>
  <c r="E300" i="10"/>
  <c r="D300" i="10"/>
  <c r="C300" i="10"/>
  <c r="M299" i="10"/>
  <c r="L299" i="10"/>
  <c r="J299" i="10"/>
  <c r="I299" i="10"/>
  <c r="H299" i="10"/>
  <c r="G299" i="10"/>
  <c r="F299" i="10"/>
  <c r="E299" i="10"/>
  <c r="D299" i="10"/>
  <c r="C299" i="10"/>
  <c r="M298" i="10"/>
  <c r="L298" i="10"/>
  <c r="J298" i="10"/>
  <c r="I298" i="10"/>
  <c r="H298" i="10"/>
  <c r="G298" i="10"/>
  <c r="F298" i="10"/>
  <c r="E298" i="10"/>
  <c r="D298" i="10"/>
  <c r="C298" i="10"/>
  <c r="M297" i="10"/>
  <c r="L297" i="10"/>
  <c r="J297" i="10"/>
  <c r="I297" i="10"/>
  <c r="H297" i="10"/>
  <c r="G297" i="10"/>
  <c r="F297" i="10"/>
  <c r="E297" i="10"/>
  <c r="D297" i="10"/>
  <c r="C297" i="10"/>
  <c r="M296" i="10"/>
  <c r="L296" i="10"/>
  <c r="J296" i="10"/>
  <c r="I296" i="10"/>
  <c r="H296" i="10"/>
  <c r="G296" i="10"/>
  <c r="F296" i="10"/>
  <c r="E296" i="10"/>
  <c r="D296" i="10"/>
  <c r="C296" i="10"/>
  <c r="M295" i="10"/>
  <c r="L295" i="10"/>
  <c r="J295" i="10"/>
  <c r="I295" i="10"/>
  <c r="H295" i="10"/>
  <c r="G295" i="10"/>
  <c r="F295" i="10"/>
  <c r="E295" i="10"/>
  <c r="D295" i="10"/>
  <c r="C295" i="10"/>
  <c r="M294" i="10"/>
  <c r="L294" i="10"/>
  <c r="J294" i="10"/>
  <c r="I294" i="10"/>
  <c r="H294" i="10"/>
  <c r="G294" i="10"/>
  <c r="F294" i="10"/>
  <c r="E294" i="10"/>
  <c r="D294" i="10"/>
  <c r="C294" i="10"/>
  <c r="M293" i="10"/>
  <c r="L293" i="10"/>
  <c r="J293" i="10"/>
  <c r="I293" i="10"/>
  <c r="H293" i="10"/>
  <c r="G293" i="10"/>
  <c r="F293" i="10"/>
  <c r="E293" i="10"/>
  <c r="D293" i="10"/>
  <c r="C293" i="10"/>
  <c r="A290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C306" i="22" l="1"/>
  <c r="C335" i="22"/>
  <c r="C380" i="22"/>
  <c r="C298" i="22"/>
  <c r="C373" i="22"/>
  <c r="C366" i="22"/>
  <c r="C323" i="22"/>
  <c r="C377" i="22"/>
  <c r="C325" i="22"/>
  <c r="C337" i="22"/>
  <c r="C368" i="22"/>
  <c r="C304" i="22"/>
  <c r="C370" i="22"/>
  <c r="C331" i="22"/>
  <c r="C357" i="22"/>
  <c r="C385" i="22"/>
  <c r="C319" i="22"/>
  <c r="C372" i="22"/>
  <c r="C348" i="22"/>
  <c r="C340" i="22"/>
  <c r="C369" i="22"/>
  <c r="C336" i="22"/>
  <c r="C381" i="22"/>
  <c r="C367" i="22"/>
  <c r="C334" i="22"/>
  <c r="C317" i="22"/>
  <c r="C383" i="22"/>
  <c r="C321" i="22"/>
  <c r="C300" i="22"/>
  <c r="C338" i="22"/>
  <c r="C342" i="22"/>
  <c r="C364" i="22"/>
  <c r="C329" i="22"/>
  <c r="C327" i="22"/>
  <c r="C309" i="22"/>
  <c r="C312" i="22"/>
  <c r="C354" i="22"/>
  <c r="C303" i="22"/>
  <c r="C346" i="22"/>
  <c r="C361" i="22"/>
  <c r="C297" i="22"/>
  <c r="C365" i="22"/>
  <c r="C359" i="22"/>
  <c r="C295" i="22"/>
  <c r="C341" i="22"/>
  <c r="C379" i="22"/>
  <c r="C347" i="22"/>
  <c r="C307" i="22"/>
  <c r="C330" i="22"/>
  <c r="C313" i="22"/>
  <c r="C294" i="22"/>
  <c r="C328" i="22"/>
  <c r="C296" i="22"/>
  <c r="C314" i="22"/>
  <c r="C318" i="22"/>
  <c r="C316" i="22"/>
  <c r="C345" i="22"/>
  <c r="C374" i="22"/>
  <c r="C360" i="22"/>
  <c r="C358" i="22"/>
  <c r="C363" i="22"/>
  <c r="C378" i="22"/>
  <c r="C376" i="22"/>
  <c r="C339" i="22"/>
  <c r="C387" i="22"/>
  <c r="C352" i="22"/>
  <c r="C350" i="22"/>
  <c r="C301" i="22"/>
  <c r="C362" i="22"/>
  <c r="C308" i="22"/>
  <c r="C315" i="22"/>
  <c r="C344" i="22"/>
  <c r="C371" i="22"/>
  <c r="C332" i="22"/>
  <c r="C355" i="22"/>
  <c r="C386" i="22"/>
  <c r="C353" i="22"/>
  <c r="C384" i="22"/>
  <c r="C320" i="22"/>
  <c r="C349" i="22"/>
  <c r="C351" i="22"/>
  <c r="C382" i="22"/>
  <c r="C310" i="22"/>
  <c r="C293" i="22"/>
  <c r="A290" i="22"/>
  <c r="C333" i="22"/>
  <c r="C375" i="22"/>
  <c r="C343" i="22"/>
  <c r="C299" i="22"/>
  <c r="C322" i="22"/>
  <c r="C305" i="22"/>
  <c r="C388" i="22"/>
  <c r="C356" i="22"/>
  <c r="C324" i="22"/>
  <c r="C311" i="22"/>
  <c r="C326" i="22"/>
  <c r="C302" i="22"/>
  <c r="B314" i="22"/>
  <c r="B354" i="22"/>
  <c r="B330" i="22"/>
  <c r="B338" i="22"/>
  <c r="B298" i="22"/>
  <c r="B362" i="22"/>
  <c r="B322" i="22"/>
  <c r="B346" i="22"/>
  <c r="B306" i="22"/>
  <c r="B370" i="22"/>
  <c r="B378" i="22"/>
  <c r="B299" i="22"/>
  <c r="B307" i="22"/>
  <c r="B315" i="22"/>
  <c r="B323" i="22"/>
  <c r="B331" i="22"/>
  <c r="B339" i="22"/>
  <c r="B347" i="22"/>
  <c r="B355" i="22"/>
  <c r="B363" i="22"/>
  <c r="B371" i="22"/>
  <c r="B379" i="22"/>
  <c r="B387" i="22"/>
  <c r="B300" i="22"/>
  <c r="B308" i="22"/>
  <c r="B316" i="22"/>
  <c r="B324" i="22"/>
  <c r="B332" i="22"/>
  <c r="B340" i="22"/>
  <c r="B348" i="22"/>
  <c r="B356" i="22"/>
  <c r="B364" i="22"/>
  <c r="B372" i="22"/>
  <c r="B380" i="22"/>
  <c r="B388" i="22"/>
  <c r="B293" i="22"/>
  <c r="B301" i="22"/>
  <c r="B309" i="22"/>
  <c r="B317" i="22"/>
  <c r="B325" i="22"/>
  <c r="B333" i="22"/>
  <c r="B341" i="22"/>
  <c r="B349" i="22"/>
  <c r="B357" i="22"/>
  <c r="B365" i="22"/>
  <c r="B373" i="22"/>
  <c r="B381" i="22"/>
  <c r="B294" i="22"/>
  <c r="B302" i="22"/>
  <c r="B310" i="22"/>
  <c r="B318" i="22"/>
  <c r="B326" i="22"/>
  <c r="B334" i="22"/>
  <c r="B342" i="22"/>
  <c r="B350" i="22"/>
  <c r="B358" i="22"/>
  <c r="B366" i="22"/>
  <c r="B374" i="22"/>
  <c r="B382" i="22"/>
  <c r="B295" i="22"/>
  <c r="B303" i="22"/>
  <c r="B311" i="22"/>
  <c r="B319" i="22"/>
  <c r="B327" i="22"/>
  <c r="B335" i="22"/>
  <c r="B343" i="22"/>
  <c r="B351" i="22"/>
  <c r="B359" i="22"/>
  <c r="B367" i="22"/>
  <c r="B375" i="22"/>
  <c r="B383" i="22"/>
  <c r="B296" i="22"/>
  <c r="B304" i="22"/>
  <c r="B312" i="22"/>
  <c r="B320" i="22"/>
  <c r="B328" i="22"/>
  <c r="B336" i="22"/>
  <c r="B344" i="22"/>
  <c r="B352" i="22"/>
  <c r="B360" i="22"/>
  <c r="B368" i="22"/>
  <c r="B376" i="22"/>
  <c r="B384" i="22"/>
  <c r="B297" i="22"/>
  <c r="B305" i="22"/>
  <c r="B313" i="22"/>
  <c r="B321" i="22"/>
  <c r="B329" i="22"/>
  <c r="B337" i="22"/>
  <c r="B345" i="22"/>
  <c r="B353" i="22"/>
  <c r="B361" i="22"/>
  <c r="B369" i="22"/>
  <c r="B377" i="22"/>
  <c r="B385" i="22"/>
  <c r="B386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CEEA35-022B-4E86-926E-D9364D97F17A}" keepAlive="1" name="Query - APL_M_CustomerData (2)" description="Connection to the 'APL_M_CustomerData (2)' query in the workbook." type="5" refreshedVersion="7" background="1" saveData="1">
    <dbPr connection="Provider=Microsoft.Mashup.OleDb.1;Data Source=$Workbook$;Location=&quot;APL_M_CustomerData (2)&quot;;Extended Properties=&quot;&quot;" command="SELECT * FROM [APL_M_CustomerData (2)]"/>
  </connection>
</connections>
</file>

<file path=xl/sharedStrings.xml><?xml version="1.0" encoding="utf-8"?>
<sst xmlns="http://schemas.openxmlformats.org/spreadsheetml/2006/main" count="3197" uniqueCount="1457">
  <si>
    <t>Plant</t>
  </si>
  <si>
    <t>CustomerType</t>
  </si>
  <si>
    <t>Status</t>
  </si>
  <si>
    <t>CustomerName</t>
  </si>
  <si>
    <t>DCID</t>
  </si>
  <si>
    <t>SGID</t>
  </si>
  <si>
    <t>DCTagName</t>
  </si>
  <si>
    <t>SGTagName</t>
  </si>
  <si>
    <t>FuelCost</t>
  </si>
  <si>
    <t>DC Entry Sheet</t>
  </si>
  <si>
    <t>Select Date</t>
  </si>
  <si>
    <t>Revision Reason</t>
  </si>
  <si>
    <t>NORMAL</t>
  </si>
  <si>
    <t>Enter</t>
  </si>
  <si>
    <t xml:space="preserve">From </t>
  </si>
  <si>
    <t>Block No.</t>
  </si>
  <si>
    <t>To</t>
  </si>
  <si>
    <t>Rev No</t>
  </si>
  <si>
    <t>Client ID</t>
  </si>
  <si>
    <t>Clinet Type</t>
  </si>
  <si>
    <t>Block No</t>
  </si>
  <si>
    <t>DC</t>
  </si>
  <si>
    <t>FC</t>
  </si>
  <si>
    <t xml:space="preserve"> Select * from (SELECT Timestampid,DataId ,isnull([3],0) as DC,isnull([0],0) as FC,isnull([14],0) as TNEB,isnull([16],0) as RDPPC FROM (Select TimeStampID,ParaValue,ParaID,DataId from [EMS_Data].dbo.[InData]) q1 pivot ( sum(ParaValue) for ParaId in ([3],[0],[14],[16])) pt ) q1 where q1.DC&gt;0 )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</si>
  <si>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</si>
  <si>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dataid=(select DCRevNo from [EMS_Data].[dbo].[TodayMaxDCRevNo])and  timestampid between (SELECT MidnightTimeStampid+900  FROM [EMS_Network].[dbo].[BlockTimeData]) and  (SELECT MidnightTimeStampid+86400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</si>
  <si>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dataid=(select case when DCRevNo=0 then 0 else DcRevNo-1 end from [EMS_Data].[dbo].[TodayMaxDCRevNo])and  timestampid between (SELECT MidnightTimeStampid+900  FROM [EMS_Network].[dbo].[BlockTimeData]) and  (SELECT MidnightTimeStampid+86400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</si>
  <si>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dataid=(select DCRevNo from [EMS_Data].[dbo].[TodayMaxDCRevNo])and  timestampid between (SELECT MidnightTimeStampid+900+86400  FROM [EMS_Network].[dbo].[BlockTimeData]) and  (SELECT MidnightTimeStampid+86400+86400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</si>
  <si>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dataid=(select case when DCRevNo=0 then 0 else DcRevNo-1 end from [EMS_Data].[dbo].[TodayMaxDCRevNo])and  timestampid between (SELECT MidnightTimeStampid+900+86400  FROM [EMS_Network].[dbo].[BlockTimeData]) and  (SELECT MidnightTimeStampid+86400+86400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</si>
  <si>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dataid=0 and  timestampid between (SELECT MidnightTimeStampid+900  FROM [EMS_Network].[dbo].[BlockTimeData]) and  (SELECT MidnightTimeStampid+86400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</si>
  <si>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dataid=0 and  timestampid between (SELECT MidnightTimeStampid+900+86400  FROM [EMS_Network].[dbo].[BlockTimeData]) and  (SELECT MidnightTimeStampid+86400+86400  FROM [EMS_Network].[dbo].[BlockTimeData])) S1</t>
  </si>
  <si>
    <t xml:space="preserve">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 and dataid=0) S1</t>
  </si>
  <si>
    <t xml:space="preserve">Select distinct S2.timestampid as Tid,S1.*,S2.RevisionReason from ( Select * from (SELECT Timestampid,DataId ,isnull([3],0) as DC,isnull([0],0) as FC,isnull([14],0) as TNEB,isnull([16],0) as RDPPC FROM (Select TimeStampID,ParaValue,ParaID,DataId from [EMS_DCSG].dbo.[InData]) q1 pivot ( sum(ParaValue) for ParaId in ([3],[0],[14],[16])) pt ) q1 where q1.DC&gt;0 ) S1  full join (SELECT Timestampid,RevNo,DCSG,RID, RevisionReason FROM [EMS_DCSG].[dbo].[RevReasons]  where dcsg =1) S2 on S1.timestampid = S2.timestampid And S1.dataid = S2.revno  where S1.Dc &gt; 0 ) N1 </t>
  </si>
  <si>
    <t>SG Entry Sheet</t>
  </si>
  <si>
    <t>SG (MW)</t>
  </si>
  <si>
    <t>SG</t>
  </si>
  <si>
    <t xml:space="preserve"> Select * from (SELECT Timestampid,DataId ,isnull([4],0) as SG,isnull([1014],0) as TNEB,isnull([1016],0) as RDPPC FROM (Select TimeStampID,ParaValue,ParaID,DataId from [EMS_Data].dbo.[InData]) q1 pivot ( sum(ParaValue) for ParaId in ([4],[1014],[1016])) pt ) q1 where q1.SG&gt;0 )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</si>
  <si>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</si>
  <si>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dataid=(select SGRevNo from [EMS_Data].[dbo].[TodayMaxSGRevNo])and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</si>
  <si>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dataid=(select case when SGRevNo=0 then 0 else SGRevNo-1 end from [EMS_Data].[dbo].[TodayMaxSGRevNo])and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</si>
  <si>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dataid=(select SGRevNo from [EMS_Data].[dbo].[NextDayMaxSGRevNo])and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</si>
  <si>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dataid=(select case when SGRevNo=0 then 0 else SGRevNo-1 end from [EMS_Data].[dbo].[NextDayMaxSGRevNo])and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</si>
  <si>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dataid=0 and  timestampid between (SELECT MidnightTimeStampid+900  FROM [EMS_Network].[dbo].[BlockTimeData]) and  (SELECT MidnightTimeStampid+86400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</si>
  <si>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dataid=0 and  timestampid between (SELECT MidnightTimeStampid+900+86400  FROM [EMS_Network].[dbo].[BlockTimeData]) and  (SELECT MidnightTimeStampid+86400+86400  FROM [EMS_Network].[dbo].[BlockTimeData]) ) S1</t>
  </si>
  <si>
    <t xml:space="preserve"> Select * from (SELECT Timestampid,DataId ,isnull([4],0) as SG,isnull([1014],0) as TNEB,isnull([1016],0) as RDPPC FROM (Select TimeStampID,ParaValue,ParaID,DataId from [EMS_DCSG].dbo.[InData]) q1 pivot ( sum(ParaValue) for ParaId in ([4],[1014],[1016])) pt ) q1 where q1.SG&gt;0  and dataid=0) S1</t>
  </si>
  <si>
    <t xml:space="preserve">Select distinct S2.timestampid as Tid,S1.*,S2.RevisionReason from ( Select * from (SELECT Timestampid,DataId ,isnull([4],0) as SG,isnull([1014],0) as TNEB,isnull([1016],0) as RDPPC FROM (Select TimeStampID,ParaValue,ParaID,DataId from [EMS_DCSG].dbo.[InData]) q1 pivot ( sum(ParaValue) for ParaId in ([4],[1014],[1016])) pt ) q1 where q1.SG&gt;0 ) S1 full join (SELECT Timestampid,RevNo,DCSG,RID, RevisionReason FROM [EMS_DCSG].[dbo].[RevReasons]  where dcsg =2) S2 on S1.timestampid = S2.timestampid And S1.dataid = S2.revno  where S1.SG &gt; 0 ) N1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</si>
  <si>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</si>
  <si>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</si>
  <si>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</si>
  <si>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</si>
  <si>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</si>
  <si>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</si>
  <si>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</si>
  <si>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</si>
  <si>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</si>
  <si>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</si>
  <si>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</si>
  <si>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</si>
  <si>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</si>
  <si>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</si>
  <si>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</si>
  <si>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</si>
  <si>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</si>
  <si>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</si>
  <si>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</si>
  <si>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</si>
  <si>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</si>
  <si>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</si>
  <si>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</si>
  <si>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</si>
  <si>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</si>
  <si>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</si>
  <si>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 xml:space="preserve">      </t>
  </si>
  <si>
    <t>DC (MW)</t>
  </si>
  <si>
    <t>Id</t>
  </si>
  <si>
    <t/>
  </si>
  <si>
    <t>DC Data Written</t>
  </si>
  <si>
    <t>SG Data Written</t>
  </si>
  <si>
    <t>CreatedAt</t>
  </si>
  <si>
    <t>DC Total</t>
  </si>
  <si>
    <t>test</t>
  </si>
  <si>
    <t>Test</t>
  </si>
  <si>
    <t>TEST</t>
  </si>
  <si>
    <t>TEXT</t>
  </si>
  <si>
    <t>SG Total</t>
  </si>
  <si>
    <t>text</t>
  </si>
  <si>
    <t>Date</t>
  </si>
  <si>
    <t>Blk</t>
  </si>
  <si>
    <t>IEX Vol.</t>
  </si>
  <si>
    <t>IEX Price</t>
  </si>
  <si>
    <t>PXIL Vol.</t>
  </si>
  <si>
    <t>PXIL Price</t>
  </si>
  <si>
    <t>HPX Vol.</t>
  </si>
  <si>
    <t>HPX Price</t>
  </si>
  <si>
    <t>Weighted Avg. DAM</t>
  </si>
  <si>
    <t>Weighted Avg. RTM</t>
  </si>
  <si>
    <t>Normal Rate</t>
  </si>
  <si>
    <t>DAM</t>
  </si>
  <si>
    <t>GDAM</t>
  </si>
  <si>
    <t>RTM</t>
  </si>
  <si>
    <t>W1</t>
  </si>
  <si>
    <t>Reference Rate</t>
  </si>
  <si>
    <t>Ref Rate (Rs/kWh)</t>
  </si>
  <si>
    <t>DAM ACP (Rs/kWh)</t>
  </si>
  <si>
    <t>RTM ACP (Rs/kWh)</t>
  </si>
  <si>
    <t>AS Rate (Rs/kWh)</t>
  </si>
  <si>
    <t>SELECT MONTH</t>
  </si>
  <si>
    <t xml:space="preserve"> </t>
  </si>
  <si>
    <t>Total MW</t>
  </si>
  <si>
    <t>Ex-Bus Capacity</t>
  </si>
  <si>
    <t>Customers</t>
  </si>
  <si>
    <t>MW</t>
  </si>
  <si>
    <t>Ref-Rate</t>
  </si>
  <si>
    <t>ABC</t>
  </si>
  <si>
    <t>Active</t>
  </si>
  <si>
    <t>Open Access</t>
  </si>
  <si>
    <t>Stage_1</t>
  </si>
  <si>
    <t>Stage_2</t>
  </si>
  <si>
    <t>APL_M</t>
  </si>
  <si>
    <t>APL_M_DC_TOTAL</t>
  </si>
  <si>
    <t>APL_M_BLK_TOT_DC</t>
  </si>
  <si>
    <t>APL_M_FUEL_COST</t>
  </si>
  <si>
    <t>APL_M_BLK_FUEL_COST</t>
  </si>
  <si>
    <t>APL_M_SG_TOTAL</t>
  </si>
  <si>
    <t>APL_M_BLK_TOT_SG</t>
  </si>
  <si>
    <t>APL_M_ABC_BLK_DC</t>
  </si>
  <si>
    <t>APL_M_ABC_BLK_SG</t>
  </si>
  <si>
    <t>Stage_3(9)</t>
  </si>
  <si>
    <t>Stage_3(7_8)</t>
  </si>
  <si>
    <t>Mundra_Plant</t>
  </si>
  <si>
    <t>APL_M_Mundra_Plant_BLK_DC</t>
  </si>
  <si>
    <t>APL_M_Mundra_Plant_BLK_SG</t>
  </si>
  <si>
    <t>STAGE_1</t>
  </si>
  <si>
    <t>APL_M_STAGE_1_BLK_DC</t>
  </si>
  <si>
    <t>APL_M_STAGE_1_BLK_SG</t>
  </si>
  <si>
    <t>STAGE_2</t>
  </si>
  <si>
    <t>APL_M_STAGE_2_BLK_DC</t>
  </si>
  <si>
    <t>APL_M_STAGE_2_BLK_SG</t>
  </si>
  <si>
    <t>STAGE_3</t>
  </si>
  <si>
    <t>APL_M_STAGE_3_BLK_DC</t>
  </si>
  <si>
    <t>APL_M_STAGE_3_BLK_SG</t>
  </si>
  <si>
    <t>Eracon</t>
  </si>
  <si>
    <t>APL_M_Eracon_BLK_DC</t>
  </si>
  <si>
    <t>APL_M_Eracon_BLK_SG</t>
  </si>
  <si>
    <t>ST</t>
  </si>
  <si>
    <t>Aastha_Spintex</t>
  </si>
  <si>
    <t>APL_M_Aastha_Spintex_BLK_DC</t>
  </si>
  <si>
    <t>APL_M_Aastha_Spintex_BLK_SG</t>
  </si>
  <si>
    <t>Acecon</t>
  </si>
  <si>
    <t>APL_M_Acecon_BLK_DC</t>
  </si>
  <si>
    <t>APL_M_Acecon_BLK_SG</t>
  </si>
  <si>
    <t>Adani_Wilmar</t>
  </si>
  <si>
    <t>APL_M_Adani_Wilmar_BLK_DC</t>
  </si>
  <si>
    <t>APL_M_Adani_Wilmar_BLK_SG</t>
  </si>
  <si>
    <t>ADITYA_BIRLA_NUVO</t>
  </si>
  <si>
    <t>APL_M_ADITYA_BIRLA_NUVO_BLK_DC</t>
  </si>
  <si>
    <t>APL_M_ADITYA_BIRLA_NUVO_BLK_SG</t>
  </si>
  <si>
    <t>ADLAB</t>
  </si>
  <si>
    <t>APL_M_ADLAB_BLK_DC</t>
  </si>
  <si>
    <t>APL_M_ADLAB_BLK_SG</t>
  </si>
  <si>
    <t>AEL_NPCL</t>
  </si>
  <si>
    <t>APL_M_AEL_NPCL_BLK_DC</t>
  </si>
  <si>
    <t>APL_M_AEL_NPCL_BLK_SG</t>
  </si>
  <si>
    <t>AEML</t>
  </si>
  <si>
    <t>APL_M_AEML_BLK_DC</t>
  </si>
  <si>
    <t>APL_M_AEML_BLK_SG</t>
  </si>
  <si>
    <t>AEML_Firm</t>
  </si>
  <si>
    <t>APL_M_AEML_Firm_BLK_DC</t>
  </si>
  <si>
    <t>APL_M_AEML_Firm_BLK_SG</t>
  </si>
  <si>
    <t>AEML_INFRA</t>
  </si>
  <si>
    <t>APL_M_AEML_INFRA_BLK_DC</t>
  </si>
  <si>
    <t>APL_M_AEML_INFRA_BLK_SG</t>
  </si>
  <si>
    <t>AEML_STU</t>
  </si>
  <si>
    <t>APL_M_AEML_STU_BLK_DC</t>
  </si>
  <si>
    <t>APL_M_AEML_STU_BLK_SG</t>
  </si>
  <si>
    <t>AIA</t>
  </si>
  <si>
    <t>APL_M_AIA_BLK_DC</t>
  </si>
  <si>
    <t>APL_M_AIA_BLK_SG</t>
  </si>
  <si>
    <t>Alembic</t>
  </si>
  <si>
    <t>APL_M_Alembic_BLK_DC</t>
  </si>
  <si>
    <t>APL_M_Alembic_BLK_SG</t>
  </si>
  <si>
    <t>ALICON</t>
  </si>
  <si>
    <t>APL_M_ALICON_BLK_DC</t>
  </si>
  <si>
    <t>APL_M_ALICON_BLK_SG</t>
  </si>
  <si>
    <t>Aligarh_cement</t>
  </si>
  <si>
    <t>APL_M_Aligarh_cement_BLK_DC</t>
  </si>
  <si>
    <t>APL_M_Aligarh_cement_BLK_SG</t>
  </si>
  <si>
    <t>Allana</t>
  </si>
  <si>
    <t>APL_M_Allana_BLK_DC</t>
  </si>
  <si>
    <t>APL_M_Allana_BLK_SG</t>
  </si>
  <si>
    <t>Ambica_Steel</t>
  </si>
  <si>
    <t>APL_M_Ambica_Steel_BLK_DC</t>
  </si>
  <si>
    <t>APL_M_Ambica_Steel_BLK_SG</t>
  </si>
  <si>
    <t>Amcor</t>
  </si>
  <si>
    <t>APL_M_Amcor_BLK_DC</t>
  </si>
  <si>
    <t>APL_M_Amcor_BLK_SG</t>
  </si>
  <si>
    <t>Antique_Marbonite</t>
  </si>
  <si>
    <t>APL_M_Antique_Marbonite_BLK_DC</t>
  </si>
  <si>
    <t>APL_M_Antique_Marbonite_BLK_SG</t>
  </si>
  <si>
    <t>APDCL</t>
  </si>
  <si>
    <t>APL_M_APDCL_BLK_DC</t>
  </si>
  <si>
    <t>APL_M_APDCL_BLK_SG</t>
  </si>
  <si>
    <t>APPCC</t>
  </si>
  <si>
    <t>APL_M_APPCC_BLK_DC</t>
  </si>
  <si>
    <t>APL_M_APPCC_BLK_SG</t>
  </si>
  <si>
    <t>APPCPL</t>
  </si>
  <si>
    <t>APL_M_APPCPL_BLK_DC</t>
  </si>
  <si>
    <t>APL_M_APPCPL_BLK_SG</t>
  </si>
  <si>
    <t>APPCPL_GINNI</t>
  </si>
  <si>
    <t>APL_M_APPCPL_GINNI_BLK_DC</t>
  </si>
  <si>
    <t>APL_M_APPCPL_GINNI_BLK_SG</t>
  </si>
  <si>
    <t>APPCPL_GOYAL</t>
  </si>
  <si>
    <t>APL_M_APPCPL_GOYAL_BLK_DC</t>
  </si>
  <si>
    <t>APL_M_APPCPL_GOYAL_BLK_SG</t>
  </si>
  <si>
    <t>APPCPL_HP</t>
  </si>
  <si>
    <t>APL_M_APPCPL_HP_BLK_DC</t>
  </si>
  <si>
    <t>APL_M_APPCPL_HP_BLK_SG</t>
  </si>
  <si>
    <t>APPCPL_HPSEB</t>
  </si>
  <si>
    <t>APL_M_APPCPL_HPSEB_BLK_DC</t>
  </si>
  <si>
    <t>APL_M_APPCPL_HPSEB_BLK_SG</t>
  </si>
  <si>
    <t>APPCPL_Meghalaya</t>
  </si>
  <si>
    <t>APL_M_APPCPL_Meghalaya_BLK_DC</t>
  </si>
  <si>
    <t>APL_M_APPCPL_Meghalaya_BLK_SG</t>
  </si>
  <si>
    <t>APPCPL_RIMJIM_ISPATH</t>
  </si>
  <si>
    <t>APL_M_APPCPL_RIMJIM_ISPATH_BLK_DC</t>
  </si>
  <si>
    <t>APL_M_APPCPL_RIMJIM_ISPATH_BLK_SG</t>
  </si>
  <si>
    <t>APPCPL_RIMJIM_STAINLESS_STEEL</t>
  </si>
  <si>
    <t>APL_M_APPCPL_RIMJIM_STAINLESS_STEEL_BLK_DC</t>
  </si>
  <si>
    <t>APL_M_APPCPL_RIMJIM_STAINLESS_STEEL_BLK_SG</t>
  </si>
  <si>
    <t>APPCPL_Sikkim</t>
  </si>
  <si>
    <t>APL_M_APPCPL_Sikkim_BLK_DC</t>
  </si>
  <si>
    <t>APL_M_APPCPL_Sikkim_BLK_SG</t>
  </si>
  <si>
    <t>APPCPL_UPInd</t>
  </si>
  <si>
    <t>APL_M_APPCPL_UPInd_BLK_DC</t>
  </si>
  <si>
    <t>APL_M_APPCPL_UPInd_BLK_SG</t>
  </si>
  <si>
    <t>APPPCL_BRPL</t>
  </si>
  <si>
    <t>APL_M_APPPCL_BRPL_BLK_DC</t>
  </si>
  <si>
    <t>APL_M_APPPCL_BRPL_BLK_SG</t>
  </si>
  <si>
    <t>APSPDCL</t>
  </si>
  <si>
    <t>APL_M_APSPDCL_BLK_DC</t>
  </si>
  <si>
    <t>APL_M_APSPDCL_BLK_SG</t>
  </si>
  <si>
    <t>ARPIPL</t>
  </si>
  <si>
    <t>APL_M_ARPIPL_BLK_DC</t>
  </si>
  <si>
    <t>APL_M_ARPIPL_BLK_SG</t>
  </si>
  <si>
    <t>ARVIND</t>
  </si>
  <si>
    <t>APL_M_ARVIND_BLK_DC</t>
  </si>
  <si>
    <t>APL_M_ARVIND_BLK_SG</t>
  </si>
  <si>
    <t>Arvind_Cotspin</t>
  </si>
  <si>
    <t>APL_M_Arvind_Cotspin_BLK_DC</t>
  </si>
  <si>
    <t>APL_M_Arvind_Cotspin_BLK_SG</t>
  </si>
  <si>
    <t>Arvind_Intex</t>
  </si>
  <si>
    <t>APL_M_Arvind_Intex_BLK_DC</t>
  </si>
  <si>
    <t>APL_M_Arvind_Intex_BLK_SG</t>
  </si>
  <si>
    <t>Arvind_Khatrej</t>
  </si>
  <si>
    <t>APL_M_Arvind_Khatrej_BLK_DC</t>
  </si>
  <si>
    <t>APL_M_Arvind_Khatrej_BLK_SG</t>
  </si>
  <si>
    <t>Arvind_Ltd_HT_8000029</t>
  </si>
  <si>
    <t>APL_M_Arvind_Ltd_(HT_8000029)_BLK_DC</t>
  </si>
  <si>
    <t>APL_M_Arvind_Ltd_(HT_8000029)_BLK_SG</t>
  </si>
  <si>
    <t>ARVIND_MILLS</t>
  </si>
  <si>
    <t>APL_M_ARVIND_MILLS_BLK_DC</t>
  </si>
  <si>
    <t>APL_M_ARVIND_MILLS_BLK_SG</t>
  </si>
  <si>
    <t>Arvind_Naroda</t>
  </si>
  <si>
    <t>APL_M_Arvind_Naroda_BLK_DC</t>
  </si>
  <si>
    <t>APL_M_Arvind_Naroda_BLK_SG</t>
  </si>
  <si>
    <t>Asia_polyfilms</t>
  </si>
  <si>
    <t>APL_M_Asia_polyfilms_BLK_DC</t>
  </si>
  <si>
    <t>APL_M_Asia_polyfilms_BLK_SG</t>
  </si>
  <si>
    <t>Asian_Color</t>
  </si>
  <si>
    <t>APL_M_Asian_Color_BLK_DC</t>
  </si>
  <si>
    <t>APL_M_Asian_Color_BLK_SG</t>
  </si>
  <si>
    <t>Asian_Granito</t>
  </si>
  <si>
    <t>APL_M_Asian_Granito_BLK_DC</t>
  </si>
  <si>
    <t>APL_M_Asian_Granito_BLK_SG</t>
  </si>
  <si>
    <t>ASSAM</t>
  </si>
  <si>
    <t>APL_M_ASSAM_BLK_DC</t>
  </si>
  <si>
    <t>APL_M_ASSAM_BLK_SG</t>
  </si>
  <si>
    <t>Astral_Dholka</t>
  </si>
  <si>
    <t>APL_M_Astral_Dholka_BLK_DC</t>
  </si>
  <si>
    <t>APL_M_Astral_Dholka_BLK_SG</t>
  </si>
  <si>
    <t>Astral_Santej</t>
  </si>
  <si>
    <t>APL_M_Astral_Santej_BLK_DC</t>
  </si>
  <si>
    <t>APL_M_Astral_Santej_BLK_SG</t>
  </si>
  <si>
    <t>Astral_Poly_Technik_Ltd</t>
  </si>
  <si>
    <t>APL_M_Astral_Poly_Technik_Ltd_BLK_DC</t>
  </si>
  <si>
    <t>APL_M_Astral_Poly_Technik_Ltd_BLK_SG</t>
  </si>
  <si>
    <t>ATC_Tires_Pvt._Ltd.</t>
  </si>
  <si>
    <t>APL_M_ATC_Tires_Pvt._Ltd._BLK_DC</t>
  </si>
  <si>
    <t>APL_M_ATC_Tires_Pvt._Ltd._BLK_SG</t>
  </si>
  <si>
    <t>ATLAS</t>
  </si>
  <si>
    <t>APL_M_ATLAS_BLK_DC</t>
  </si>
  <si>
    <t>APL_M_ATLAS_BLK_SG</t>
  </si>
  <si>
    <t>AXWELL_Grantio</t>
  </si>
  <si>
    <t>APL_M_AXWELL_Grantio_BLK_DC</t>
  </si>
  <si>
    <t>APL_M_AXWELL_Grantio_BLK_SG</t>
  </si>
  <si>
    <t>BALCO</t>
  </si>
  <si>
    <t>APL_M_BALCO_BLK_DC</t>
  </si>
  <si>
    <t>APL_M_BALCO_BLK_SG</t>
  </si>
  <si>
    <t>BALMER</t>
  </si>
  <si>
    <t>APL_M_BALMER_BLK_DC</t>
  </si>
  <si>
    <t>APL_M_BALMER_BLK_SG</t>
  </si>
  <si>
    <t>Bekaert</t>
  </si>
  <si>
    <t>APL_M_Bekaert_BLK_DC</t>
  </si>
  <si>
    <t>APL_M_Bekaert_BLK_SG</t>
  </si>
  <si>
    <t>BESCOM</t>
  </si>
  <si>
    <t>APL_M_BESCOM_BLK_DC</t>
  </si>
  <si>
    <t>APL_M_BESCOM_BLK_SG</t>
  </si>
  <si>
    <t>BEST</t>
  </si>
  <si>
    <t>APL_M_BEST_BLK_DC</t>
  </si>
  <si>
    <t>APL_M_BEST_BLK_SG</t>
  </si>
  <si>
    <t>BHAGIRATH</t>
  </si>
  <si>
    <t>APL_M_BHAGIRATH_BLK_DC</t>
  </si>
  <si>
    <t>APL_M_BHAGIRATH_BLK_SG</t>
  </si>
  <si>
    <t>Bharat_Gears</t>
  </si>
  <si>
    <t>APL_M_Bharat_Gears_BLK_DC</t>
  </si>
  <si>
    <t>APL_M_Bharat_Gears_BLK_SG</t>
  </si>
  <si>
    <t>Bharuch</t>
  </si>
  <si>
    <t>APL_M_Bharuch_BLK_DC</t>
  </si>
  <si>
    <t>APL_M_Bharuch_BLK_SG</t>
  </si>
  <si>
    <t>Bharuch_Eco</t>
  </si>
  <si>
    <t>APL_M_Bharuch_Eco_BLK_DC</t>
  </si>
  <si>
    <t>APL_M_Bharuch_Eco_BLK_SG</t>
  </si>
  <si>
    <t>BILT</t>
  </si>
  <si>
    <t>APL_M_BILT_BLK_DC</t>
  </si>
  <si>
    <t>APL_M_BILT_BLK_SG</t>
  </si>
  <si>
    <t>Biltube</t>
  </si>
  <si>
    <t>APL_M_Biltube_BLK_DC</t>
  </si>
  <si>
    <t>APL_M_Biltube_BLK_SG</t>
  </si>
  <si>
    <t>BIRLA_COTSYN</t>
  </si>
  <si>
    <t>APL_M_BIRLA_COTSYN_BLK_DC</t>
  </si>
  <si>
    <t>APL_M_BIRLA_COTSYN_BLK_SG</t>
  </si>
  <si>
    <t>Borosil</t>
  </si>
  <si>
    <t>APL_M_Borosil_BLK_DC</t>
  </si>
  <si>
    <t>APL_M_Borosil_BLK_SG</t>
  </si>
  <si>
    <t>Bosch</t>
  </si>
  <si>
    <t>APL_M_Bosch_BLK_DC</t>
  </si>
  <si>
    <t>APL_M_Bosch_BLK_SG</t>
  </si>
  <si>
    <t>Bronze_Granito</t>
  </si>
  <si>
    <t>APL_M_Bronze_Granito_BLK_DC</t>
  </si>
  <si>
    <t>APL_M_Bronze_Granito_BLK_SG</t>
  </si>
  <si>
    <t>BRPL_Intraday</t>
  </si>
  <si>
    <t>APL_M_BRPL_Intraday_BLK_DC</t>
  </si>
  <si>
    <t>APL_M_BRPL_Intraday_BLK_SG</t>
  </si>
  <si>
    <t>BSEB</t>
  </si>
  <si>
    <t>APL_M_BSEB_BLK_DC</t>
  </si>
  <si>
    <t>APL_M_BSEB_BLK_SG</t>
  </si>
  <si>
    <t>BSEB_ST</t>
  </si>
  <si>
    <t>APL_M_BSEB(ST)_BLK_DC</t>
  </si>
  <si>
    <t>APL_M_BSEB(ST)_BLK_SG</t>
  </si>
  <si>
    <t>BYPL</t>
  </si>
  <si>
    <t>APL_M_BYPL_BLK_DC</t>
  </si>
  <si>
    <t>APL_M_BYPL_BLK_SG</t>
  </si>
  <si>
    <t>CADILA</t>
  </si>
  <si>
    <t>APL_M_CADILA_BLK_DC</t>
  </si>
  <si>
    <t>APL_M_CADILA_BLK_SG</t>
  </si>
  <si>
    <t>Cadila_Healthcare_MTOA</t>
  </si>
  <si>
    <t>APL_M_Cadila_Healthcare_MTOA_BLK_DC</t>
  </si>
  <si>
    <t>APL_M_Cadila_Healthcare_MTOA_BLK_SG</t>
  </si>
  <si>
    <t>CADILA_Zydus_Biologics_MTOA</t>
  </si>
  <si>
    <t>APL_M_CADILA_Zydus_Biologics_MTOA_BLK_DC</t>
  </si>
  <si>
    <t>APL_M_CADILA_Zydus_Biologics_MTOA_BLK_SG</t>
  </si>
  <si>
    <t>CARGIL</t>
  </si>
  <si>
    <t>APL_M_CARGIL_BLK_DC</t>
  </si>
  <si>
    <t>APL_M_CARGIL_BLK_SG</t>
  </si>
  <si>
    <t>CEAT</t>
  </si>
  <si>
    <t>APL_M_CEAT_BLK_DC</t>
  </si>
  <si>
    <t>APL_M_CEAT_BLK_SG</t>
  </si>
  <si>
    <t>Century_Enka</t>
  </si>
  <si>
    <t>APL_M_Century_Enka_BLK_DC</t>
  </si>
  <si>
    <t>APL_M_Century_Enka_BLK_SG</t>
  </si>
  <si>
    <t>Century_Rayon</t>
  </si>
  <si>
    <t>APL_M_Century_Rayon_BLK_DC</t>
  </si>
  <si>
    <t>APL_M_Century_Rayon_BLK_SG</t>
  </si>
  <si>
    <t>CESC</t>
  </si>
  <si>
    <t>APL_M_CESC_BLK_DC</t>
  </si>
  <si>
    <t>APL_M_CESC_BLK_SG</t>
  </si>
  <si>
    <t>Clan_Vitrified</t>
  </si>
  <si>
    <t>APL_M_Clan_Vitrified_BLK_DC</t>
  </si>
  <si>
    <t>APL_M_Clan_Vitrified_BLK_SG</t>
  </si>
  <si>
    <t>CLASSIC_AUTO_TUBES_LTD</t>
  </si>
  <si>
    <t>APL_M_CLASSIC_AUTO_TUBES_LTD_BLK_DC</t>
  </si>
  <si>
    <t>APL_M_CLASSIC_AUTO_TUBES_LTD_BLK_SG</t>
  </si>
  <si>
    <t>Colourtex_Pandesara_additional</t>
  </si>
  <si>
    <t>APL_M_Colourtex_Pandesara_additional_BLK_DC</t>
  </si>
  <si>
    <t>APL_M_Colourtex_Pandesara_additional_BLK_SG</t>
  </si>
  <si>
    <t>Colourtex_Sachin</t>
  </si>
  <si>
    <t>APL_M_Colourtex_Sachin_BLK_DC</t>
  </si>
  <si>
    <t>APL_M_Colourtex_Sachin_BLK_SG</t>
  </si>
  <si>
    <t>Cooper</t>
  </si>
  <si>
    <t>APL_M_Cooper_BLK_DC</t>
  </si>
  <si>
    <t>APL_M_Cooper_BLK_SG</t>
  </si>
  <si>
    <t>COOPER_L3</t>
  </si>
  <si>
    <t>APL_M_COOPER_L3_BLK_DC</t>
  </si>
  <si>
    <t>APL_M_COOPER_L3_BLK_SG</t>
  </si>
  <si>
    <t>COOPER_M60</t>
  </si>
  <si>
    <t>APL_M_COOPER_M60_BLK_DC</t>
  </si>
  <si>
    <t>APL_M_COOPER_M60_BLK_SG</t>
  </si>
  <si>
    <t>Coral_Granito</t>
  </si>
  <si>
    <t>APL_M_Coral_Granito_BLK_DC</t>
  </si>
  <si>
    <t>APL_M_Coral_Granito_BLK_SG</t>
  </si>
  <si>
    <t>Corning</t>
  </si>
  <si>
    <t>APL_M_Corning_BLK_DC</t>
  </si>
  <si>
    <t>APL_M_Corning_BLK_SG</t>
  </si>
  <si>
    <t>Crystal_Ceramics</t>
  </si>
  <si>
    <t>APL_M_Crystal_Ceramics_BLK_DC</t>
  </si>
  <si>
    <t>APL_M_Crystal_Ceramics_BLK_SG</t>
  </si>
  <si>
    <t>CSPDCL</t>
  </si>
  <si>
    <t>APL_M_CSPDCL_BLK_DC</t>
  </si>
  <si>
    <t>APL_M_CSPDCL_BLK_SG</t>
  </si>
  <si>
    <t>CSPL</t>
  </si>
  <si>
    <t>APL_M_CSPL_BLK_DC</t>
  </si>
  <si>
    <t>APL_M_CSPL_BLK_SG</t>
  </si>
  <si>
    <t>CUMMINS</t>
  </si>
  <si>
    <t>APL_M_CUMMINS_BLK_DC</t>
  </si>
  <si>
    <t>APL_M_CUMMINS_BLK_SG</t>
  </si>
  <si>
    <t>Dalmia_Cement</t>
  </si>
  <si>
    <t>APL_M_Dalmia_Cement_BLK_DC</t>
  </si>
  <si>
    <t>APL_M_Dalmia_Cement_BLK_SG</t>
  </si>
  <si>
    <t>Dalmia_Cement_STU</t>
  </si>
  <si>
    <t>APL_M_Dalmia_Cement_STU_BLK_DC</t>
  </si>
  <si>
    <t>APL_M_Dalmia_Cement_STU_BLK_SG</t>
  </si>
  <si>
    <t>Daurli_Ispat_(DIPL)</t>
  </si>
  <si>
    <t>APL_M_Daurli_Ispat_(DIPL)_BLK_DC</t>
  </si>
  <si>
    <t>APL_M_Daurli_Ispat_(DIPL)_BLK_SG</t>
  </si>
  <si>
    <t>Digvijay_Cement</t>
  </si>
  <si>
    <t>APL_M_Digvijay_Cement_BLK_DC</t>
  </si>
  <si>
    <t>APL_M_Digvijay_Cement_BLK_SG</t>
  </si>
  <si>
    <t>Duracon</t>
  </si>
  <si>
    <t>APL_M_Duracon_BLK_DC</t>
  </si>
  <si>
    <t>APL_M_Duracon_BLK_SG</t>
  </si>
  <si>
    <t>DVC</t>
  </si>
  <si>
    <t>APL_M_DVC_BLK_DC</t>
  </si>
  <si>
    <t>APL_M_DVC_BLK_SG</t>
  </si>
  <si>
    <t>DVC_STU</t>
  </si>
  <si>
    <t>APL_M_DVC_STU_BLK_DC</t>
  </si>
  <si>
    <t>APL_M_DVC_STU_BLK_SG</t>
  </si>
  <si>
    <t>EMCURE</t>
  </si>
  <si>
    <t>APL_M_EMCURE_BLK_DC</t>
  </si>
  <si>
    <t>APL_M_EMCURE_BLK_SG</t>
  </si>
  <si>
    <t>EMCURE_KURKUMBH</t>
  </si>
  <si>
    <t>APL_M_EMCURE_KURKUMBH_BLK_DC</t>
  </si>
  <si>
    <t>APL_M_EMCURE_KURKUMBH_BLK_SG</t>
  </si>
  <si>
    <t>Essar</t>
  </si>
  <si>
    <t>APL_M_Essar_BLK_DC</t>
  </si>
  <si>
    <t>APL_M_Essar_BLK_SG</t>
  </si>
  <si>
    <t>Essar_PXIL</t>
  </si>
  <si>
    <t>APL_M_Essar_PXIL_BLK_DC</t>
  </si>
  <si>
    <t>APL_M_Essar_PXIL_BLK_SG</t>
  </si>
  <si>
    <t>Essar_PXIL_Any_Day_RTC</t>
  </si>
  <si>
    <t>APL_M_Essar_PXIL_Any_Day_RTC_BLK_DC</t>
  </si>
  <si>
    <t>APL_M_Essar_PXIL_Any_Day_RTC_BLK_SG</t>
  </si>
  <si>
    <t>Essar_PXIL_Intra_Day_Off_Peak</t>
  </si>
  <si>
    <t>APL_M_Essar_PXIL_Intra_Day_Off_Peak_BLK_DC</t>
  </si>
  <si>
    <t>APL_M_Essar_PXIL_Intra_Day_Off_Peak_BLK_SG</t>
  </si>
  <si>
    <t>Essar_PXIL_Intra_Day_Peak</t>
  </si>
  <si>
    <t>APL_M_Essar_PXIL_Intra_Day_Peak_BLK_DC</t>
  </si>
  <si>
    <t>APL_M_Essar_PXIL_Intra_Day_Peak_BLK_SG</t>
  </si>
  <si>
    <t>ETL_CHAKAN</t>
  </si>
  <si>
    <t>APL_M_ETL_CHAKAN_BLK_DC</t>
  </si>
  <si>
    <t>APL_M_ETL_CHAKAN_BLK_SG</t>
  </si>
  <si>
    <t>ETPL_B22</t>
  </si>
  <si>
    <t>APL_M_ETPL_B22_BLK_DC</t>
  </si>
  <si>
    <t>APL_M_ETPL_B22_BLK_SG</t>
  </si>
  <si>
    <t>ETPL_WALUJ</t>
  </si>
  <si>
    <t>APL_M_ETPL_WALUJ_BLK_DC</t>
  </si>
  <si>
    <t>APL_M_ETPL_WALUJ_BLK_SG</t>
  </si>
  <si>
    <t>ETPL_WALUJ_B2</t>
  </si>
  <si>
    <t>APL_M_ETPL_WALUJ_B2_BLK_DC</t>
  </si>
  <si>
    <t>APL_M_ETPL_WALUJ_B2_BLK_SG</t>
  </si>
  <si>
    <t>ETPLT</t>
  </si>
  <si>
    <t>APL_M_ETPLT_BLK_DC</t>
  </si>
  <si>
    <t>APL_M_ETPLT_BLK_SG</t>
  </si>
  <si>
    <t>ETPLW_K228_229</t>
  </si>
  <si>
    <t>APL_M_ETPLW_K228_229_BLK_DC</t>
  </si>
  <si>
    <t>APL_M_ETPLW_K228_229_BLK_SG</t>
  </si>
  <si>
    <t>Fabtech</t>
  </si>
  <si>
    <t>APL_M_Fabtech_BLK_DC</t>
  </si>
  <si>
    <t>APL_M_Fabtech_BLK_SG</t>
  </si>
  <si>
    <t>FILATEX</t>
  </si>
  <si>
    <t>APL_M_FILATEX_BLK_DC</t>
  </si>
  <si>
    <t>APL_M_FILATEX_BLK_SG</t>
  </si>
  <si>
    <t>Fiorenza</t>
  </si>
  <si>
    <t>APL_M_Fiorenza_BLK_DC</t>
  </si>
  <si>
    <t>APL_M_Fiorenza_BLK_SG</t>
  </si>
  <si>
    <t>Ganesha</t>
  </si>
  <si>
    <t>APL_M_Ganesha_BLK_DC</t>
  </si>
  <si>
    <t>APL_M_Ganesha_BLK_SG</t>
  </si>
  <si>
    <t>GEPL</t>
  </si>
  <si>
    <t>APL_M_GEPL_BLK_DC</t>
  </si>
  <si>
    <t>APL_M_GEPL_BLK_SG</t>
  </si>
  <si>
    <t>GFL</t>
  </si>
  <si>
    <t>APL_M_GFL_BLK_DC</t>
  </si>
  <si>
    <t>APL_M_GFL_BLK_SG</t>
  </si>
  <si>
    <t>Ghatge_Patil</t>
  </si>
  <si>
    <t>APL_M_Ghatge_Patil_BLK_DC</t>
  </si>
  <si>
    <t>APL_M_Ghatge_Patil_BLK_SG</t>
  </si>
  <si>
    <t>GHCL</t>
  </si>
  <si>
    <t>APL_M_GHCL_BLK_DC</t>
  </si>
  <si>
    <t>APL_M_GHCL_BLK_SG</t>
  </si>
  <si>
    <t>GIGAPLEX</t>
  </si>
  <si>
    <t>APL_M_GIGAPLEX_BLK_DC</t>
  </si>
  <si>
    <t>APL_M_GIGAPLEX_BLK_SG</t>
  </si>
  <si>
    <t>GIGAPLEX_2</t>
  </si>
  <si>
    <t>APL_M_GIGAPLEX_2_BLK_DC</t>
  </si>
  <si>
    <t>APL_M_GIGAPLEX_2_BLK_SG</t>
  </si>
  <si>
    <t>Gimatex_U_2</t>
  </si>
  <si>
    <t>APL_M_Gimatex_U_2_BLK_DC</t>
  </si>
  <si>
    <t>APL_M_Gimatex_U_2_BLK_SG</t>
  </si>
  <si>
    <t>Gimatex_U_3</t>
  </si>
  <si>
    <t>APL_M_Gimatex_U_3_BLK_DC</t>
  </si>
  <si>
    <t>APL_M_Gimatex_U_3_BLK_SG</t>
  </si>
  <si>
    <t>GINNI</t>
  </si>
  <si>
    <t>APL_M_GINNI_BLK_DC</t>
  </si>
  <si>
    <t>APL_M_GINNI_BLK_SG</t>
  </si>
  <si>
    <t>GIPL_CEAT</t>
  </si>
  <si>
    <t>APL_M_GIPL_CEAT_BLK_DC</t>
  </si>
  <si>
    <t>APL_M_GIPL_CEAT_BLK_SG</t>
  </si>
  <si>
    <t>GIPL_Zealtop</t>
  </si>
  <si>
    <t>APL_M_GIPL_Zealtop_BLK_DC</t>
  </si>
  <si>
    <t>APL_M_GIPL_Zealtop_BLK_SG</t>
  </si>
  <si>
    <t>Glenmark</t>
  </si>
  <si>
    <t>APL_M_Glenmark_BLK_DC</t>
  </si>
  <si>
    <t>APL_M_Glenmark_BLK_SG</t>
  </si>
  <si>
    <t>GMR_UTTARAKHAND</t>
  </si>
  <si>
    <t>APL_M_GMR_UTTARAKHAND_BLK_DC</t>
  </si>
  <si>
    <t>APL_M_GMR_UTTARAKHAND_BLK_SG</t>
  </si>
  <si>
    <t>GOA</t>
  </si>
  <si>
    <t>APL_M_GOA_BLK_DC</t>
  </si>
  <si>
    <t>APL_M_GOA_BLK_SG</t>
  </si>
  <si>
    <t>Godavari_Pulp</t>
  </si>
  <si>
    <t>APL_M_Godavari_Pulp_BLK_DC</t>
  </si>
  <si>
    <t>APL_M_Godavari_Pulp_BLK_SG</t>
  </si>
  <si>
    <t>Gokulanand_Cons_No_10922</t>
  </si>
  <si>
    <t>APL_M_Gokulanand_Cons_No_10922_BLK_DC</t>
  </si>
  <si>
    <t>APL_M_Gokulanand_Cons_No_10922_BLK_SG</t>
  </si>
  <si>
    <t>Gokulanand_Cons_No_11952</t>
  </si>
  <si>
    <t>APL_M_Gokulanand_Cons_No_11952_BLK_DC</t>
  </si>
  <si>
    <t>APL_M_Gokulanand_Cons_No_11952_BLK_SG</t>
  </si>
  <si>
    <t>Gokulanand_Petrofibers</t>
  </si>
  <si>
    <t>APL_M_Gokulanand_Petrofibers_BLK_DC</t>
  </si>
  <si>
    <t>APL_M_Gokulanand_Petrofibers_BLK_SG</t>
  </si>
  <si>
    <t>GOOD_YEAR_SOUTH_ASIA_TYRES_LTD</t>
  </si>
  <si>
    <t>APL_M_GOOD_YEAR_SOUTH_ASIA_TYRES_LTD_BLK_DC</t>
  </si>
  <si>
    <t>APL_M_GOOD_YEAR_SOUTH_ASIA_TYRES_LTD_BLK_SG</t>
  </si>
  <si>
    <t>GOYAL</t>
  </si>
  <si>
    <t>APL_M_GOYAL_BLK_DC</t>
  </si>
  <si>
    <t>APL_M_GOYAL_BLK_SG</t>
  </si>
  <si>
    <t>Grasim</t>
  </si>
  <si>
    <t>APL_M_Grasim_BLK_DC</t>
  </si>
  <si>
    <t>APL_M_Grasim_BLK_SG</t>
  </si>
  <si>
    <t>GUVNL_BID_1</t>
  </si>
  <si>
    <t>APL_M_GUVNL_BID_1_BLK_DC</t>
  </si>
  <si>
    <t>APL_M_GUVNL_BID_1_BLK_SG</t>
  </si>
  <si>
    <t>GUVNL_Bid_1_Addi_SPPA</t>
  </si>
  <si>
    <t>APL_M_GUVNL_Bid_1_Addi_SPPA_BLK_DC</t>
  </si>
  <si>
    <t>APL_M_GUVNL_Bid_1_Addi_SPPA_BLK_SG</t>
  </si>
  <si>
    <t>GUVNL_BID_2</t>
  </si>
  <si>
    <t>APL_M_GUVNL_BID_2_BLK_DC</t>
  </si>
  <si>
    <t>APL_M_GUVNL_BID_2_BLK_SG</t>
  </si>
  <si>
    <t>GUVNL_Bid_2_Addi_SPPA</t>
  </si>
  <si>
    <t>APL_M_GUVNL_Bid_2_Addi_SPPA_BLK_DC</t>
  </si>
  <si>
    <t>APL_M_GUVNL_Bid_2_Addi_SPPA_BLK_SG</t>
  </si>
  <si>
    <t>Hazira_Port</t>
  </si>
  <si>
    <t>APL_M_Hazira_Port_BLK_DC</t>
  </si>
  <si>
    <t>APL_M_Hazira_Port_BLK_SG</t>
  </si>
  <si>
    <t>Hoganas</t>
  </si>
  <si>
    <t>APL_M_Hoganas_BLK_DC</t>
  </si>
  <si>
    <t>APL_M_Hoganas_BLK_SG</t>
  </si>
  <si>
    <t>Hollis</t>
  </si>
  <si>
    <t>APL_M_Hollis_BLK_DC</t>
  </si>
  <si>
    <t>APL_M_Hollis_BLK_SG</t>
  </si>
  <si>
    <t>HPPC</t>
  </si>
  <si>
    <t>APL_M_HPPC_BLK_DC</t>
  </si>
  <si>
    <t>APL_M_HPPC_BLK_SG</t>
  </si>
  <si>
    <t>HPSEB</t>
  </si>
  <si>
    <t>APL_M_HPSEB_BLK_DC</t>
  </si>
  <si>
    <t>APL_M_HPSEB_BLK_SG</t>
  </si>
  <si>
    <t>HVPNL</t>
  </si>
  <si>
    <t>APL_M_HVPNL_BLK_DC</t>
  </si>
  <si>
    <t>APL_M_HVPNL_BLK_SG</t>
  </si>
  <si>
    <t>IEX</t>
  </si>
  <si>
    <t>APL_M_IEX_BLK_DC</t>
  </si>
  <si>
    <t>APL_M_IEX_BLK_SG</t>
  </si>
  <si>
    <t>IEX_DNH</t>
  </si>
  <si>
    <t>APL_M_IEX_DNH_BLK_DC</t>
  </si>
  <si>
    <t>APL_M_IEX_DNH_BLK_SG</t>
  </si>
  <si>
    <t>IEX_TAM_MPSEB</t>
  </si>
  <si>
    <t>APL_M_IEX_TAM_MPSEB_BLK_DC</t>
  </si>
  <si>
    <t>APL_M_IEX_TAM_MPSEB_BLK_SG</t>
  </si>
  <si>
    <t>IEX_TAM_Odisha</t>
  </si>
  <si>
    <t>APL_M_IEX_TAM_Odisha_BLK_DC</t>
  </si>
  <si>
    <t>APL_M_IEX_TAM_Odisha_BLK_SG</t>
  </si>
  <si>
    <t>IEX_TAM_Torrent</t>
  </si>
  <si>
    <t>APL_M_IEX_TAM_Torrent_BLK_DC</t>
  </si>
  <si>
    <t>APL_M_IEX_TAM_Torrent_BLK_SG</t>
  </si>
  <si>
    <t>IEX_Torrent_ADI_CTU</t>
  </si>
  <si>
    <t>APL_M_IEX_Torrent_ADI_CTU_BLK_DC</t>
  </si>
  <si>
    <t>APL_M_IEX_Torrent_ADI_CTU_BLK_SG</t>
  </si>
  <si>
    <t>IEX_Torrent_ADI_STU</t>
  </si>
  <si>
    <t>APL_M_IEX_Torrent_ADI_STU_BLK_DC</t>
  </si>
  <si>
    <t>APL_M_IEX_Torrent_ADI_STU_BLK_SG</t>
  </si>
  <si>
    <t>IEX_Torrent_Dahej_STU</t>
  </si>
  <si>
    <t>APL_M_IEX_Torrent_Dahej_STU_BLK_DC</t>
  </si>
  <si>
    <t>APL_M_IEX_Torrent_Dahej_STU_BLK_SG</t>
  </si>
  <si>
    <t>IEX_APSPDCL_STU</t>
  </si>
  <si>
    <t>APL_M_IEX_APSPDCL_STU_BLK_DC</t>
  </si>
  <si>
    <t>APL_M_IEX_APSPDCL_STU_BLK_SG</t>
  </si>
  <si>
    <t>IEX_Essar</t>
  </si>
  <si>
    <t>APL_M_IEX_Essar_BLK_DC</t>
  </si>
  <si>
    <t>APL_M_IEX_Essar_BLK_SG</t>
  </si>
  <si>
    <t>IEX_PSPCL</t>
  </si>
  <si>
    <t>APL_M_IEX_PSPCL_BLK_DC</t>
  </si>
  <si>
    <t>APL_M_IEX_PSPCL_BLK_SG</t>
  </si>
  <si>
    <t>IEX_RTM</t>
  </si>
  <si>
    <t>APL_M_IEX_RTM_BLK_DC</t>
  </si>
  <si>
    <t>APL_M_IEX_RTM_BLK_SG</t>
  </si>
  <si>
    <t>IEX_TAM_Andhra</t>
  </si>
  <si>
    <t>APL_M_IEX_TAM_Andhra_BLK_DC</t>
  </si>
  <si>
    <t>APL_M_IEX_TAM_Andhra_BLK_SG</t>
  </si>
  <si>
    <t>IEX_Vedanta</t>
  </si>
  <si>
    <t>APL_M_IEX_Vedanta_BLK_DC</t>
  </si>
  <si>
    <t>APL_M_IEX_Vedanta_BLK_SG</t>
  </si>
  <si>
    <t>IEX_APSPDCL</t>
  </si>
  <si>
    <t>APL_M_IEX_APSPDCL_BLK_DC</t>
  </si>
  <si>
    <t>APL_M_IEX_APSPDCL_BLK_SG</t>
  </si>
  <si>
    <t>IEX_DVC</t>
  </si>
  <si>
    <t>APL_M_IEX_DVC_BLK_DC</t>
  </si>
  <si>
    <t>APL_M_IEX_DVC_BLK_SG</t>
  </si>
  <si>
    <t>IEX_AEML</t>
  </si>
  <si>
    <t>APL_M_IEX_AEML_BLK_DC</t>
  </si>
  <si>
    <t>APL_M_IEX_AEML_BLK_SG</t>
  </si>
  <si>
    <t>IEX_Andhra</t>
  </si>
  <si>
    <t>APL_M_IEX_Andhra_BLK_DC</t>
  </si>
  <si>
    <t>APL_M_IEX_Andhra_BLK_SG</t>
  </si>
  <si>
    <t>IEX_APDCL</t>
  </si>
  <si>
    <t>APL_M_IEX_APDCL_BLK_DC</t>
  </si>
  <si>
    <t>APL_M_IEX_APDCL_BLK_SG</t>
  </si>
  <si>
    <t>IEX_Arcelor_Mittal</t>
  </si>
  <si>
    <t>APL_M_IEX_Arcelor_Mittal_BLK_DC</t>
  </si>
  <si>
    <t>APL_M_IEX_Arcelor_Mittal_BLK_SG</t>
  </si>
  <si>
    <t>IEX_BRPL</t>
  </si>
  <si>
    <t>APL_M_IEX_BRPL_BLK_DC</t>
  </si>
  <si>
    <t>APL_M_IEX_BRPL_BLK_SG</t>
  </si>
  <si>
    <t>IEX_BSES</t>
  </si>
  <si>
    <t>APL_M_IEX_BSES_BLK_DC</t>
  </si>
  <si>
    <t>APL_M_IEX_BSES_BLK_SG</t>
  </si>
  <si>
    <t>IEX_BSPHCL</t>
  </si>
  <si>
    <t>APL_M_IEX_BSPHCL_BLK_DC</t>
  </si>
  <si>
    <t>APL_M_IEX_BSPHCL_BLK_SG</t>
  </si>
  <si>
    <t>IEX_BSPHCL_STU</t>
  </si>
  <si>
    <t>APL_M_IEX_BSPHCL_STU_BLK_DC</t>
  </si>
  <si>
    <t>APL_M_IEX_BSPHCL_STU_BLK_SG</t>
  </si>
  <si>
    <t>IEX_BYPL</t>
  </si>
  <si>
    <t>APL_M_IEX_BYPL_BLK_DC</t>
  </si>
  <si>
    <t>APL_M_IEX_BYPL_BLK_SG</t>
  </si>
  <si>
    <t>IEX_CESC</t>
  </si>
  <si>
    <t>APL_M_IEX_CESC_BLK_DC</t>
  </si>
  <si>
    <t>APL_M_IEX_CESC_BLK_SG</t>
  </si>
  <si>
    <t>IEX_CESE</t>
  </si>
  <si>
    <t>APL_M_IEX_CESE_BLK_DC</t>
  </si>
  <si>
    <t>APL_M_IEX_CESE_BLK_SG</t>
  </si>
  <si>
    <t>IEX_DNHPDCL</t>
  </si>
  <si>
    <t>APL_M_IEX_DNHPDCL_BLK_DC</t>
  </si>
  <si>
    <t>APL_M_IEX_DNHPDCL_BLK_SG</t>
  </si>
  <si>
    <t>IEX_Gigaplex</t>
  </si>
  <si>
    <t>APL_M_IEX_Gigaplex_BLK_DC</t>
  </si>
  <si>
    <t>APL_M_IEX_Gigaplex_BLK_SG</t>
  </si>
  <si>
    <t>IEX_GOA</t>
  </si>
  <si>
    <t>APL_M_IEX_GOA_BLK_DC</t>
  </si>
  <si>
    <t>APL_M_IEX_GOA_BLK_SG</t>
  </si>
  <si>
    <t>IEX_GRIDCO</t>
  </si>
  <si>
    <t>APL_M_IEX_GRIDCO_BLK_DC</t>
  </si>
  <si>
    <t>APL_M_IEX_GRIDCO_BLK_SG</t>
  </si>
  <si>
    <t>IEX_HPPC</t>
  </si>
  <si>
    <t>APL_M_IEX_HPPC_BLK_DC</t>
  </si>
  <si>
    <t>APL_M_IEX_HPPC_BLK_SG</t>
  </si>
  <si>
    <t>IEX_HPSEB</t>
  </si>
  <si>
    <t>APL_M_IEX_HPSEB_BLK_DC</t>
  </si>
  <si>
    <t>APL_M_IEX_HPSEB_BLK_SG</t>
  </si>
  <si>
    <t>IEX_JBVNL</t>
  </si>
  <si>
    <t>APL_M_IEX_JBVNL_BLK_DC</t>
  </si>
  <si>
    <t>APL_M_IEX_JBVNL_BLK_SG</t>
  </si>
  <si>
    <t>IEX_JVVNL</t>
  </si>
  <si>
    <t>APL_M_IEX_JVVNL_BLK_DC</t>
  </si>
  <si>
    <t>APL_M_IEX_JVVNL_BLK_SG</t>
  </si>
  <si>
    <t>IEX_Mindspace</t>
  </si>
  <si>
    <t>APL_M_IEX_Mindspace_BLK_DC</t>
  </si>
  <si>
    <t>APL_M_IEX_Mindspace_BLK_SG</t>
  </si>
  <si>
    <t>IEX_Noida</t>
  </si>
  <si>
    <t>APL_M_IEX_Noida_BLK_DC</t>
  </si>
  <si>
    <t>APL_M_IEX_Noida_BLK_SG</t>
  </si>
  <si>
    <t>IEX_STU</t>
  </si>
  <si>
    <t>APL_M_IEX_STU_BLK_DC</t>
  </si>
  <si>
    <t>APL_M_IEX_STU_BLK_SG</t>
  </si>
  <si>
    <t>IEX_STU_APDCL</t>
  </si>
  <si>
    <t>APL_M_IEX_STU_APDCL_BLK_DC</t>
  </si>
  <si>
    <t>APL_M_IEX_STU_APDCL_BLK_SG</t>
  </si>
  <si>
    <t>IEX_STU_TANGEDCO</t>
  </si>
  <si>
    <t>APL_M_IEX_STU_TANGEDCO_BLK_DC</t>
  </si>
  <si>
    <t>APL_M_IEX_STU_TANGEDCO_BLK_SG</t>
  </si>
  <si>
    <t>IEX_STU_Tata_Assam</t>
  </si>
  <si>
    <t>APL_M_IEX_STU_Tata_Assam_BLK_DC</t>
  </si>
  <si>
    <t>APL_M_IEX_STU_Tata_Assam_BLK_SG</t>
  </si>
  <si>
    <t>IEX_TAM_Assam</t>
  </si>
  <si>
    <t>APL_M_IEX_TAM_Assam_BLK_DC</t>
  </si>
  <si>
    <t>APL_M_IEX_TAM_Assam_BLK_SG</t>
  </si>
  <si>
    <t>IEX_TAM_R_Infra</t>
  </si>
  <si>
    <t>APL_M_IEX_TAM_R_Infra_BLK_DC</t>
  </si>
  <si>
    <t>APL_M_IEX_TAM_R_Infra_BLK_SG</t>
  </si>
  <si>
    <t>IEX_TAM_TNEB</t>
  </si>
  <si>
    <t>APL_M_IEX_TAM_TNEB_BLK_DC</t>
  </si>
  <si>
    <t>APL_M_IEX_TAM_TNEB_BLK_SG</t>
  </si>
  <si>
    <t>IEX_TAM_TPL_DAHEJ</t>
  </si>
  <si>
    <t>APL_M_IEX_TAM_TPL_DAHEJ_BLK_DC</t>
  </si>
  <si>
    <t>APL_M_IEX_TAM_TPL_DAHEJ_BLK_SG</t>
  </si>
  <si>
    <t>IEX_TAM_TSSPDCL</t>
  </si>
  <si>
    <t>APL_M_IEX_TAM_TSSPDCL_BLK_DC</t>
  </si>
  <si>
    <t>APL_M_IEX_TAM_TSSPDCL_BLK_SG</t>
  </si>
  <si>
    <t>IEX_TAM_WBSEDCL</t>
  </si>
  <si>
    <t>APL_M_IEX_TAM_WBSEDCL_BLK_DC</t>
  </si>
  <si>
    <t>APL_M_IEX_TAM_WBSEDCL_BLK_SG</t>
  </si>
  <si>
    <t>IEX_TANGEDCO</t>
  </si>
  <si>
    <t>APL_M_IEX_TANGEDCO_BLK_DC</t>
  </si>
  <si>
    <t>APL_M_IEX_TANGEDCO_BLK_SG</t>
  </si>
  <si>
    <t>IEX_TATA_Steel</t>
  </si>
  <si>
    <t>APL_M_IEX_TATA_Steel_BLK_DC</t>
  </si>
  <si>
    <t>APL_M_IEX_TATA_Steel_BLK_SG</t>
  </si>
  <si>
    <t>IEX_Telangana</t>
  </si>
  <si>
    <t>APL_M_IEX_Telangana_BLK_DC</t>
  </si>
  <si>
    <t>APL_M_IEX_Telangana_BLK_SG</t>
  </si>
  <si>
    <t>IEX_Torrent</t>
  </si>
  <si>
    <t>APL_M_IEX_Torrent_BLK_DC</t>
  </si>
  <si>
    <t>APL_M_IEX_Torrent_BLK_SG</t>
  </si>
  <si>
    <t>IEX_Torrent_TAM</t>
  </si>
  <si>
    <t>APL_M_IEX_Torrent_TAM_BLK_DC</t>
  </si>
  <si>
    <t>APL_M_IEX_Torrent_TAM_BLK_SG</t>
  </si>
  <si>
    <t>IEX_TPDCL</t>
  </si>
  <si>
    <t>APL_M_IEX_TPDCL_BLK_DC</t>
  </si>
  <si>
    <t>APL_M_IEX_TPDCL_BLK_SG</t>
  </si>
  <si>
    <t>IEX_TSSPDCL</t>
  </si>
  <si>
    <t>APL_M_IEX_TSSPDCL_BLK_DC</t>
  </si>
  <si>
    <t>APL_M_IEX_TSSPDCL_BLK_SG</t>
  </si>
  <si>
    <t>IEX_UPPCL</t>
  </si>
  <si>
    <t>APL_M_IEX_UPPCL_BLK_DC</t>
  </si>
  <si>
    <t>APL_M_IEX_UPPCL_BLK_SG</t>
  </si>
  <si>
    <t>Indapur</t>
  </si>
  <si>
    <t>APL_M_Indapur_BLK_DC</t>
  </si>
  <si>
    <t>APL_M_Indapur_BLK_SG</t>
  </si>
  <si>
    <t>India_Steel_Works</t>
  </si>
  <si>
    <t>APL_M_India_Steel_Works_BLK_DC</t>
  </si>
  <si>
    <t>APL_M_India_Steel_Works_BLK_SG</t>
  </si>
  <si>
    <t>Indoworth</t>
  </si>
  <si>
    <t>APL_M_Indoworth_BLK_DC</t>
  </si>
  <si>
    <t>APL_M_Indoworth_BLK_SG</t>
  </si>
  <si>
    <t>INOX</t>
  </si>
  <si>
    <t>APL_M_INOX_BLK_DC</t>
  </si>
  <si>
    <t>APL_M_INOX_BLK_SG</t>
  </si>
  <si>
    <t>INOX_STOA</t>
  </si>
  <si>
    <t>APL_M_INOX_STOA_BLK_DC</t>
  </si>
  <si>
    <t>APL_M_INOX_STOA_BLK_SG</t>
  </si>
  <si>
    <t>Intraday_IEX_TNEB</t>
  </si>
  <si>
    <t>APL_M_Intraday_IEX_TNEB_BLK_DC</t>
  </si>
  <si>
    <t>APL_M_Intraday_IEX_TNEB_BLK_SG</t>
  </si>
  <si>
    <t>IPCL</t>
  </si>
  <si>
    <t>APL_M_IPCL_BLK_DC</t>
  </si>
  <si>
    <t>APL_M_IPCL_BLK_SG</t>
  </si>
  <si>
    <t>ISMT</t>
  </si>
  <si>
    <t>APL_M_ISMT_BLK_DC</t>
  </si>
  <si>
    <t>APL_M_ISMT_BLK_SG</t>
  </si>
  <si>
    <t>J&amp;K</t>
  </si>
  <si>
    <t>APL_M_J&amp;K_BLK_DC</t>
  </si>
  <si>
    <t>APL_M_J&amp;K_BLK_SG</t>
  </si>
  <si>
    <t>Jain_Farm_Fresh_Foods_Ltd</t>
  </si>
  <si>
    <t>APL_M_Jain_Farm_Fresh_Foods_Ltd_BLK_DC</t>
  </si>
  <si>
    <t>APL_M_Jain_Farm_Fresh_Foods_Ltd_BLK_SG</t>
  </si>
  <si>
    <t>JAY_BHARAT</t>
  </si>
  <si>
    <t>APL_M_JAY_BHARAT_BLK_DC</t>
  </si>
  <si>
    <t>APL_M_JAY_BHARAT_BLK_SG</t>
  </si>
  <si>
    <t>Jet_Grenito</t>
  </si>
  <si>
    <t>APL_M_Jet_Grenito_BLK_DC</t>
  </si>
  <si>
    <t>APL_M_Jet_Grenito_BLK_SG</t>
  </si>
  <si>
    <t>JPFL</t>
  </si>
  <si>
    <t>APL_M_JPFL_BLK_DC</t>
  </si>
  <si>
    <t>APL_M_JPFL_BLK_SG</t>
  </si>
  <si>
    <t>JSEB</t>
  </si>
  <si>
    <t>APL_M_JSEB_BLK_DC</t>
  </si>
  <si>
    <t>APL_M_JSEB_BLK_SG</t>
  </si>
  <si>
    <t>JVVNL_IEX_Intra_Day_Off_Peak</t>
  </si>
  <si>
    <t>APL_M_JVVNL_IEX_Intra_Day_Off_Peak_BLK_DC</t>
  </si>
  <si>
    <t>APL_M_JVVNL_IEX_Intra_Day_Off_Peak_BLK_SG</t>
  </si>
  <si>
    <t>JVVNL_IEX_Intra_Day_Peak</t>
  </si>
  <si>
    <t>APL_M_JVVNL_IEX_Intra_Day_Peak_BLK_DC</t>
  </si>
  <si>
    <t>APL_M_JVVNL_IEX_Intra_Day_Peak_BLK_SG</t>
  </si>
  <si>
    <t>JVVNL_PXIL_Intra_Day_Off_Peak</t>
  </si>
  <si>
    <t>APL_M_JVVNL_PXIL_Intra_Day_Off_Peak_BLK_DC</t>
  </si>
  <si>
    <t>APL_M_JVVNL_PXIL_Intra_Day_Off_Peak_BLK_SG</t>
  </si>
  <si>
    <t>Kalishma_Steel_Pvt_Ltd</t>
  </si>
  <si>
    <t>APL_M_Kalishma_Steel_Pvt_Ltd_BLK_DC</t>
  </si>
  <si>
    <t>APL_M_Kalishma_Steel_Pvt_Ltd_BLK_SG</t>
  </si>
  <si>
    <t>Kalisma</t>
  </si>
  <si>
    <t>APL_M_Kalisma_BLK_DC</t>
  </si>
  <si>
    <t>APL_M_Kalisma_BLK_SG</t>
  </si>
  <si>
    <t>Kansai_Nerolac_Paints</t>
  </si>
  <si>
    <t>APL_M_Kansai_Nerolac_Paints_BLK_DC</t>
  </si>
  <si>
    <t>APL_M_Kansai_Nerolac_Paints_BLK_SG</t>
  </si>
  <si>
    <t>KB_ISPAT</t>
  </si>
  <si>
    <t>APL_M_KB_ISPAT_BLK_DC</t>
  </si>
  <si>
    <t>APL_M_KB_ISPAT_BLK_SG</t>
  </si>
  <si>
    <t>KEIPL_Naroda</t>
  </si>
  <si>
    <t>APL_M_KEIPL_Naroda_BLK_DC</t>
  </si>
  <si>
    <t>APL_M_KEIPL_Naroda_BLK_SG</t>
  </si>
  <si>
    <t>KEIPL_AmbaShakti</t>
  </si>
  <si>
    <t>APL_M_KEIPL_AmbaShakti_BLK_DC</t>
  </si>
  <si>
    <t>APL_M_KEIPL_AmbaShakti_BLK_SG</t>
  </si>
  <si>
    <t>KEIPL_Colourtex</t>
  </si>
  <si>
    <t>APL_M_KEIPL_Colourtex_BLK_DC</t>
  </si>
  <si>
    <t>APL_M_KEIPL_Colourtex_BLK_SG</t>
  </si>
  <si>
    <t>KEIPL_Colourtex_Pandeshwara</t>
  </si>
  <si>
    <t>APL_M_KEIPL_Colourtex_Pandeshwara_BLK_DC</t>
  </si>
  <si>
    <t>APL_M_KEIPL_Colourtex_Pandeshwara_BLK_SG</t>
  </si>
  <si>
    <t>KEIPL_Continental</t>
  </si>
  <si>
    <t>APL_M_KEIPL_Continental_BLK_DC</t>
  </si>
  <si>
    <t>APL_M_KEIPL_Continental_BLK_SG</t>
  </si>
  <si>
    <t>KEIPL_CTXLife</t>
  </si>
  <si>
    <t>APL_M_KEIPL_CTXLife_BLK_DC</t>
  </si>
  <si>
    <t>APL_M_KEIPL_CTXLife_BLK_SG</t>
  </si>
  <si>
    <t>KEIPL_Dadri_Cement</t>
  </si>
  <si>
    <t>APL_M_KEIPL_Dadri_Cement_BLK_DC</t>
  </si>
  <si>
    <t>APL_M_KEIPL_Dadri_Cement_BLK_SG</t>
  </si>
  <si>
    <t>KEIPL_Diamond</t>
  </si>
  <si>
    <t>APL_M_KEIPL_Diamond_BLK_DC</t>
  </si>
  <si>
    <t>APL_M_KEIPL_Diamond_BLK_SG</t>
  </si>
  <si>
    <t>KEIPL_Gridco</t>
  </si>
  <si>
    <t>APL_M_KEIPL_Gridco_BLK_DC</t>
  </si>
  <si>
    <t>APL_M_KEIPL_Gridco_BLK_SG</t>
  </si>
  <si>
    <t>KEIPL_Kiri_Ind</t>
  </si>
  <si>
    <t>APL_M_KEIPL_Kiri_Ind_BLK_DC</t>
  </si>
  <si>
    <t>APL_M_KEIPL_Kiri_Ind_BLK_SG</t>
  </si>
  <si>
    <t>KEIPL_Reliance</t>
  </si>
  <si>
    <t>APL_M_KEIPL_Reliance_BLK_DC</t>
  </si>
  <si>
    <t>APL_M_KEIPL_Reliance_BLK_SG</t>
  </si>
  <si>
    <t>Kejriwal</t>
  </si>
  <si>
    <t>APL_M_Kejriwal_BLK_DC</t>
  </si>
  <si>
    <t>APL_M_Kejriwal_BLK_SG</t>
  </si>
  <si>
    <t>KFIL</t>
  </si>
  <si>
    <t>APL_M_KFIL_BLK_DC</t>
  </si>
  <si>
    <t>APL_M_KFIL_BLK_SG</t>
  </si>
  <si>
    <t>Kores</t>
  </si>
  <si>
    <t>APL_M_Kores_BLK_DC</t>
  </si>
  <si>
    <t>APL_M_Kores_BLK_SG</t>
  </si>
  <si>
    <t>Kores_Chakan</t>
  </si>
  <si>
    <t>APL_M_Kores_Chakan_BLK_DC</t>
  </si>
  <si>
    <t>APL_M_Kores_Chakan_BLK_SG</t>
  </si>
  <si>
    <t>Kores_Pefco</t>
  </si>
  <si>
    <t>APL_M_Kores_Pefco_BLK_DC</t>
  </si>
  <si>
    <t>APL_M_Kores_Pefco_BLK_SG</t>
  </si>
  <si>
    <t>Krishna_Verala</t>
  </si>
  <si>
    <t>APL_M_Krishna_Verala_BLK_DC</t>
  </si>
  <si>
    <t>APL_M_Krishna_Verala_BLK_SG</t>
  </si>
  <si>
    <t>KSEB</t>
  </si>
  <si>
    <t>APL_M_KSEB_BLK_DC</t>
  </si>
  <si>
    <t>APL_M_KSEB_BLK_SG</t>
  </si>
  <si>
    <t>KSEB_IEX</t>
  </si>
  <si>
    <t>APL_M_KSEB_IEX_BLK_DC</t>
  </si>
  <si>
    <t>APL_M_KSEB_IEX_BLK_SG</t>
  </si>
  <si>
    <t>KSL_KAMLESHWAR</t>
  </si>
  <si>
    <t>APL_M_KSL_KAMLESHWAR_BLK_DC</t>
  </si>
  <si>
    <t>APL_M_KSL_KAMLESHWAR_BLK_SG</t>
  </si>
  <si>
    <t>KSL_LACHALKARANGI</t>
  </si>
  <si>
    <t>APL_M_KSL_LACHALKARANGI_BLK_DC</t>
  </si>
  <si>
    <t>APL_M_KSL_LACHALKARANGI_BLK_SG</t>
  </si>
  <si>
    <t>KSLIL</t>
  </si>
  <si>
    <t>APL_M_KSLIL_BLK_DC</t>
  </si>
  <si>
    <t>APL_M_KSLIL_BLK_SG</t>
  </si>
  <si>
    <t>KSLIL_U#2</t>
  </si>
  <si>
    <t>APL_M_KSLIL_U#2_BLK_DC</t>
  </si>
  <si>
    <t>APL_M_KSLIL_U#2_BLK_SG</t>
  </si>
  <si>
    <t>Kumar_Spintex</t>
  </si>
  <si>
    <t>APL_M_Kumar_Spintex_BLK_DC</t>
  </si>
  <si>
    <t>APL_M_Kumar_Spintex_BLK_SG</t>
  </si>
  <si>
    <t>Lavish_Granito</t>
  </si>
  <si>
    <t>APL_M_Lavish_Granito_BLK_DC</t>
  </si>
  <si>
    <t>APL_M_Lavish_Granito_BLK_SG</t>
  </si>
  <si>
    <t>LAXCON</t>
  </si>
  <si>
    <t>APL_M_LAXCON_BLK_DC</t>
  </si>
  <si>
    <t>APL_M_LAXCON_BLK_SG</t>
  </si>
  <si>
    <t>Lupin</t>
  </si>
  <si>
    <t>APL_M_Lupin_BLK_DC</t>
  </si>
  <si>
    <t>APL_M_Lupin_BLK_SG</t>
  </si>
  <si>
    <t>M.D.INDUCTO_CASTE</t>
  </si>
  <si>
    <t>APL_M_M.D.INDUCTO_CASTE_BLK_DC</t>
  </si>
  <si>
    <t>APL_M_M.D.INDUCTO_CASTE_BLK_SG</t>
  </si>
  <si>
    <t>MAHABAL</t>
  </si>
  <si>
    <t>APL_M_MAHABAL_BLK_DC</t>
  </si>
  <si>
    <t>APL_M_MAHABAL_BLK_SG</t>
  </si>
  <si>
    <t>Maithan_Alloys_Limited_MPL</t>
  </si>
  <si>
    <t>APL_M_Maithan_Alloys_Limited_MPL_BLK_DC</t>
  </si>
  <si>
    <t>APL_M_Maithan_Alloys_Limited_MPL_BLK_SG</t>
  </si>
  <si>
    <t>Maize</t>
  </si>
  <si>
    <t>APL_M_Maize_BLK_DC</t>
  </si>
  <si>
    <t>APL_M_Maize_BLK_SG</t>
  </si>
  <si>
    <t>Manikaran_Amulfed</t>
  </si>
  <si>
    <t>APL_M_Manikaran_Amulfed_BLK_DC</t>
  </si>
  <si>
    <t>APL_M_Manikaran_Amulfed_BLK_SG</t>
  </si>
  <si>
    <t>MANIKARAN_ATC_Tires</t>
  </si>
  <si>
    <t>APL_M_MANIKARAN_ATC_Tires_BLK_DC</t>
  </si>
  <si>
    <t>APL_M_MANIKARAN_ATC_Tires_BLK_SG</t>
  </si>
  <si>
    <t>Manikaran_Banaskantha</t>
  </si>
  <si>
    <t>APL_M_Manikaran_Banaskantha_BLK_DC</t>
  </si>
  <si>
    <t>APL_M_Manikaran_Banaskantha_BLK_SG</t>
  </si>
  <si>
    <t>Manikaran_Hollis</t>
  </si>
  <si>
    <t>APL_M_Manikaran_Hollis_BLK_DC</t>
  </si>
  <si>
    <t>APL_M_Manikaran_Hollis_BLK_SG</t>
  </si>
  <si>
    <t>Manikaran_UP</t>
  </si>
  <si>
    <t>APL_M_Manikaran_UP_BLK_DC</t>
  </si>
  <si>
    <t>APL_M_Manikaran_UP_BLK_SG</t>
  </si>
  <si>
    <t>MBO_Granito</t>
  </si>
  <si>
    <t>APL_M_MBO_Granito_BLK_DC</t>
  </si>
  <si>
    <t>APL_M_MBO_Granito_BLK_SG</t>
  </si>
  <si>
    <t>MePDCL</t>
  </si>
  <si>
    <t>APL_M_MePDCL_BLK_DC</t>
  </si>
  <si>
    <t>APL_M_MePDCL_BLK_SG</t>
  </si>
  <si>
    <t>Metropole</t>
  </si>
  <si>
    <t>APL_M_Metropole_BLK_DC</t>
  </si>
  <si>
    <t>APL_M_Metropole_BLK_SG</t>
  </si>
  <si>
    <t>Millenium_Papers</t>
  </si>
  <si>
    <t>APL_M_Millenium_Papers_BLK_DC</t>
  </si>
  <si>
    <t>APL_M_Millenium_Papers_BLK_SG</t>
  </si>
  <si>
    <t>MILLENNIUM</t>
  </si>
  <si>
    <t>APL_M_MILLENNIUM_BLK_DC</t>
  </si>
  <si>
    <t>APL_M_MILLENNIUM_BLK_SG</t>
  </si>
  <si>
    <t>MINDSPACE</t>
  </si>
  <si>
    <t>APL_M_MINDSPACE_BLK_DC</t>
  </si>
  <si>
    <t>APL_M_MINDSPACE_BLK_SG</t>
  </si>
  <si>
    <t>Mittal</t>
  </si>
  <si>
    <t>APL_M_Mittal_BLK_DC</t>
  </si>
  <si>
    <t>APL_M_Mittal_BLK_SG</t>
  </si>
  <si>
    <t>MITTAL_AMBA_SHAKTI</t>
  </si>
  <si>
    <t>APL_M_MITTAL_AMBA_SHAKTI_BLK_DC</t>
  </si>
  <si>
    <t>APL_M_MITTAL_AMBA_SHAKTI_BLK_SG</t>
  </si>
  <si>
    <t>MITTAL_CONTINENTAL</t>
  </si>
  <si>
    <t>APL_M_MITTAL_CONTINENTAL_BLK_DC</t>
  </si>
  <si>
    <t>APL_M_MITTAL_CONTINENTAL_BLK_SG</t>
  </si>
  <si>
    <t>MITTAL_DIAMOND</t>
  </si>
  <si>
    <t>APL_M_MITTAL_DIAMOND_BLK_DC</t>
  </si>
  <si>
    <t>APL_M_MITTAL_DIAMOND_BLK_SG</t>
  </si>
  <si>
    <t>MITTAL_KIRLOSKAR</t>
  </si>
  <si>
    <t>APL_M_MITTAL_KIRLOSKAR_BLK_DC</t>
  </si>
  <si>
    <t>APL_M_MITTAL_KIRLOSKAR_BLK_SG</t>
  </si>
  <si>
    <t>MITTAL_RELIANCE</t>
  </si>
  <si>
    <t>APL_M_MITTAL_RELIANCE_BLK_DC</t>
  </si>
  <si>
    <t>APL_M_MITTAL_RELIANCE_BLK_SG</t>
  </si>
  <si>
    <t>MITTAL_TATA_DISCOM</t>
  </si>
  <si>
    <t>APL_M_MITTAL_TATA_DISCOM_BLK_DC</t>
  </si>
  <si>
    <t>APL_M_MITTAL_TATA_DISCOM_BLK_SG</t>
  </si>
  <si>
    <t>MITTAL_VACMET</t>
  </si>
  <si>
    <t>APL_M_MITTAL_VACMET_BLK_DC</t>
  </si>
  <si>
    <t>APL_M_MITTAL_VACMET_BLK_SG</t>
  </si>
  <si>
    <t>Mohite</t>
  </si>
  <si>
    <t>APL_M_Mohite_BLK_DC</t>
  </si>
  <si>
    <t>APL_M_Mohite_BLK_SG</t>
  </si>
  <si>
    <t>MONO_STEEL</t>
  </si>
  <si>
    <t>APL_M_MONO_STEEL_BLK_DC</t>
  </si>
  <si>
    <t>APL_M_MONO_STEEL_BLK_SG</t>
  </si>
  <si>
    <t>MOTHERSON</t>
  </si>
  <si>
    <t>APL_M_MOTHERSON_BLK_DC</t>
  </si>
  <si>
    <t>APL_M_MOTHERSON_BLK_SG</t>
  </si>
  <si>
    <t>MP</t>
  </si>
  <si>
    <t>APL_M_MP_BLK_DC</t>
  </si>
  <si>
    <t>APL_M_MP_BLK_SG</t>
  </si>
  <si>
    <t>MPL_Punjab</t>
  </si>
  <si>
    <t>APL_M_MPL_Punjab_BLK_DC</t>
  </si>
  <si>
    <t>APL_M_MPL_Punjab_BLK_SG</t>
  </si>
  <si>
    <t>MPL_ATC_Tyres_Additional</t>
  </si>
  <si>
    <t>APL_M_MPL_ATC_Tyres_Additional_BLK_DC</t>
  </si>
  <si>
    <t>APL_M_MPL_ATC_Tyres_Additional_BLK_SG</t>
  </si>
  <si>
    <t>MPL_UPPCL</t>
  </si>
  <si>
    <t>APL_M_MPL_UPPCL_BLK_DC</t>
  </si>
  <si>
    <t>APL_M_MPL_UPPCL_BLK_SG</t>
  </si>
  <si>
    <t>MSEDCL</t>
  </si>
  <si>
    <t>APL_M_MSEDCL_BLK_DC</t>
  </si>
  <si>
    <t>APL_M_MSEDCL_BLK_SG</t>
  </si>
  <si>
    <t>MSEDCL_1200MW_PPA</t>
  </si>
  <si>
    <t>APL_M_MSEDCL_1200MW_PPA_BLK_DC</t>
  </si>
  <si>
    <t>APL_M_MSEDCL_1200MW_PPA_BLK_SG</t>
  </si>
  <si>
    <t>MSEDCL_125MW_PPA</t>
  </si>
  <si>
    <t>APL_M_MSEDCL_125MW_PPA_BLK_DC</t>
  </si>
  <si>
    <t>APL_M_MSEDCL_125MW_PPA_BLK_SG</t>
  </si>
  <si>
    <t>MSEDCL_1320MW_PPA</t>
  </si>
  <si>
    <t>APL_M_MSEDCL_1320MW_PPA_BLK_DC</t>
  </si>
  <si>
    <t>APL_M_MSEDCL_1320MW_PPA_BLK_SG</t>
  </si>
  <si>
    <t>MSEDCL_IEX_Weekly_Day</t>
  </si>
  <si>
    <t>APL_M_MSEDCL_IEX_Weekly_Day_BLK_DC</t>
  </si>
  <si>
    <t>APL_M_MSEDCL_IEX_Weekly_Day_BLK_SG</t>
  </si>
  <si>
    <t>MSEDCL_PXIL_Any_Day_Day</t>
  </si>
  <si>
    <t>APL_M_MSEDCL_PXIL_Any_Day_Day_BLK_DC</t>
  </si>
  <si>
    <t>APL_M_MSEDCL_PXIL_Any_Day_Day_BLK_SG</t>
  </si>
  <si>
    <t>MSEDCL_PXIL_Any_Day_Off_Peak</t>
  </si>
  <si>
    <t>APL_M_MSEDCL_PXIL_Any_Day_Off_Peak_BLK_DC</t>
  </si>
  <si>
    <t>APL_M_MSEDCL_PXIL_Any_Day_Off_Peak_BLK_SG</t>
  </si>
  <si>
    <t>MSEDCL_PXIL_Any_Day_Peak</t>
  </si>
  <si>
    <t>APL_M_MSEDCL_PXIL_Any_Day_Peak_BLK_DC</t>
  </si>
  <si>
    <t>APL_M_MSEDCL_PXIL_Any_Day_Peak_BLK_SG</t>
  </si>
  <si>
    <t>MSEDCL_PXIL_Any_Day_RTC</t>
  </si>
  <si>
    <t>APL_M_MSEDCL_PXIL_Any_Day_RTC_BLK_DC</t>
  </si>
  <si>
    <t>APL_M_MSEDCL_PXIL_Any_Day_RTC_BLK_SG</t>
  </si>
  <si>
    <t>MSEDCL_PXIL_Intra_Day_Day</t>
  </si>
  <si>
    <t>APL_M_MSEDCL_PXIL_Intra_Day_Day_BLK_DC</t>
  </si>
  <si>
    <t>APL_M_MSEDCL_PXIL_Intra_Day_Day_BLK_SG</t>
  </si>
  <si>
    <t>MSEDCL_PXIL_Intra_Day_Off_Peak</t>
  </si>
  <si>
    <t>APL_M_MSEDCL_PXIL_Intra_Day_Off_Peak_BLK_DC</t>
  </si>
  <si>
    <t>APL_M_MSEDCL_PXIL_Intra_Day_Off_Peak_BLK_SG</t>
  </si>
  <si>
    <t>MSEDCL_PXIL_Intra_Day_Peak</t>
  </si>
  <si>
    <t>APL_M_MSEDCL_PXIL_Intra_Day_Peak_BLK_DC</t>
  </si>
  <si>
    <t>APL_M_MSEDCL_PXIL_Intra_Day_Peak_BLK_SG</t>
  </si>
  <si>
    <t>MSEDCL_PXIL_Weekly_Day</t>
  </si>
  <si>
    <t>APL_M_MSEDCL_PXIL_Weekly_Day_BLK_DC</t>
  </si>
  <si>
    <t>APL_M_MSEDCL_PXIL_Weekly_Day_BLK_SG</t>
  </si>
  <si>
    <t>MSEDCL_PXIL_Weekly_Off_Peak</t>
  </si>
  <si>
    <t>APL_M_MSEDCL_PXIL_Weekly_Off_Peak_BLK_DC</t>
  </si>
  <si>
    <t>APL_M_MSEDCL_PXIL_Weekly_Off_Peak_BLK_SG</t>
  </si>
  <si>
    <t>MSPDCL</t>
  </si>
  <si>
    <t>APL_M_MSPDCL_BLK_DC</t>
  </si>
  <si>
    <t>APL_M_MSPDCL_BLK_SG</t>
  </si>
  <si>
    <t>MUPL</t>
  </si>
  <si>
    <t>APL_M_MUPL_BLK_DC</t>
  </si>
  <si>
    <t>APL_M_MUPL_BLK_SG</t>
  </si>
  <si>
    <t>MUPL_Add</t>
  </si>
  <si>
    <t>APL_M_MUPL_Add_BLK_DC</t>
  </si>
  <si>
    <t>APL_M_MUPL_Add_BLK_SG</t>
  </si>
  <si>
    <t>MUPL_Bilateral</t>
  </si>
  <si>
    <t>APL_M_MUPL_Bilateral_BLK_DC</t>
  </si>
  <si>
    <t>APL_M_MUPL_Bilateral_BLK_SG</t>
  </si>
  <si>
    <t>MUPL_Contingency</t>
  </si>
  <si>
    <t>APL_M_MUPL_Contingency_BLK_DC</t>
  </si>
  <si>
    <t>APL_M_MUPL_Contingency_BLK_SG</t>
  </si>
  <si>
    <t>NCR</t>
  </si>
  <si>
    <t>APL_M_NCR_BLK_DC</t>
  </si>
  <si>
    <t>APL_M_NCR_BLK_SG</t>
  </si>
  <si>
    <t>NCR_DA</t>
  </si>
  <si>
    <t>APL_M_NCR_DA_BLK_DC</t>
  </si>
  <si>
    <t>APL_M_NCR_DA_BLK_SG</t>
  </si>
  <si>
    <t>NEA_PTC</t>
  </si>
  <si>
    <t>APL_M_NEA_PTC_BLK_DC</t>
  </si>
  <si>
    <t>APL_M_NEA_PTC_BLK_SG</t>
  </si>
  <si>
    <t>Neosym</t>
  </si>
  <si>
    <t>APL_M_Neosym_BLK_DC</t>
  </si>
  <si>
    <t>APL_M_Neosym_BLK_SG</t>
  </si>
  <si>
    <t>NHPC_UPPCL</t>
  </si>
  <si>
    <t>APL_M_NHPC_UPPCL_BLK_DC</t>
  </si>
  <si>
    <t>APL_M_NHPC_UPPCL_BLK_SG</t>
  </si>
  <si>
    <t>NHPC_UPPCL_DA</t>
  </si>
  <si>
    <t>APL_M_NHPC_UPPCL_DA_BLK_DC</t>
  </si>
  <si>
    <t>APL_M_NHPC_UPPCL_DA_BLK_SG</t>
  </si>
  <si>
    <t>NHPC_Andhra</t>
  </si>
  <si>
    <t>APL_M_NHPC_Andhra_BLK_DC</t>
  </si>
  <si>
    <t>APL_M_NHPC_Andhra_BLK_SG</t>
  </si>
  <si>
    <t>Nilkanth</t>
  </si>
  <si>
    <t>APL_M_Nilkanth_BLK_DC</t>
  </si>
  <si>
    <t>APL_M_Nilkanth_BLK_SG</t>
  </si>
  <si>
    <t>Nipro</t>
  </si>
  <si>
    <t>APL_M_Nipro_BLK_DC</t>
  </si>
  <si>
    <t>APL_M_Nipro_BLK_SG</t>
  </si>
  <si>
    <t>NPCL</t>
  </si>
  <si>
    <t>APL_M_NPCL_BLK_DC</t>
  </si>
  <si>
    <t>APL_M_NPCL_BLK_SG</t>
  </si>
  <si>
    <t>NPCL_STU</t>
  </si>
  <si>
    <t>APL_M_NPCL_STU_BLK_DC</t>
  </si>
  <si>
    <t>APL_M_NPCL_STU_BLK_SG</t>
  </si>
  <si>
    <t>NVVN_WBSEDCL</t>
  </si>
  <si>
    <t>APL_M_NVVN_WBSEDCL_BLK_DC</t>
  </si>
  <si>
    <t>APL_M_NVVN_WBSEDCL_BLK_SG</t>
  </si>
  <si>
    <t>NVVN_UPPCL_(NR/2020/80752/A)</t>
  </si>
  <si>
    <t>APL_M_NVVN_UPPCL_(NR/2020/80752/A)_BLK_DC</t>
  </si>
  <si>
    <t>APL_M_NVVN_UPPCL_(NR/2020/80752/A)_BLK_SG</t>
  </si>
  <si>
    <t>NVVN_TANGEDCO</t>
  </si>
  <si>
    <t>APL_M_NVVN_TANGEDCO_BLK_DC</t>
  </si>
  <si>
    <t>APL_M_NVVN_TANGEDCO_BLK_SG</t>
  </si>
  <si>
    <t>NVVN_NEPAL</t>
  </si>
  <si>
    <t>APL_M_NVVN_NEPAL_BLK_DC</t>
  </si>
  <si>
    <t>APL_M_NVVN_NEPAL_BLK_SG</t>
  </si>
  <si>
    <t>NVVN_NEPAL_Contigency</t>
  </si>
  <si>
    <t>APL_M_NVVN_NEPAL_Contigency_BLK_DC</t>
  </si>
  <si>
    <t>APL_M_NVVN_NEPAL_Contigency_BLK_SG</t>
  </si>
  <si>
    <t>NVVN_UP_DA</t>
  </si>
  <si>
    <t>APL_M_NVVN_UP_DA_BLK_DC</t>
  </si>
  <si>
    <t>APL_M_NVVN_UP_DA_BLK_SG</t>
  </si>
  <si>
    <t>NVVN_UPPCL_(DAC)</t>
  </si>
  <si>
    <t>APL_M_NVVN_UPPCL_(DAC)_BLK_DC</t>
  </si>
  <si>
    <t>APL_M_NVVN_UPPCL_(DAC)_BLK_SG</t>
  </si>
  <si>
    <t>NVVN_UPPCL_(NR/2020/80751/A)</t>
  </si>
  <si>
    <t>APL_M_NVVN_UPPCL_(NR/2020/80751/A)_BLK_DC</t>
  </si>
  <si>
    <t>APL_M_NVVN_UPPCL_(NR/2020/80751/A)_BLK_SG</t>
  </si>
  <si>
    <t>NVVNL_NEA</t>
  </si>
  <si>
    <t>APL_M_NVVNL_NEA_BLK_DC</t>
  </si>
  <si>
    <t>APL_M_NVVNL_NEA_BLK_SG</t>
  </si>
  <si>
    <t>Oasis_Tiles_LLP</t>
  </si>
  <si>
    <t>APL_M_Oasis_Tiles_LLP_BLK_DC</t>
  </si>
  <si>
    <t>APL_M_Oasis_Tiles_LLP_BLK_SG</t>
  </si>
  <si>
    <t>Olwin_Tiles_India_Pvt_ltd</t>
  </si>
  <si>
    <t>APL_M_Olwin_Tiles_India_Pvt_ltd_BLK_DC</t>
  </si>
  <si>
    <t>APL_M_Olwin_Tiles_India_Pvt_ltd_BLK_SG</t>
  </si>
  <si>
    <t>Otsuka_STOA</t>
  </si>
  <si>
    <t>APL_M_Otsuka_STOA_BLK_DC</t>
  </si>
  <si>
    <t>APL_M_Otsuka_STOA_BLK_SG</t>
  </si>
  <si>
    <t>Otsuka_Pharmaceutical</t>
  </si>
  <si>
    <t>APL_M_Otsuka_Pharmaceutical_BLK_DC</t>
  </si>
  <si>
    <t>APL_M_Otsuka_Pharmaceutical_BLK_SG</t>
  </si>
  <si>
    <t>PCKL</t>
  </si>
  <si>
    <t>APL_M_PCKL_BLK_DC</t>
  </si>
  <si>
    <t>APL_M_PCKL_BLK_SG</t>
  </si>
  <si>
    <t>Pee_Vee_Textiles</t>
  </si>
  <si>
    <t>APL_M_Pee_Vee_Textiles_BLK_DC</t>
  </si>
  <si>
    <t>APL_M_Pee_Vee_Textiles_BLK_SG</t>
  </si>
  <si>
    <t>Perfect_Circle</t>
  </si>
  <si>
    <t>APL_M_Perfect_Circle_BLK_DC</t>
  </si>
  <si>
    <t>APL_M_Perfect_Circle_BLK_SG</t>
  </si>
  <si>
    <t>PFPLA</t>
  </si>
  <si>
    <t>APL_M_PFPLA_BLK_DC</t>
  </si>
  <si>
    <t>APL_M_PFPLA_BLK_SG</t>
  </si>
  <si>
    <t>Piaggio</t>
  </si>
  <si>
    <t>APL_M_Piaggio_BLK_DC</t>
  </si>
  <si>
    <t>APL_M_Piaggio_BLK_SG</t>
  </si>
  <si>
    <t>Piramal_Jambusar</t>
  </si>
  <si>
    <t>APL_M_Piramal_Jambusar_BLK_DC</t>
  </si>
  <si>
    <t>APL_M_Piramal_Jambusar_BLK_SG</t>
  </si>
  <si>
    <t>Piramal_Kosamba</t>
  </si>
  <si>
    <t>APL_M_Piramal_Kosamba_BLK_DC</t>
  </si>
  <si>
    <t>APL_M_Piramal_Kosamba_BLK_SG</t>
  </si>
  <si>
    <t>PIRAMAL_STU</t>
  </si>
  <si>
    <t>APL_M_PIRAMAL_STU_BLK_DC</t>
  </si>
  <si>
    <t>APL_M_PIRAMAL_STU_BLK_SG</t>
  </si>
  <si>
    <t>POSCO</t>
  </si>
  <si>
    <t>APL_M_POSCO_BLK_DC</t>
  </si>
  <si>
    <t>APL_M_POSCO_BLK_SG</t>
  </si>
  <si>
    <t>PRAFUL</t>
  </si>
  <si>
    <t>APL_M_PRAFUL_BLK_DC</t>
  </si>
  <si>
    <t>APL_M_PRAFUL_BLK_SG</t>
  </si>
  <si>
    <t>Proton</t>
  </si>
  <si>
    <t>APL_M_Proton_BLK_DC</t>
  </si>
  <si>
    <t>APL_M_Proton_BLK_SG</t>
  </si>
  <si>
    <t>PSPCL</t>
  </si>
  <si>
    <t>APL_M_PSPCL_BLK_DC</t>
  </si>
  <si>
    <t>APL_M_PSPCL_BLK_SG</t>
  </si>
  <si>
    <t>PTC_GIFT</t>
  </si>
  <si>
    <t>APL_M_PTC_GIFT_BLK_DC</t>
  </si>
  <si>
    <t>APL_M_PTC_GIFT_BLK_SG</t>
  </si>
  <si>
    <t>PTC_NEPAL</t>
  </si>
  <si>
    <t>APL_M_PTC_NEPAL_BLK_DC</t>
  </si>
  <si>
    <t>APL_M_PTC_NEPAL_BLK_SG</t>
  </si>
  <si>
    <t>PXIL</t>
  </si>
  <si>
    <t>APL_M_PXIL_BLK_DC</t>
  </si>
  <si>
    <t>APL_M_PXIL_BLK_SG</t>
  </si>
  <si>
    <t>PXIL_Telengana</t>
  </si>
  <si>
    <t>APL_M_PXIL_Telengana_BLK_DC</t>
  </si>
  <si>
    <t>APL_M_PXIL_Telengana_BLK_SG</t>
  </si>
  <si>
    <t>PXIL_Andhra</t>
  </si>
  <si>
    <t>APL_M_PXIL_Andhra_BLK_DC</t>
  </si>
  <si>
    <t>APL_M_PXIL_Andhra_BLK_SG</t>
  </si>
  <si>
    <t>PXIL_APSPDCL</t>
  </si>
  <si>
    <t>APL_M_PXIL_APSPDCL_BLK_DC</t>
  </si>
  <si>
    <t>APL_M_PXIL_APSPDCL_BLK_SG</t>
  </si>
  <si>
    <t>PXIL_RTM</t>
  </si>
  <si>
    <t>APL_M_PXIL_RTM_BLK_DC</t>
  </si>
  <si>
    <t>APL_M_PXIL_RTM_BLK_SG</t>
  </si>
  <si>
    <t>PXIL_WBSETCL</t>
  </si>
  <si>
    <t>APL_M_PXIL_WBSETCL_BLK_DC</t>
  </si>
  <si>
    <t>APL_M_PXIL_WBSETCL_BLK_SG</t>
  </si>
  <si>
    <t>PXIL_BRPL</t>
  </si>
  <si>
    <t>APL_M_PXIL_BRPL_BLK_DC</t>
  </si>
  <si>
    <t>APL_M_PXIL_BRPL_BLK_SG</t>
  </si>
  <si>
    <t>PXIL_BSPHCL</t>
  </si>
  <si>
    <t>APL_M_PXIL_BSPHCL_BLK_DC</t>
  </si>
  <si>
    <t>APL_M_PXIL_BSPHCL_BLK_SG</t>
  </si>
  <si>
    <t>PXIL_DAMAN</t>
  </si>
  <si>
    <t>APL_M_PXIL_DAMAN_BLK_DC</t>
  </si>
  <si>
    <t>APL_M_PXIL_DAMAN_BLK_SG</t>
  </si>
  <si>
    <t>PXIL_DVC</t>
  </si>
  <si>
    <t>APL_M_PXIL_DVC_BLK_DC</t>
  </si>
  <si>
    <t>APL_M_PXIL_DVC_BLK_SG</t>
  </si>
  <si>
    <t>PXIL_MSEDCL</t>
  </si>
  <si>
    <t>APL_M_PXIL_MSEDCL_BLK_DC</t>
  </si>
  <si>
    <t>APL_M_PXIL_MSEDCL_BLK_SG</t>
  </si>
  <si>
    <t>PXIL_TANGEDCO</t>
  </si>
  <si>
    <t>APL_M_PXIL_TANGEDCO_BLK_DC</t>
  </si>
  <si>
    <t>APL_M_PXIL_TANGEDCO_BLK_SG</t>
  </si>
  <si>
    <t>PXIL_TSSPDCL</t>
  </si>
  <si>
    <t>APL_M_PXIL_TSSPDCL_BLK_DC</t>
  </si>
  <si>
    <t>APL_M_PXIL_TSSPDCL_BLK_SG</t>
  </si>
  <si>
    <t>PXIL_Vedanta</t>
  </si>
  <si>
    <t>APL_M_PXIL_Vedanta_BLK_DC</t>
  </si>
  <si>
    <t>APL_M_PXIL_Vedanta_BLK_SG</t>
  </si>
  <si>
    <t>Qutone_Ceramio</t>
  </si>
  <si>
    <t>APL_M_Qutone_Ceramio_BLK_DC</t>
  </si>
  <si>
    <t>APL_M_Qutone_Ceramio_BLK_SG</t>
  </si>
  <si>
    <t>R_INFRA_IEX_Intra_Day_Peak</t>
  </si>
  <si>
    <t>APL_M_R_INFRA_IEX_Intra_Day_Peak_BLK_DC</t>
  </si>
  <si>
    <t>APL_M_R_INFRA_IEX_Intra_Day_Peak_BLK_SG</t>
  </si>
  <si>
    <t>Rajputana_Stainless_Steel</t>
  </si>
  <si>
    <t>APL_M_Rajputana_Stainless_Steel_BLK_DC</t>
  </si>
  <si>
    <t>APL_M_Rajputana_Stainless_Steel_BLK_SG</t>
  </si>
  <si>
    <t>RAJSHREE</t>
  </si>
  <si>
    <t>APL_M_RAJSHREE_BLK_DC</t>
  </si>
  <si>
    <t>APL_M_RAJSHREE_BLK_SG</t>
  </si>
  <si>
    <t>Rajshree_Additional</t>
  </si>
  <si>
    <t>APL_M_Rajshree_Additional_BLK_DC</t>
  </si>
  <si>
    <t>APL_M_Rajshree_Additional_BLK_SG</t>
  </si>
  <si>
    <t>Raymond_Uco</t>
  </si>
  <si>
    <t>APL_M_Raymond_Uco_BLK_DC</t>
  </si>
  <si>
    <t>APL_M_Raymond_Uco_BLK_SG</t>
  </si>
  <si>
    <t>RDPPC</t>
  </si>
  <si>
    <t>APL_M_RDPPC_BLK_DC</t>
  </si>
  <si>
    <t>APL_M_RDPPC_BLK_SG</t>
  </si>
  <si>
    <t>RIL</t>
  </si>
  <si>
    <t>APL_M_RIL_BLK_DC</t>
  </si>
  <si>
    <t>APL_M_RIL_BLK_SG</t>
  </si>
  <si>
    <t>Rimjhim_Ispat_Ltd._(RIL)</t>
  </si>
  <si>
    <t>APL_M_Rimjhim_Ispat_Ltd._(RIL)_BLK_DC</t>
  </si>
  <si>
    <t>APL_M_Rimjhim_Ispat_Ltd._(RIL)_BLK_SG</t>
  </si>
  <si>
    <t>Rimjhim_Stainless_Ltd._(RSL)</t>
  </si>
  <si>
    <t>APL_M_Rimjhim_Stainless_Ltd._(RSL)_BLK_DC</t>
  </si>
  <si>
    <t>APL_M_Rimjhim_Stainless_Ltd._(RSL)_BLK_SG</t>
  </si>
  <si>
    <t>RL_Steel_and_Energy</t>
  </si>
  <si>
    <t>APL_M_RL_Steel_and_Energy_BLK_DC</t>
  </si>
  <si>
    <t>APL_M_RL_Steel_and_Energy_BLK_SG</t>
  </si>
  <si>
    <t>Rolex_Rings</t>
  </si>
  <si>
    <t>APL_M_Rolex_Rings_BLK_DC</t>
  </si>
  <si>
    <t>APL_M_Rolex_Rings_BLK_SG</t>
  </si>
  <si>
    <t>Rubby_Mill</t>
  </si>
  <si>
    <t>APL_M_Rubby_Mill_BLK_DC</t>
  </si>
  <si>
    <t>APL_M_Rubby_Mill_BLK_SG</t>
  </si>
  <si>
    <t>Sagreshwar</t>
  </si>
  <si>
    <t>APL_M_Sagreshwar_BLK_DC</t>
  </si>
  <si>
    <t>APL_M_Sagreshwar_BLK_SG</t>
  </si>
  <si>
    <t>Sarvotam</t>
  </si>
  <si>
    <t>APL_M_Sarvotam_BLK_DC</t>
  </si>
  <si>
    <t>APL_M_Sarvotam_BLK_SG</t>
  </si>
  <si>
    <t>SBTL</t>
  </si>
  <si>
    <t>APL_M_SBTL_BLK_DC</t>
  </si>
  <si>
    <t>APL_M_SBTL_BLK_SG</t>
  </si>
  <si>
    <t>Schreiber</t>
  </si>
  <si>
    <t>APL_M_Schreiber_BLK_DC</t>
  </si>
  <si>
    <t>APL_M_Schreiber_BLK_SG</t>
  </si>
  <si>
    <t>SDDL</t>
  </si>
  <si>
    <t>APL_M_SDDL_BLK_DC</t>
  </si>
  <si>
    <t>APL_M_SDDL_BLK_SG</t>
  </si>
  <si>
    <t>SEACO</t>
  </si>
  <si>
    <t>APL_M_SEACO_BLK_DC</t>
  </si>
  <si>
    <t>APL_M_SEACO_BLK_SG</t>
  </si>
  <si>
    <t>Serene_Prop</t>
  </si>
  <si>
    <t>APL_M_Serene_Prop_BLK_DC</t>
  </si>
  <si>
    <t>APL_M_Serene_Prop_BLK_SG</t>
  </si>
  <si>
    <t>Serum</t>
  </si>
  <si>
    <t>APL_M_Serum_BLK_DC</t>
  </si>
  <si>
    <t>APL_M_Serum_BLK_SG</t>
  </si>
  <si>
    <t>Sethkari_Vinakari</t>
  </si>
  <si>
    <t>APL_M_Sethkari_Vinakari_BLK_DC</t>
  </si>
  <si>
    <t>APL_M_Sethkari_Vinakari_BLK_SG</t>
  </si>
  <si>
    <t>Shamli_Steel</t>
  </si>
  <si>
    <t>APL_M_Shamli_Steel_BLK_DC</t>
  </si>
  <si>
    <t>APL_M_Shamli_Steel_BLK_SG</t>
  </si>
  <si>
    <t>Shetkari_Mahila</t>
  </si>
  <si>
    <t>APL_M_Shetkari_Mahila_BLK_DC</t>
  </si>
  <si>
    <t>APL_M_Shetkari_Mahila_BLK_SG</t>
  </si>
  <si>
    <t>Shetkari_Shakari</t>
  </si>
  <si>
    <t>APL_M_Shetkari_Shakari_BLK_DC</t>
  </si>
  <si>
    <t>APL_M_Shetkari_Shakari_BLK_SG</t>
  </si>
  <si>
    <t>Shree_Cement_UP_Grinding</t>
  </si>
  <si>
    <t>APL_M_Shree_Cement_UP_Grinding_BLK_DC</t>
  </si>
  <si>
    <t>APL_M_Shree_Cement_UP_Grinding_BLK_SG</t>
  </si>
  <si>
    <t>SHREERAMOXY</t>
  </si>
  <si>
    <t>APL_M_SHREERAMOXY_BLK_DC</t>
  </si>
  <si>
    <t>APL_M_SHREERAMOXY_BLK_SG</t>
  </si>
  <si>
    <t>SIL_A</t>
  </si>
  <si>
    <t>APL_M_SIL_A_BLK_DC</t>
  </si>
  <si>
    <t>APL_M_SIL_A_BLK_SG</t>
  </si>
  <si>
    <t>SIL_B</t>
  </si>
  <si>
    <t>APL_M_SIL_B_BLK_DC</t>
  </si>
  <si>
    <t>APL_M_SIL_B_BLK_SG</t>
  </si>
  <si>
    <t>SIL_N</t>
  </si>
  <si>
    <t>APL_M_SIL_N_BLK_DC</t>
  </si>
  <si>
    <t>APL_M_SIL_N_BLK_SG</t>
  </si>
  <si>
    <t>SIL_G</t>
  </si>
  <si>
    <t>APL_M_SIL_G_BLK_DC</t>
  </si>
  <si>
    <t>APL_M_SIL_G_BLK_SG</t>
  </si>
  <si>
    <t>Silk_Touch</t>
  </si>
  <si>
    <t>APL_M_Silk_Touch_BLK_DC</t>
  </si>
  <si>
    <t>APL_M_Silk_Touch_BLK_SG</t>
  </si>
  <si>
    <t>SKF</t>
  </si>
  <si>
    <t>APL_M_SKF_BLK_DC</t>
  </si>
  <si>
    <t>APL_M_SKF_BLK_SG</t>
  </si>
  <si>
    <t>Spectrum_Dyes</t>
  </si>
  <si>
    <t>APL_M_Spectrum_Dyes_BLK_DC</t>
  </si>
  <si>
    <t>APL_M_Spectrum_Dyes_BLK_SG</t>
  </si>
  <si>
    <t>SPPL</t>
  </si>
  <si>
    <t>APL_M_SPPL_BLK_DC</t>
  </si>
  <si>
    <t>APL_M_SPPL_BLK_SG</t>
  </si>
  <si>
    <t>SSSVSSG</t>
  </si>
  <si>
    <t>APL_M_SSSVSSG_BLK_DC</t>
  </si>
  <si>
    <t>APL_M_SSSVSSG_BLK_SG</t>
  </si>
  <si>
    <t>APL_M_ST_BLK_DC</t>
  </si>
  <si>
    <t>APL_M_ST_BLK_SG</t>
  </si>
  <si>
    <t>STL_SHENDRA</t>
  </si>
  <si>
    <t>APL_M_STL_SHENDRA_BLK_DC</t>
  </si>
  <si>
    <t>APL_M_STL_SHENDRA_BLK_SG</t>
  </si>
  <si>
    <t>STL_WALUJ</t>
  </si>
  <si>
    <t>APL_M_STL_WALUJ_BLK_DC</t>
  </si>
  <si>
    <t>APL_M_STL_WALUJ_BLK_SG</t>
  </si>
  <si>
    <t>Stovec</t>
  </si>
  <si>
    <t>APL_M_Stovec_BLK_DC</t>
  </si>
  <si>
    <t>APL_M_Stovec_BLK_SG</t>
  </si>
  <si>
    <t>Sumeet</t>
  </si>
  <si>
    <t>APL_M_Sumeet_BLK_DC</t>
  </si>
  <si>
    <t>APL_M_Sumeet_BLK_SG</t>
  </si>
  <si>
    <t>Supreme_Jalgoan_</t>
  </si>
  <si>
    <t>APL_M_Supreme_Jalgoan__BLK_DC</t>
  </si>
  <si>
    <t>APL_M_Supreme_Jalgoan__BLK_SG</t>
  </si>
  <si>
    <t>Supreme_Gadegaon</t>
  </si>
  <si>
    <t>APL_M_Supreme_Gadegaon_BLK_DC</t>
  </si>
  <si>
    <t>APL_M_Supreme_Gadegaon_BLK_SG</t>
  </si>
  <si>
    <t>Suryaamba</t>
  </si>
  <si>
    <t>APL_M_Suryaamba_BLK_DC</t>
  </si>
  <si>
    <t>APL_M_Suryaamba_BLK_SG</t>
  </si>
  <si>
    <t>Swami_Smarth</t>
  </si>
  <si>
    <t>APL_M_Swami_Smarth_BLK_DC</t>
  </si>
  <si>
    <t>APL_M_Swami_Smarth_BLK_SG</t>
  </si>
  <si>
    <t>Tagros</t>
  </si>
  <si>
    <t>APL_M_Tagros_BLK_DC</t>
  </si>
  <si>
    <t>APL_M_Tagros_BLK_SG</t>
  </si>
  <si>
    <t>TATA_Assam</t>
  </si>
  <si>
    <t>APL_M_TATA_Assam_BLK_DC</t>
  </si>
  <si>
    <t>APL_M_TATA_Assam_BLK_SG</t>
  </si>
  <si>
    <t>TATA_Assam_Additional</t>
  </si>
  <si>
    <t>APL_M_TATA_Assam_Additional_BLK_DC</t>
  </si>
  <si>
    <t>APL_M_TATA_Assam_Additional_BLK_SG</t>
  </si>
  <si>
    <t>TATA_Assam_DAC</t>
  </si>
  <si>
    <t>APL_M_TATA_Assam_DAC_BLK_DC</t>
  </si>
  <si>
    <t>APL_M_TATA_Assam_DAC_BLK_SG</t>
  </si>
  <si>
    <t>TATA_CSPDCL</t>
  </si>
  <si>
    <t>APL_M_TATA_CSPDCL_BLK_DC</t>
  </si>
  <si>
    <t>APL_M_TATA_CSPDCL_BLK_SG</t>
  </si>
  <si>
    <t>TATA_Steel_Ltd_Discom</t>
  </si>
  <si>
    <t>APL_M_TATA_Steel_Ltd_Discom_BLK_DC</t>
  </si>
  <si>
    <t>APL_M_TATA_Steel_Ltd_Discom_BLK_SG</t>
  </si>
  <si>
    <t>TATA_BIHAR</t>
  </si>
  <si>
    <t>APL_M_TATA_BIHAR_BLK_DC</t>
  </si>
  <si>
    <t>APL_M_TATA_BIHAR_BLK_SG</t>
  </si>
  <si>
    <t>TATA_TPL_DAHEJ</t>
  </si>
  <si>
    <t>APL_M_TATA_TPL_DAHEJ_BLK_DC</t>
  </si>
  <si>
    <t>APL_M_TATA_TPL_DAHEJ_BLK_SG</t>
  </si>
  <si>
    <t>TELANGANA</t>
  </si>
  <si>
    <t>APL_M_TELANGANA_BLK_DC</t>
  </si>
  <si>
    <t>APL_M_TELANGANA_BLK_SG</t>
  </si>
  <si>
    <t>Telangana_125MW</t>
  </si>
  <si>
    <t>APL_M_Telangana_125MW_BLK_DC</t>
  </si>
  <si>
    <t>APL_M_Telangana_125MW_BLK_SG</t>
  </si>
  <si>
    <t>Telangana_95MW</t>
  </si>
  <si>
    <t>APL_M_Telangana_95MW_BLK_DC</t>
  </si>
  <si>
    <t>APL_M_Telangana_95MW_BLK_SG</t>
  </si>
  <si>
    <t>TEST1234</t>
  </si>
  <si>
    <t>APL_M_TEST1234_BLK_DC</t>
  </si>
  <si>
    <t>APL_M_TEST1234_BLK_SG</t>
  </si>
  <si>
    <t>TG</t>
  </si>
  <si>
    <t>APL_M_TG_BLK_DC</t>
  </si>
  <si>
    <t>APL_M_TG_BLK_SG</t>
  </si>
  <si>
    <t>Tirthak_Paper_Mill</t>
  </si>
  <si>
    <t>APL_M_Tirthak_Paper_Mill_BLK_DC</t>
  </si>
  <si>
    <t>APL_M_Tirthak_Paper_Mill_BLK_SG</t>
  </si>
  <si>
    <t>TNEB</t>
  </si>
  <si>
    <t>APL_M_TNEB_BLK_DC</t>
  </si>
  <si>
    <t>APL_M_TNEB_BLK_SG</t>
  </si>
  <si>
    <t>TNEB(ST)</t>
  </si>
  <si>
    <t>APL_M_TNEB(ST)_BLK_DC</t>
  </si>
  <si>
    <t>APL_M_TNEB(ST)_BLK_SG</t>
  </si>
  <si>
    <t>TORRENT</t>
  </si>
  <si>
    <t>APL_M_TORRENT_BLK_DC</t>
  </si>
  <si>
    <t>APL_M_TORRENT_BLK_SG</t>
  </si>
  <si>
    <t>Torrent_STOA</t>
  </si>
  <si>
    <t>APL_M_Torrent_STOA_BLK_DC</t>
  </si>
  <si>
    <t>APL_M_Torrent_STOA_BLK_SG</t>
  </si>
  <si>
    <t>TPCL_M</t>
  </si>
  <si>
    <t>APL_M_TPCL_M_BLK_DC</t>
  </si>
  <si>
    <t>APL_M_TPCL_M_BLK_SG</t>
  </si>
  <si>
    <t>TPL_AHMEDABAD_IEX_Any_Day_Off_Peak</t>
  </si>
  <si>
    <t>APL_M_TPL_AHMEDABAD_IEX_Any_Day_Off_Peak_BLK_DC</t>
  </si>
  <si>
    <t>APL_M_TPL_AHMEDABAD_IEX_Any_Day_Off_Peak_BLK_SG</t>
  </si>
  <si>
    <t>TPL_SURAT_IEX_Any_Day_Day</t>
  </si>
  <si>
    <t>APL_M_TPL_SURAT_IEX_Any_Day_Day_BLK_DC</t>
  </si>
  <si>
    <t>APL_M_TPL_SURAT_IEX_Any_Day_Day_BLK_SG</t>
  </si>
  <si>
    <t>TPL_SURAT_IEX_Any_Day_Off_Peak</t>
  </si>
  <si>
    <t>APL_M_TPL_SURAT_IEX_Any_Day_Off_Peak_BLK_DC</t>
  </si>
  <si>
    <t>APL_M_TPL_SURAT_IEX_Any_Day_Off_Peak_BLK_SG</t>
  </si>
  <si>
    <t>TPTCL_UPPCL</t>
  </si>
  <si>
    <t>APL_M_TPTCL_UPPCL_BLK_DC</t>
  </si>
  <si>
    <t>APL_M_TPTCL_UPPCL_BLK_SG</t>
  </si>
  <si>
    <t>TRIPURA</t>
  </si>
  <si>
    <t>APL_M_TRIPURA_BLK_DC</t>
  </si>
  <si>
    <t>APL_M_TRIPURA_BLK_SG</t>
  </si>
  <si>
    <t>Tuna_Port</t>
  </si>
  <si>
    <t>APL_M_Tuna_Port_BLK_DC</t>
  </si>
  <si>
    <t>APL_M_Tuna_Port_BLK_SG</t>
  </si>
  <si>
    <t>UPCL</t>
  </si>
  <si>
    <t>APL_M_UPCL_BLK_DC</t>
  </si>
  <si>
    <t>APL_M_UPCL_BLK_SG</t>
  </si>
  <si>
    <t>UPPCL</t>
  </si>
  <si>
    <t>APL_M_UPPCL_BLK_DC</t>
  </si>
  <si>
    <t>APL_M_UPPCL_BLK_SG</t>
  </si>
  <si>
    <t>VARCO_TAKVE</t>
  </si>
  <si>
    <t>APL_M_VARCO_TAKVE_BLK_DC</t>
  </si>
  <si>
    <t>APL_M_VARCO_TAKVE_BLK_SG</t>
  </si>
  <si>
    <t>Vardhaman_Fabrics</t>
  </si>
  <si>
    <t>APL_M_Vardhaman_Fabrics_BLK_DC</t>
  </si>
  <si>
    <t>APL_M_Vardhaman_Fabrics_BLK_SG</t>
  </si>
  <si>
    <t>Varroc</t>
  </si>
  <si>
    <t>APL_M_Varroc_BLK_DC</t>
  </si>
  <si>
    <t>APL_M_Varroc_BLK_SG</t>
  </si>
  <si>
    <t>Vinayak_TMT</t>
  </si>
  <si>
    <t>APL_M_Vinayak_TMT_BLK_DC</t>
  </si>
  <si>
    <t>APL_M_Vinayak_TMT_BLK_SG</t>
  </si>
  <si>
    <t>VIRAJ_SPINNERS_LTD</t>
  </si>
  <si>
    <t>APL_M_VIRAJ_SPINNERS_LTD_BLK_DC</t>
  </si>
  <si>
    <t>APL_M_VIRAJ_SPINNERS_LTD_BLK_SG</t>
  </si>
  <si>
    <t>Vishay</t>
  </si>
  <si>
    <t>APL_M_Vishay_BLK_DC</t>
  </si>
  <si>
    <t>APL_M_Vishay_BLK_SG</t>
  </si>
  <si>
    <t>VITTHAL_CORP</t>
  </si>
  <si>
    <t>APL_M_VITTHAL_CORP_BLK_DC</t>
  </si>
  <si>
    <t>APL_M_VITTHAL_CORP_BLK_SG</t>
  </si>
  <si>
    <t>WBSEDCL</t>
  </si>
  <si>
    <t>APL_M_WBSEDCL_BLK_DC</t>
  </si>
  <si>
    <t>APL_M_WBSEDCL_BLK_SG</t>
  </si>
  <si>
    <t>WBSEDCL_IEX_Intra_Day_Peak</t>
  </si>
  <si>
    <t>APL_M_WBSEDCL_IEX_Intra_Day_Peak_BLK_DC</t>
  </si>
  <si>
    <t>APL_M_WBSEDCL_IEX_Intra_Day_Peak_BLK_SG</t>
  </si>
  <si>
    <t>WBSEDCL_PXIL</t>
  </si>
  <si>
    <t>APL_M_WBSEDCL_PXIL_BLK_DC</t>
  </si>
  <si>
    <t>APL_M_WBSEDCL_PXIL_BLK_SG</t>
  </si>
  <si>
    <t>WELSPUN</t>
  </si>
  <si>
    <t>APL_M_WELSPUN_BLK_DC</t>
  </si>
  <si>
    <t>APL_M_WELSPUN_BLK_SG</t>
  </si>
  <si>
    <t>Welspun_India_Limited</t>
  </si>
  <si>
    <t>APL_M_Welspun_India_Limited_BLK_DC</t>
  </si>
  <si>
    <t>APL_M_Welspun_India_Limited_BLK_SG</t>
  </si>
  <si>
    <t>WILMAR</t>
  </si>
  <si>
    <t>APL_M_WILMAR_BLK_DC</t>
  </si>
  <si>
    <t>APL_M_WILMAR_BLK_SG</t>
  </si>
  <si>
    <t>Wockhardt_Ltd</t>
  </si>
  <si>
    <t>APL_M_Wockhardt_Ltd_BLK_DC</t>
  </si>
  <si>
    <t>APL_M_Wockhardt_Ltd_BLK_SG</t>
  </si>
  <si>
    <t xml:space="preserve">LT        </t>
  </si>
  <si>
    <t xml:space="preserve">ST        </t>
  </si>
  <si>
    <t xml:space="preserve">MT        </t>
  </si>
  <si>
    <t>APL-1 (1000 MW PPA)</t>
  </si>
  <si>
    <t>APL_M_APL-1_(1000_MW_PPA)_BLK_DC</t>
  </si>
  <si>
    <t>APL_M_APL-1_(1000_MW_PPA)_BLK_SG</t>
  </si>
  <si>
    <t xml:space="preserve">   </t>
  </si>
  <si>
    <t>2024-04-16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</si>
</sst>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[$-409]d\-mmm\-yy;@"/>
    <numFmt numFmtId="166" formatCode="[$-409]mmm/yy;@"/>
  </numFmts>
  <fonts count="19" x14ac:knownFonts="1">
    <font>
      <sz val="11"/>
      <color theme="1"/>
      <name val="Calibri"/>
      <family val="2"/>
      <scheme val="minor"/>
    </font>
    <font>
      <sz val="15"/>
      <color rgb="FF0000FF"/>
      <name val="Courier New"/>
      <family val="3"/>
    </font>
    <font>
      <sz val="10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 Black"/>
      <family val="2"/>
    </font>
    <font>
      <sz val="10"/>
      <color theme="1"/>
      <name val="Arial"/>
      <family val="2"/>
    </font>
    <font>
      <b/>
      <sz val="10"/>
      <color theme="2" tint="-9.9978637043366805E-2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dani Regular"/>
    </font>
    <font>
      <sz val="10"/>
      <color theme="1"/>
      <name val="Adani Regular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29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gradientFill type="path">
        <stop position="0">
          <color theme="5" tint="0.59999389629810485"/>
        </stop>
        <stop position="1">
          <color rgb="FFFFFF00"/>
        </stop>
      </gradient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29"/>
      </patternFill>
    </fill>
    <fill>
      <patternFill patternType="solid">
        <fgColor theme="0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medium">
        <color rgb="FFE6EDED"/>
      </left>
      <right style="medium">
        <color rgb="FFE6EDED"/>
      </right>
      <top style="medium">
        <color rgb="FFE6EDED"/>
      </top>
      <bottom style="medium">
        <color rgb="FFE6EDED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" fillId="0" borderId="0">
      <alignment vertical="top"/>
    </xf>
    <xf numFmtId="0" fontId="17" fillId="0" borderId="0"/>
  </cellStyleXfs>
  <cellXfs count="202">
    <xf numFmtId="0" fontId="0" fillId="0" borderId="0" xfId="0"/>
    <xf numFmtId="0" fontId="1" fillId="0" borderId="1" xfId="0" applyFont="1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2" fillId="2" borderId="5" xfId="1" applyFill="1" applyBorder="1"/>
    <xf numFmtId="0" fontId="2" fillId="2" borderId="6" xfId="1" applyFill="1" applyBorder="1"/>
    <xf numFmtId="0" fontId="2" fillId="0" borderId="0" xfId="1"/>
    <xf numFmtId="0" fontId="2" fillId="4" borderId="0" xfId="1" applyFill="1"/>
    <xf numFmtId="0" fontId="2" fillId="4" borderId="8" xfId="1" applyFill="1" applyBorder="1"/>
    <xf numFmtId="0" fontId="4" fillId="5" borderId="0" xfId="2" applyFont="1" applyFill="1" applyAlignment="1">
      <alignment vertical="center" wrapText="1"/>
    </xf>
    <xf numFmtId="0" fontId="4" fillId="5" borderId="8" xfId="2" applyFont="1" applyFill="1" applyBorder="1" applyAlignment="1">
      <alignment vertical="center" wrapText="1"/>
    </xf>
    <xf numFmtId="0" fontId="7" fillId="0" borderId="0" xfId="1" applyFont="1"/>
    <xf numFmtId="0" fontId="4" fillId="5" borderId="10" xfId="2" applyFont="1" applyFill="1" applyBorder="1" applyAlignment="1">
      <alignment vertical="center" wrapText="1"/>
    </xf>
    <xf numFmtId="0" fontId="4" fillId="5" borderId="11" xfId="2" applyFont="1" applyFill="1" applyBorder="1" applyAlignment="1">
      <alignment vertical="center" wrapText="1"/>
    </xf>
    <xf numFmtId="0" fontId="6" fillId="7" borderId="9" xfId="2" applyFont="1" applyFill="1" applyBorder="1" applyAlignment="1">
      <alignment horizontal="center" vertical="center" wrapText="1"/>
    </xf>
    <xf numFmtId="0" fontId="6" fillId="7" borderId="10" xfId="2" applyFont="1" applyFill="1" applyBorder="1" applyAlignment="1">
      <alignment horizontal="center" vertical="center" wrapText="1"/>
    </xf>
    <xf numFmtId="0" fontId="4" fillId="8" borderId="10" xfId="2" applyFont="1" applyFill="1" applyBorder="1" applyAlignment="1" applyProtection="1">
      <alignment horizontal="center" vertical="center" wrapText="1"/>
      <protection locked="0"/>
    </xf>
    <xf numFmtId="14" fontId="6" fillId="7" borderId="9" xfId="2" applyNumberFormat="1" applyFont="1" applyFill="1" applyBorder="1" applyAlignment="1">
      <alignment horizontal="center" vertical="center" wrapText="1"/>
    </xf>
    <xf numFmtId="1" fontId="4" fillId="11" borderId="12" xfId="2" applyNumberFormat="1" applyFont="1" applyFill="1" applyBorder="1" applyAlignment="1">
      <alignment vertical="center"/>
    </xf>
    <xf numFmtId="0" fontId="7" fillId="12" borderId="12" xfId="1" applyFont="1" applyFill="1" applyBorder="1"/>
    <xf numFmtId="0" fontId="7" fillId="12" borderId="13" xfId="1" applyFont="1" applyFill="1" applyBorder="1"/>
    <xf numFmtId="0" fontId="4" fillId="13" borderId="15" xfId="2" applyFont="1" applyFill="1" applyBorder="1" applyAlignment="1">
      <alignment horizontal="right" vertical="center"/>
    </xf>
    <xf numFmtId="0" fontId="4" fillId="13" borderId="14" xfId="2" applyFont="1" applyFill="1" applyBorder="1" applyAlignment="1">
      <alignment horizontal="right" vertical="center"/>
    </xf>
    <xf numFmtId="0" fontId="4" fillId="14" borderId="18" xfId="2" applyFont="1" applyFill="1" applyBorder="1" applyAlignment="1">
      <alignment horizontal="center" vertical="center" wrapText="1"/>
    </xf>
    <xf numFmtId="0" fontId="4" fillId="14" borderId="16" xfId="2" applyFont="1" applyFill="1" applyBorder="1" applyAlignment="1">
      <alignment horizontal="center" vertical="center"/>
    </xf>
    <xf numFmtId="0" fontId="2" fillId="15" borderId="15" xfId="2" applyFont="1" applyFill="1" applyBorder="1" applyAlignment="1">
      <alignment horizontal="center"/>
    </xf>
    <xf numFmtId="2" fontId="2" fillId="15" borderId="15" xfId="2" applyNumberFormat="1" applyFont="1" applyFill="1" applyBorder="1" applyAlignment="1">
      <alignment horizontal="center"/>
    </xf>
    <xf numFmtId="2" fontId="4" fillId="15" borderId="15" xfId="2" applyNumberFormat="1" applyFont="1" applyFill="1" applyBorder="1" applyAlignment="1">
      <alignment horizontal="center"/>
    </xf>
    <xf numFmtId="0" fontId="2" fillId="16" borderId="15" xfId="1" applyFill="1" applyBorder="1" applyAlignment="1">
      <alignment horizontal="center"/>
    </xf>
    <xf numFmtId="2" fontId="11" fillId="15" borderId="15" xfId="2" applyNumberFormat="1" applyFont="1" applyFill="1" applyBorder="1" applyAlignment="1">
      <alignment horizontal="center"/>
    </xf>
    <xf numFmtId="1" fontId="2" fillId="15" borderId="14" xfId="2" applyNumberFormat="1" applyFont="1" applyFill="1" applyBorder="1" applyAlignment="1">
      <alignment horizontal="center"/>
    </xf>
    <xf numFmtId="2" fontId="2" fillId="15" borderId="14" xfId="2" applyNumberFormat="1" applyFont="1" applyFill="1" applyBorder="1" applyAlignment="1">
      <alignment horizontal="center"/>
    </xf>
    <xf numFmtId="0" fontId="2" fillId="0" borderId="0" xfId="1" applyAlignment="1">
      <alignment horizontal="right"/>
    </xf>
    <xf numFmtId="1" fontId="2" fillId="0" borderId="0" xfId="1" applyNumberFormat="1"/>
    <xf numFmtId="0" fontId="2" fillId="2" borderId="15" xfId="1" applyFill="1" applyBorder="1" applyAlignment="1">
      <alignment horizontal="center" vertical="center"/>
    </xf>
    <xf numFmtId="0" fontId="2" fillId="0" borderId="15" xfId="1" applyBorder="1" applyAlignment="1">
      <alignment horizontal="center" vertical="center"/>
    </xf>
    <xf numFmtId="0" fontId="2" fillId="4" borderId="15" xfId="1" applyFill="1" applyBorder="1" applyAlignment="1">
      <alignment horizontal="center" vertical="center"/>
    </xf>
    <xf numFmtId="0" fontId="12" fillId="6" borderId="19" xfId="2" applyFont="1" applyFill="1" applyBorder="1" applyAlignment="1">
      <alignment vertical="center"/>
    </xf>
    <xf numFmtId="0" fontId="12" fillId="6" borderId="20" xfId="2" applyFont="1" applyFill="1" applyBorder="1" applyAlignment="1">
      <alignment vertical="center"/>
    </xf>
    <xf numFmtId="0" fontId="7" fillId="0" borderId="15" xfId="1" applyFont="1" applyBorder="1" applyAlignment="1">
      <alignment horizontal="center" vertical="center"/>
    </xf>
    <xf numFmtId="0" fontId="12" fillId="6" borderId="22" xfId="2" applyFont="1" applyFill="1" applyBorder="1" applyAlignment="1">
      <alignment vertical="center"/>
    </xf>
    <xf numFmtId="0" fontId="12" fillId="6" borderId="23" xfId="2" applyFont="1" applyFill="1" applyBorder="1" applyAlignment="1">
      <alignment vertical="center"/>
    </xf>
    <xf numFmtId="0" fontId="6" fillId="7" borderId="15" xfId="2" applyFont="1" applyFill="1" applyBorder="1" applyAlignment="1">
      <alignment horizontal="center" vertical="center" wrapText="1"/>
    </xf>
    <xf numFmtId="0" fontId="4" fillId="8" borderId="15" xfId="2" applyFont="1" applyFill="1" applyBorder="1" applyAlignment="1" applyProtection="1">
      <alignment horizontal="center" vertical="center" wrapText="1"/>
      <protection locked="0"/>
    </xf>
    <xf numFmtId="14" fontId="6" fillId="7" borderId="15" xfId="2" applyNumberFormat="1" applyFont="1" applyFill="1" applyBorder="1" applyAlignment="1">
      <alignment horizontal="center" vertical="center" wrapText="1"/>
    </xf>
    <xf numFmtId="0" fontId="8" fillId="9" borderId="15" xfId="1" applyFont="1" applyFill="1" applyBorder="1" applyAlignment="1">
      <alignment horizontal="center" vertical="center"/>
    </xf>
    <xf numFmtId="0" fontId="9" fillId="8" borderId="15" xfId="1" applyFont="1" applyFill="1" applyBorder="1" applyAlignment="1">
      <alignment horizontal="center" vertical="center"/>
    </xf>
    <xf numFmtId="0" fontId="4" fillId="0" borderId="15" xfId="2" applyFont="1" applyBorder="1" applyAlignment="1">
      <alignment horizontal="center" vertical="center"/>
    </xf>
    <xf numFmtId="1" fontId="4" fillId="10" borderId="15" xfId="2" applyNumberFormat="1" applyFont="1" applyFill="1" applyBorder="1" applyAlignment="1" applyProtection="1">
      <alignment horizontal="center" vertical="center"/>
      <protection locked="0"/>
    </xf>
    <xf numFmtId="1" fontId="4" fillId="8" borderId="15" xfId="2" applyNumberFormat="1" applyFont="1" applyFill="1" applyBorder="1" applyAlignment="1" applyProtection="1">
      <alignment horizontal="center" vertical="center"/>
      <protection locked="0"/>
    </xf>
    <xf numFmtId="0" fontId="7" fillId="17" borderId="15" xfId="1" applyFont="1" applyFill="1" applyBorder="1" applyAlignment="1">
      <alignment horizontal="center" vertical="center"/>
    </xf>
    <xf numFmtId="0" fontId="10" fillId="18" borderId="15" xfId="1" applyFont="1" applyFill="1" applyBorder="1" applyAlignment="1">
      <alignment horizontal="center" vertical="center"/>
    </xf>
    <xf numFmtId="0" fontId="4" fillId="14" borderId="15" xfId="2" applyFont="1" applyFill="1" applyBorder="1" applyAlignment="1">
      <alignment horizontal="center" vertical="center" wrapText="1"/>
    </xf>
    <xf numFmtId="0" fontId="4" fillId="14" borderId="15" xfId="2" applyFont="1" applyFill="1" applyBorder="1" applyAlignment="1">
      <alignment horizontal="center" vertical="center"/>
    </xf>
    <xf numFmtId="0" fontId="2" fillId="15" borderId="15" xfId="2" applyFont="1" applyFill="1" applyBorder="1" applyAlignment="1">
      <alignment horizontal="center" vertical="center"/>
    </xf>
    <xf numFmtId="2" fontId="2" fillId="15" borderId="15" xfId="2" applyNumberFormat="1" applyFont="1" applyFill="1" applyBorder="1" applyAlignment="1">
      <alignment horizontal="center" vertical="center"/>
    </xf>
    <xf numFmtId="2" fontId="4" fillId="15" borderId="15" xfId="2" applyNumberFormat="1" applyFont="1" applyFill="1" applyBorder="1" applyAlignment="1">
      <alignment horizontal="center" vertical="center"/>
    </xf>
    <xf numFmtId="2" fontId="11" fillId="15" borderId="15" xfId="2" applyNumberFormat="1" applyFont="1" applyFill="1" applyBorder="1" applyAlignment="1">
      <alignment horizontal="center" vertical="center"/>
    </xf>
    <xf numFmtId="1" fontId="2" fillId="0" borderId="15" xfId="1" applyNumberFormat="1" applyBorder="1" applyAlignment="1">
      <alignment horizontal="center" vertical="center"/>
    </xf>
    <xf numFmtId="0" fontId="8" fillId="9" borderId="9" xfId="1" applyFont="1" applyFill="1" applyBorder="1" applyAlignment="1">
      <alignment vertical="center"/>
    </xf>
    <xf numFmtId="0" fontId="9" fillId="8" borderId="9" xfId="1" applyFont="1" applyFill="1" applyBorder="1" applyAlignment="1" applyProtection="1">
      <alignment horizontal="center" vertical="center"/>
      <protection locked="0"/>
    </xf>
    <xf numFmtId="0" fontId="4" fillId="0" borderId="12" xfId="2" applyFont="1" applyBorder="1" applyAlignment="1">
      <alignment vertical="center"/>
    </xf>
    <xf numFmtId="1" fontId="4" fillId="10" borderId="12" xfId="2" applyNumberFormat="1" applyFont="1" applyFill="1" applyBorder="1" applyAlignment="1">
      <alignment horizontal="center" vertical="center"/>
    </xf>
    <xf numFmtId="49" fontId="2" fillId="0" borderId="0" xfId="1" applyNumberFormat="1"/>
    <xf numFmtId="3" fontId="2" fillId="0" borderId="15" xfId="1" applyNumberFormat="1" applyBorder="1" applyAlignment="1">
      <alignment horizontal="center" vertical="center"/>
    </xf>
    <xf numFmtId="0" fontId="4" fillId="13" borderId="15" xfId="2" applyFont="1" applyFill="1" applyBorder="1" applyAlignment="1">
      <alignment horizontal="center" vertical="center"/>
    </xf>
    <xf numFmtId="0" fontId="4" fillId="13" borderId="24" xfId="2" applyFont="1" applyFill="1" applyBorder="1" applyAlignment="1">
      <alignment vertical="center" wrapText="1"/>
    </xf>
    <xf numFmtId="0" fontId="4" fillId="13" borderId="25" xfId="2" applyFont="1" applyFill="1" applyBorder="1" applyAlignment="1">
      <alignment vertical="center" wrapText="1"/>
    </xf>
    <xf numFmtId="0" fontId="4" fillId="13" borderId="26" xfId="2" applyFont="1" applyFill="1" applyBorder="1" applyAlignment="1">
      <alignment vertical="center" wrapText="1"/>
    </xf>
    <xf numFmtId="0" fontId="4" fillId="13" borderId="27" xfId="2" applyFont="1" applyFill="1" applyBorder="1" applyAlignment="1">
      <alignment vertical="center" wrapText="1"/>
    </xf>
    <xf numFmtId="0" fontId="4" fillId="13" borderId="5" xfId="2" applyFont="1" applyFill="1" applyBorder="1" applyAlignment="1">
      <alignment vertical="center" wrapText="1"/>
    </xf>
    <xf numFmtId="0" fontId="4" fillId="13" borderId="0" xfId="2" applyFont="1" applyFill="1" applyAlignment="1">
      <alignment vertical="center" wrapText="1"/>
    </xf>
    <xf numFmtId="49" fontId="0" fillId="0" borderId="0" xfId="0" applyNumberFormat="1"/>
    <xf numFmtId="49" fontId="0" fillId="0" borderId="0" xfId="0" quotePrefix="1" applyNumberFormat="1"/>
    <xf numFmtId="22" fontId="0" fillId="0" borderId="0" xfId="0" applyNumberFormat="1"/>
    <xf numFmtId="0" fontId="13" fillId="0" borderId="0" xfId="0" applyFont="1"/>
    <xf numFmtId="14" fontId="0" fillId="0" borderId="0" xfId="0" applyNumberFormat="1"/>
    <xf numFmtId="1" fontId="2" fillId="15" borderId="15" xfId="2" applyNumberFormat="1" applyFont="1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23" borderId="39" xfId="0" applyFill="1" applyBorder="1" applyAlignment="1">
      <alignment horizontal="center"/>
    </xf>
    <xf numFmtId="0" fontId="0" fillId="24" borderId="41" xfId="0" applyFill="1" applyBorder="1" applyAlignment="1">
      <alignment horizontal="center"/>
    </xf>
    <xf numFmtId="0" fontId="0" fillId="25" borderId="41" xfId="0" applyFill="1" applyBorder="1" applyAlignment="1">
      <alignment horizontal="center"/>
    </xf>
    <xf numFmtId="0" fontId="0" fillId="23" borderId="41" xfId="0" applyFill="1" applyBorder="1" applyAlignment="1">
      <alignment horizontal="center"/>
    </xf>
    <xf numFmtId="0" fontId="0" fillId="25" borderId="40" xfId="0" applyFill="1" applyBorder="1" applyAlignment="1">
      <alignment horizontal="center"/>
    </xf>
    <xf numFmtId="165" fontId="16" fillId="12" borderId="36" xfId="0" applyNumberFormat="1" applyFont="1" applyFill="1" applyBorder="1"/>
    <xf numFmtId="0" fontId="16" fillId="12" borderId="37" xfId="0" applyFont="1" applyFill="1" applyBorder="1" applyAlignment="1">
      <alignment horizontal="center" vertical="center"/>
    </xf>
    <xf numFmtId="2" fontId="16" fillId="12" borderId="33" xfId="0" applyNumberFormat="1" applyFont="1" applyFill="1" applyBorder="1" applyAlignment="1">
      <alignment horizontal="center" vertical="center"/>
    </xf>
    <xf numFmtId="2" fontId="16" fillId="12" borderId="35" xfId="0" applyNumberFormat="1" applyFont="1" applyFill="1" applyBorder="1" applyAlignment="1">
      <alignment horizontal="center" vertical="center"/>
    </xf>
    <xf numFmtId="2" fontId="16" fillId="12" borderId="34" xfId="0" applyNumberFormat="1" applyFont="1" applyFill="1" applyBorder="1" applyAlignment="1">
      <alignment horizontal="center" vertical="center"/>
    </xf>
    <xf numFmtId="2" fontId="16" fillId="12" borderId="43" xfId="0" applyNumberFormat="1" applyFont="1" applyFill="1" applyBorder="1" applyAlignment="1">
      <alignment horizontal="center" vertical="center"/>
    </xf>
    <xf numFmtId="2" fontId="16" fillId="12" borderId="15" xfId="0" applyNumberFormat="1" applyFont="1" applyFill="1" applyBorder="1" applyAlignment="1">
      <alignment horizontal="center" vertical="center"/>
    </xf>
    <xf numFmtId="2" fontId="16" fillId="12" borderId="44" xfId="0" applyNumberFormat="1" applyFon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/>
    </xf>
    <xf numFmtId="165" fontId="16" fillId="12" borderId="43" xfId="0" applyNumberFormat="1" applyFont="1" applyFill="1" applyBorder="1"/>
    <xf numFmtId="0" fontId="16" fillId="12" borderId="44" xfId="0" applyFont="1" applyFill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2" fontId="16" fillId="0" borderId="43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2" fontId="16" fillId="0" borderId="44" xfId="0" applyNumberFormat="1" applyFont="1" applyBorder="1" applyAlignment="1">
      <alignment horizontal="center"/>
    </xf>
    <xf numFmtId="0" fontId="16" fillId="0" borderId="40" xfId="0" applyFont="1" applyBorder="1" applyAlignment="1">
      <alignment horizontal="center" vertical="center"/>
    </xf>
    <xf numFmtId="2" fontId="16" fillId="0" borderId="39" xfId="0" applyNumberFormat="1" applyFont="1" applyBorder="1" applyAlignment="1">
      <alignment horizontal="center"/>
    </xf>
    <xf numFmtId="2" fontId="16" fillId="0" borderId="41" xfId="0" applyNumberFormat="1" applyFont="1" applyBorder="1" applyAlignment="1">
      <alignment horizontal="center"/>
    </xf>
    <xf numFmtId="2" fontId="16" fillId="0" borderId="40" xfId="0" applyNumberFormat="1" applyFont="1" applyBorder="1" applyAlignment="1">
      <alignment horizontal="center"/>
    </xf>
    <xf numFmtId="2" fontId="16" fillId="12" borderId="39" xfId="0" applyNumberFormat="1" applyFont="1" applyFill="1" applyBorder="1" applyAlignment="1">
      <alignment horizontal="center" vertical="center"/>
    </xf>
    <xf numFmtId="2" fontId="16" fillId="12" borderId="41" xfId="0" applyNumberFormat="1" applyFont="1" applyFill="1" applyBorder="1" applyAlignment="1">
      <alignment horizontal="center" vertical="center"/>
    </xf>
    <xf numFmtId="2" fontId="16" fillId="12" borderId="40" xfId="0" applyNumberFormat="1" applyFont="1" applyFill="1" applyBorder="1" applyAlignment="1">
      <alignment horizontal="center" vertical="center"/>
    </xf>
    <xf numFmtId="2" fontId="13" fillId="0" borderId="35" xfId="0" applyNumberFormat="1" applyFon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13" fillId="0" borderId="35" xfId="0" applyNumberFormat="1" applyFont="1" applyBorder="1" applyAlignment="1">
      <alignment horizontal="center" vertical="center"/>
    </xf>
    <xf numFmtId="2" fontId="0" fillId="0" borderId="47" xfId="0" applyNumberFormat="1" applyBorder="1" applyAlignment="1">
      <alignment horizontal="center"/>
    </xf>
    <xf numFmtId="14" fontId="0" fillId="14" borderId="15" xfId="0" applyNumberFormat="1" applyFill="1" applyBorder="1"/>
    <xf numFmtId="164" fontId="0" fillId="0" borderId="0" xfId="0" applyNumberFormat="1"/>
    <xf numFmtId="2" fontId="13" fillId="0" borderId="15" xfId="0" applyNumberFormat="1" applyFont="1" applyBorder="1" applyAlignment="1">
      <alignment horizontal="center"/>
    </xf>
    <xf numFmtId="0" fontId="0" fillId="0" borderId="0" xfId="0" applyAlignment="1">
      <alignment wrapText="1"/>
    </xf>
    <xf numFmtId="0" fontId="3" fillId="2" borderId="15" xfId="1" applyFont="1" applyFill="1" applyBorder="1" applyAlignment="1">
      <alignment horizontal="center" vertical="center"/>
    </xf>
    <xf numFmtId="0" fontId="4" fillId="3" borderId="15" xfId="1" applyFont="1" applyFill="1" applyBorder="1" applyAlignment="1" applyProtection="1">
      <alignment horizontal="center" vertical="center"/>
      <protection locked="0"/>
    </xf>
    <xf numFmtId="0" fontId="3" fillId="2" borderId="5" xfId="1" applyFont="1" applyFill="1" applyBorder="1" applyAlignment="1">
      <alignment horizontal="center"/>
    </xf>
    <xf numFmtId="0" fontId="4" fillId="3" borderId="0" xfId="1" applyFont="1" applyFill="1" applyAlignment="1" applyProtection="1">
      <alignment horizontal="center" vertical="center"/>
      <protection locked="0"/>
    </xf>
    <xf numFmtId="0" fontId="0" fillId="15" borderId="15" xfId="0" applyFill="1" applyBorder="1" applyAlignment="1">
      <alignment vertical="center" wrapText="1"/>
    </xf>
    <xf numFmtId="2" fontId="0" fillId="15" borderId="15" xfId="0" applyNumberFormat="1" applyFill="1" applyBorder="1" applyAlignment="1">
      <alignment vertical="center" wrapText="1"/>
    </xf>
    <xf numFmtId="0" fontId="0" fillId="26" borderId="30" xfId="0" applyFill="1" applyBorder="1" applyAlignment="1">
      <alignment horizontal="center" vertical="center"/>
    </xf>
    <xf numFmtId="0" fontId="0" fillId="26" borderId="50" xfId="0" applyFill="1" applyBorder="1" applyAlignment="1">
      <alignment horizontal="center" vertical="center"/>
    </xf>
    <xf numFmtId="0" fontId="0" fillId="26" borderId="3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5" xfId="0" applyBorder="1"/>
    <xf numFmtId="164" fontId="6" fillId="6" borderId="6" xfId="2" applyNumberFormat="1" applyFont="1" applyFill="1" applyBorder="1" applyAlignment="1" applyProtection="1">
      <alignment vertical="center" wrapText="1"/>
      <protection locked="0"/>
    </xf>
    <xf numFmtId="164" fontId="6" fillId="6" borderId="11" xfId="2" applyNumberFormat="1" applyFont="1" applyFill="1" applyBorder="1" applyAlignment="1" applyProtection="1">
      <alignment vertical="center" wrapText="1"/>
      <protection locked="0"/>
    </xf>
    <xf numFmtId="14" fontId="13" fillId="0" borderId="0" xfId="0" applyNumberFormat="1" applyFont="1"/>
    <xf numFmtId="14" fontId="0" fillId="0" borderId="0" xfId="0" applyNumberFormat="1" applyAlignment="1">
      <alignment horizontal="center" vertical="center"/>
    </xf>
    <xf numFmtId="0" fontId="0" fillId="27" borderId="12" xfId="0" applyFill="1" applyBorder="1"/>
    <xf numFmtId="22" fontId="0" fillId="0" borderId="0" xfId="0" applyNumberFormat="1" applyAlignment="1">
      <alignment horizontal="center" vertical="center"/>
    </xf>
    <xf numFmtId="0" fontId="0" fillId="27" borderId="55" xfId="0" applyFill="1" applyBorder="1"/>
    <xf numFmtId="14" fontId="0" fillId="27" borderId="56" xfId="0" applyNumberFormat="1" applyFill="1" applyBorder="1"/>
    <xf numFmtId="0" fontId="4" fillId="28" borderId="18" xfId="2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/>
    </xf>
    <xf numFmtId="0" fontId="3" fillId="2" borderId="3" xfId="1" applyFont="1" applyFill="1" applyBorder="1" applyAlignment="1">
      <alignment horizontal="center"/>
    </xf>
    <xf numFmtId="0" fontId="3" fillId="2" borderId="4" xfId="1" applyFont="1" applyFill="1" applyBorder="1" applyAlignment="1">
      <alignment horizontal="center"/>
    </xf>
    <xf numFmtId="0" fontId="4" fillId="3" borderId="7" xfId="1" applyFont="1" applyFill="1" applyBorder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horizontal="center" vertical="center"/>
      <protection locked="0"/>
    </xf>
    <xf numFmtId="0" fontId="4" fillId="3" borderId="8" xfId="1" applyFont="1" applyFill="1" applyBorder="1" applyAlignment="1" applyProtection="1">
      <alignment horizontal="center" vertical="center"/>
      <protection locked="0"/>
    </xf>
    <xf numFmtId="0" fontId="4" fillId="5" borderId="7" xfId="2" applyFont="1" applyFill="1" applyBorder="1" applyAlignment="1">
      <alignment horizontal="center" vertical="center" wrapText="1"/>
    </xf>
    <xf numFmtId="0" fontId="4" fillId="5" borderId="9" xfId="2" applyFont="1" applyFill="1" applyBorder="1" applyAlignment="1">
      <alignment horizontal="center" vertical="center" wrapText="1"/>
    </xf>
    <xf numFmtId="0" fontId="4" fillId="5" borderId="0" xfId="2" applyFont="1" applyFill="1" applyAlignment="1">
      <alignment horizontal="center" vertical="center" wrapText="1"/>
    </xf>
    <xf numFmtId="0" fontId="4" fillId="5" borderId="10" xfId="2" applyFont="1" applyFill="1" applyBorder="1" applyAlignment="1">
      <alignment horizontal="center" vertical="center" wrapText="1"/>
    </xf>
    <xf numFmtId="164" fontId="6" fillId="6" borderId="0" xfId="2" applyNumberFormat="1" applyFont="1" applyFill="1" applyAlignment="1" applyProtection="1">
      <alignment horizontal="center" vertical="center" wrapText="1"/>
      <protection locked="0"/>
    </xf>
    <xf numFmtId="164" fontId="6" fillId="6" borderId="10" xfId="2" applyNumberFormat="1" applyFont="1" applyFill="1" applyBorder="1" applyAlignment="1" applyProtection="1">
      <alignment horizontal="center" vertical="center" wrapText="1"/>
      <protection locked="0"/>
    </xf>
    <xf numFmtId="0" fontId="4" fillId="13" borderId="17" xfId="2" applyFont="1" applyFill="1" applyBorder="1" applyAlignment="1">
      <alignment horizontal="center" vertical="center" wrapText="1"/>
    </xf>
    <xf numFmtId="0" fontId="4" fillId="13" borderId="19" xfId="2" applyFont="1" applyFill="1" applyBorder="1" applyAlignment="1">
      <alignment horizontal="center" vertical="center" wrapText="1"/>
    </xf>
    <xf numFmtId="0" fontId="4" fillId="13" borderId="20" xfId="2" applyFont="1" applyFill="1" applyBorder="1" applyAlignment="1">
      <alignment horizontal="center" vertical="center" wrapText="1"/>
    </xf>
    <xf numFmtId="0" fontId="4" fillId="13" borderId="21" xfId="2" applyFont="1" applyFill="1" applyBorder="1" applyAlignment="1">
      <alignment horizontal="center" vertical="center" wrapText="1"/>
    </xf>
    <xf numFmtId="0" fontId="4" fillId="13" borderId="22" xfId="2" applyFont="1" applyFill="1" applyBorder="1" applyAlignment="1">
      <alignment horizontal="center" vertical="center" wrapText="1"/>
    </xf>
    <xf numFmtId="0" fontId="4" fillId="13" borderId="23" xfId="2" applyFont="1" applyFill="1" applyBorder="1" applyAlignment="1">
      <alignment horizontal="center" vertical="center" wrapText="1"/>
    </xf>
    <xf numFmtId="0" fontId="7" fillId="6" borderId="15" xfId="1" applyFont="1" applyFill="1" applyBorder="1" applyAlignment="1">
      <alignment horizontal="center" vertical="center"/>
    </xf>
    <xf numFmtId="0" fontId="7" fillId="6" borderId="19" xfId="1" applyFont="1" applyFill="1" applyBorder="1" applyAlignment="1">
      <alignment horizontal="center" vertical="center"/>
    </xf>
    <xf numFmtId="0" fontId="7" fillId="6" borderId="20" xfId="1" applyFont="1" applyFill="1" applyBorder="1" applyAlignment="1">
      <alignment horizontal="center" vertical="center"/>
    </xf>
    <xf numFmtId="0" fontId="7" fillId="6" borderId="22" xfId="1" applyFont="1" applyFill="1" applyBorder="1" applyAlignment="1">
      <alignment horizontal="center" vertical="center"/>
    </xf>
    <xf numFmtId="0" fontId="7" fillId="6" borderId="23" xfId="1" applyFont="1" applyFill="1" applyBorder="1" applyAlignment="1">
      <alignment horizontal="center" vertical="center"/>
    </xf>
    <xf numFmtId="0" fontId="3" fillId="2" borderId="15" xfId="1" applyFont="1" applyFill="1" applyBorder="1" applyAlignment="1">
      <alignment horizontal="center" vertical="center"/>
    </xf>
    <xf numFmtId="0" fontId="4" fillId="3" borderId="15" xfId="1" applyFont="1" applyFill="1" applyBorder="1" applyAlignment="1" applyProtection="1">
      <alignment horizontal="center" vertical="center"/>
      <protection locked="0"/>
    </xf>
    <xf numFmtId="0" fontId="4" fillId="5" borderId="28" xfId="2" applyFont="1" applyFill="1" applyBorder="1" applyAlignment="1">
      <alignment horizontal="center" vertical="center" wrapText="1"/>
    </xf>
    <xf numFmtId="0" fontId="4" fillId="5" borderId="29" xfId="2" applyFont="1" applyFill="1" applyBorder="1" applyAlignment="1">
      <alignment horizontal="center" vertical="center" wrapText="1"/>
    </xf>
    <xf numFmtId="0" fontId="4" fillId="5" borderId="15" xfId="2" applyFont="1" applyFill="1" applyBorder="1" applyAlignment="1">
      <alignment horizontal="center" vertical="center" wrapText="1"/>
    </xf>
    <xf numFmtId="164" fontId="6" fillId="6" borderId="15" xfId="2" applyNumberFormat="1" applyFont="1" applyFill="1" applyBorder="1" applyAlignment="1" applyProtection="1">
      <alignment horizontal="center" vertical="center" wrapText="1"/>
      <protection locked="0"/>
    </xf>
    <xf numFmtId="0" fontId="12" fillId="6" borderId="17" xfId="2" applyFont="1" applyFill="1" applyBorder="1" applyAlignment="1">
      <alignment horizontal="center" vertical="center"/>
    </xf>
    <xf numFmtId="0" fontId="12" fillId="6" borderId="19" xfId="2" applyFont="1" applyFill="1" applyBorder="1" applyAlignment="1">
      <alignment horizontal="center" vertical="center"/>
    </xf>
    <xf numFmtId="0" fontId="12" fillId="6" borderId="21" xfId="2" applyFont="1" applyFill="1" applyBorder="1" applyAlignment="1">
      <alignment horizontal="center" vertical="center"/>
    </xf>
    <xf numFmtId="0" fontId="12" fillId="6" borderId="22" xfId="2" applyFont="1" applyFill="1" applyBorder="1" applyAlignment="1">
      <alignment horizontal="center" vertical="center"/>
    </xf>
    <xf numFmtId="0" fontId="4" fillId="5" borderId="38" xfId="2" applyFont="1" applyFill="1" applyBorder="1" applyAlignment="1">
      <alignment horizontal="center" vertical="center" wrapText="1"/>
    </xf>
    <xf numFmtId="0" fontId="4" fillId="5" borderId="42" xfId="2" applyFont="1" applyFill="1" applyBorder="1" applyAlignment="1">
      <alignment horizontal="center" vertical="center" wrapText="1"/>
    </xf>
    <xf numFmtId="0" fontId="4" fillId="5" borderId="54" xfId="2" applyFont="1" applyFill="1" applyBorder="1" applyAlignment="1">
      <alignment horizontal="center" vertical="center" wrapText="1"/>
    </xf>
    <xf numFmtId="0" fontId="4" fillId="5" borderId="5" xfId="2" applyFont="1" applyFill="1" applyBorder="1" applyAlignment="1">
      <alignment horizontal="center" vertical="center" wrapText="1"/>
    </xf>
    <xf numFmtId="0" fontId="4" fillId="5" borderId="6" xfId="2" applyFont="1" applyFill="1" applyBorder="1" applyAlignment="1">
      <alignment horizontal="center" vertical="center" wrapText="1"/>
    </xf>
    <xf numFmtId="0" fontId="4" fillId="5" borderId="11" xfId="2" applyFont="1" applyFill="1" applyBorder="1" applyAlignment="1">
      <alignment horizontal="center" vertical="center" wrapText="1"/>
    </xf>
    <xf numFmtId="0" fontId="0" fillId="27" borderId="51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38" xfId="0" applyFill="1" applyBorder="1" applyAlignment="1">
      <alignment horizontal="center" vertical="center"/>
    </xf>
    <xf numFmtId="0" fontId="0" fillId="27" borderId="52" xfId="0" applyFill="1" applyBorder="1" applyAlignment="1">
      <alignment horizontal="center" vertical="center"/>
    </xf>
    <xf numFmtId="164" fontId="18" fillId="0" borderId="0" xfId="2" applyNumberFormat="1" applyFont="1" applyAlignment="1" applyProtection="1">
      <alignment horizontal="center" vertical="center" wrapText="1"/>
      <protection locked="0"/>
    </xf>
    <xf numFmtId="164" fontId="18" fillId="0" borderId="10" xfId="2" applyNumberFormat="1" applyFont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22" borderId="33" xfId="0" applyFill="1" applyBorder="1" applyAlignment="1">
      <alignment horizontal="center"/>
    </xf>
    <xf numFmtId="0" fontId="0" fillId="22" borderId="35" xfId="0" applyFill="1" applyBorder="1" applyAlignment="1">
      <alignment horizontal="center"/>
    </xf>
    <xf numFmtId="0" fontId="0" fillId="22" borderId="34" xfId="0" applyFill="1" applyBorder="1" applyAlignment="1">
      <alignment horizontal="center"/>
    </xf>
    <xf numFmtId="0" fontId="0" fillId="0" borderId="48" xfId="0" applyBorder="1" applyAlignment="1">
      <alignment horizontal="center" wrapText="1"/>
    </xf>
    <xf numFmtId="0" fontId="0" fillId="0" borderId="49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0" borderId="46" xfId="0" applyBorder="1" applyAlignment="1">
      <alignment horizontal="center" wrapText="1"/>
    </xf>
    <xf numFmtId="0" fontId="0" fillId="21" borderId="35" xfId="0" applyFill="1" applyBorder="1" applyAlignment="1">
      <alignment horizontal="center"/>
    </xf>
    <xf numFmtId="0" fontId="0" fillId="21" borderId="34" xfId="0" applyFill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5" fillId="19" borderId="33" xfId="0" applyFont="1" applyFill="1" applyBorder="1" applyAlignment="1">
      <alignment horizontal="center" vertical="center"/>
    </xf>
    <xf numFmtId="0" fontId="15" fillId="19" borderId="39" xfId="0" applyFont="1" applyFill="1" applyBorder="1" applyAlignment="1">
      <alignment horizontal="center" vertical="center"/>
    </xf>
    <xf numFmtId="0" fontId="15" fillId="19" borderId="34" xfId="0" applyFont="1" applyFill="1" applyBorder="1" applyAlignment="1">
      <alignment horizontal="center" vertical="center"/>
    </xf>
    <xf numFmtId="0" fontId="15" fillId="19" borderId="40" xfId="0" applyFont="1" applyFill="1" applyBorder="1" applyAlignment="1">
      <alignment horizontal="center" vertical="center"/>
    </xf>
    <xf numFmtId="0" fontId="0" fillId="20" borderId="33" xfId="0" applyFill="1" applyBorder="1" applyAlignment="1">
      <alignment horizontal="center"/>
    </xf>
    <xf numFmtId="0" fontId="0" fillId="20" borderId="35" xfId="0" applyFill="1" applyBorder="1" applyAlignment="1">
      <alignment horizontal="center"/>
    </xf>
    <xf numFmtId="0" fontId="0" fillId="20" borderId="34" xfId="0" applyFill="1" applyBorder="1" applyAlignment="1">
      <alignment horizontal="center"/>
    </xf>
    <xf numFmtId="0" fontId="0" fillId="21" borderId="33" xfId="0" applyFill="1" applyBorder="1" applyAlignment="1">
      <alignment horizontal="center"/>
    </xf>
    <xf numFmtId="166" fontId="6" fillId="6" borderId="0" xfId="2" applyNumberFormat="1" applyFont="1" applyFill="1" applyAlignment="1" applyProtection="1">
      <alignment horizontal="center" vertical="center" wrapText="1"/>
      <protection locked="0"/>
    </xf>
    <xf numFmtId="166" fontId="6" fillId="6" borderId="10" xfId="2" applyNumberFormat="1" applyFont="1" applyFill="1" applyBorder="1" applyAlignment="1" applyProtection="1">
      <alignment horizontal="center" vertical="center" wrapText="1"/>
      <protection locked="0"/>
    </xf>
  </cellXfs>
  <cellStyles count="4">
    <cellStyle name="Normal" xfId="0" builtinId="0"/>
    <cellStyle name="Normal 2" xfId="1" xr:uid="{00000000-0005-0000-0000-000001000000}"/>
    <cellStyle name="Normal 2 28" xfId="3" xr:uid="{00000000-0005-0000-0000-000002000000}"/>
    <cellStyle name="Normal_Sheet1" xfId="2" xr:uid="{00000000-0005-0000-0000-000003000000}"/>
  </cellStyles>
  <dxfs count="10">
    <dxf>
      <numFmt numFmtId="27" formatCode="dd/mm/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220980</xdr:colOff>
      <xdr:row>2</xdr:row>
      <xdr:rowOff>34290</xdr:rowOff>
    </xdr:from>
    <xdr:to>
      <xdr:col>11</xdr:col>
      <xdr:colOff>929640</xdr:colOff>
      <xdr:row>3</xdr:row>
      <xdr:rowOff>110490</xdr:rowOff>
    </xdr:to>
    <xdr:sp macro="[0]!Add_DC_1_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72400" y="499110"/>
          <a:ext cx="132588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  <xdr:twoCellAnchor>
    <xdr:from>
      <xdr:col>1</xdr:col>
      <xdr:colOff>53340</xdr:colOff>
      <xdr:row>2</xdr:row>
      <xdr:rowOff>45720</xdr:rowOff>
    </xdr:from>
    <xdr:to>
      <xdr:col>2</xdr:col>
      <xdr:colOff>377190</xdr:colOff>
      <xdr:row>3</xdr:row>
      <xdr:rowOff>116205</xdr:rowOff>
    </xdr:to>
    <xdr:sp macro="[0]!Module2.Get_Tod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81990" y="512445"/>
          <a:ext cx="952500" cy="26098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438150</xdr:colOff>
      <xdr:row>2</xdr:row>
      <xdr:rowOff>43815</xdr:rowOff>
    </xdr:from>
    <xdr:to>
      <xdr:col>3</xdr:col>
      <xdr:colOff>796290</xdr:colOff>
      <xdr:row>3</xdr:row>
      <xdr:rowOff>120015</xdr:rowOff>
    </xdr:to>
    <xdr:sp macro="[0]!Module2.Get_Tomorr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95450" y="510540"/>
          <a:ext cx="112014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621030</xdr:colOff>
      <xdr:row>2</xdr:row>
      <xdr:rowOff>38100</xdr:rowOff>
    </xdr:from>
    <xdr:to>
      <xdr:col>2</xdr:col>
      <xdr:colOff>306705</xdr:colOff>
      <xdr:row>3</xdr:row>
      <xdr:rowOff>133350</xdr:rowOff>
    </xdr:to>
    <xdr:sp macro="[0]!Module2.Get_To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1030" y="571500"/>
          <a:ext cx="942975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358140</xdr:colOff>
      <xdr:row>2</xdr:row>
      <xdr:rowOff>38099</xdr:rowOff>
    </xdr:from>
    <xdr:to>
      <xdr:col>3</xdr:col>
      <xdr:colOff>723900</xdr:colOff>
      <xdr:row>3</xdr:row>
      <xdr:rowOff>135254</xdr:rowOff>
    </xdr:to>
    <xdr:sp macro="[0]!Module2.Get_Tomorr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615440" y="571499"/>
          <a:ext cx="1127760" cy="26860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  <xdr:twoCellAnchor>
    <xdr:from>
      <xdr:col>10</xdr:col>
      <xdr:colOff>254000</xdr:colOff>
      <xdr:row>2</xdr:row>
      <xdr:rowOff>12700</xdr:rowOff>
    </xdr:from>
    <xdr:to>
      <xdr:col>11</xdr:col>
      <xdr:colOff>579967</xdr:colOff>
      <xdr:row>4</xdr:row>
      <xdr:rowOff>6350</xdr:rowOff>
    </xdr:to>
    <xdr:sp macro="[0]!Add_SG_1_Detail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620000" y="537633"/>
          <a:ext cx="1138767" cy="332317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</xdr:colOff>
      <xdr:row>2</xdr:row>
      <xdr:rowOff>49530</xdr:rowOff>
    </xdr:from>
    <xdr:to>
      <xdr:col>11</xdr:col>
      <xdr:colOff>739140</xdr:colOff>
      <xdr:row>3</xdr:row>
      <xdr:rowOff>125730</xdr:rowOff>
    </xdr:to>
    <xdr:sp macro="[0]!Add_DC_2_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581900" y="514350"/>
          <a:ext cx="132588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  <xdr:twoCellAnchor>
    <xdr:from>
      <xdr:col>1</xdr:col>
      <xdr:colOff>53340</xdr:colOff>
      <xdr:row>2</xdr:row>
      <xdr:rowOff>45720</xdr:rowOff>
    </xdr:from>
    <xdr:to>
      <xdr:col>2</xdr:col>
      <xdr:colOff>377190</xdr:colOff>
      <xdr:row>3</xdr:row>
      <xdr:rowOff>116205</xdr:rowOff>
    </xdr:to>
    <xdr:sp macro="[0]!Module2.Get_Tod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78180" y="510540"/>
          <a:ext cx="948690" cy="26098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438150</xdr:colOff>
      <xdr:row>2</xdr:row>
      <xdr:rowOff>43815</xdr:rowOff>
    </xdr:from>
    <xdr:to>
      <xdr:col>3</xdr:col>
      <xdr:colOff>796290</xdr:colOff>
      <xdr:row>3</xdr:row>
      <xdr:rowOff>120015</xdr:rowOff>
    </xdr:to>
    <xdr:sp macro="[0]!Module2.Get_Tomorr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687830" y="508635"/>
          <a:ext cx="112014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621030</xdr:colOff>
      <xdr:row>2</xdr:row>
      <xdr:rowOff>38100</xdr:rowOff>
    </xdr:from>
    <xdr:to>
      <xdr:col>2</xdr:col>
      <xdr:colOff>306705</xdr:colOff>
      <xdr:row>3</xdr:row>
      <xdr:rowOff>133350</xdr:rowOff>
    </xdr:to>
    <xdr:sp macro="[0]!Module2.Get_To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1030" y="563880"/>
          <a:ext cx="935355" cy="26289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358140</xdr:colOff>
      <xdr:row>2</xdr:row>
      <xdr:rowOff>38099</xdr:rowOff>
    </xdr:from>
    <xdr:to>
      <xdr:col>3</xdr:col>
      <xdr:colOff>723900</xdr:colOff>
      <xdr:row>3</xdr:row>
      <xdr:rowOff>135254</xdr:rowOff>
    </xdr:to>
    <xdr:sp macro="[0]!Module2.Get_Tomorrow" textlink="">
      <xdr:nvSpPr>
        <xdr:cNvPr id="3" name="Rectangle: Rounded Corners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607820" y="563879"/>
          <a:ext cx="1127760" cy="26479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  <xdr:twoCellAnchor>
    <xdr:from>
      <xdr:col>10</xdr:col>
      <xdr:colOff>245534</xdr:colOff>
      <xdr:row>1</xdr:row>
      <xdr:rowOff>156633</xdr:rowOff>
    </xdr:from>
    <xdr:to>
      <xdr:col>11</xdr:col>
      <xdr:colOff>571501</xdr:colOff>
      <xdr:row>3</xdr:row>
      <xdr:rowOff>150283</xdr:rowOff>
    </xdr:to>
    <xdr:sp macro="[0]!Add_SG_2_Details" textlink="">
      <xdr:nvSpPr>
        <xdr:cNvPr id="4" name="Rectangle: Rounded Corners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611534" y="512233"/>
          <a:ext cx="1138767" cy="332317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</xdr:colOff>
      <xdr:row>2</xdr:row>
      <xdr:rowOff>34290</xdr:rowOff>
    </xdr:from>
    <xdr:to>
      <xdr:col>11</xdr:col>
      <xdr:colOff>723900</xdr:colOff>
      <xdr:row>3</xdr:row>
      <xdr:rowOff>110490</xdr:rowOff>
    </xdr:to>
    <xdr:sp macro="[0]!Add_DC_3_7_8_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566660" y="499110"/>
          <a:ext cx="132588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  <xdr:twoCellAnchor>
    <xdr:from>
      <xdr:col>1</xdr:col>
      <xdr:colOff>53340</xdr:colOff>
      <xdr:row>2</xdr:row>
      <xdr:rowOff>45720</xdr:rowOff>
    </xdr:from>
    <xdr:to>
      <xdr:col>2</xdr:col>
      <xdr:colOff>377190</xdr:colOff>
      <xdr:row>3</xdr:row>
      <xdr:rowOff>116205</xdr:rowOff>
    </xdr:to>
    <xdr:sp macro="[0]!Module2.Get_Tod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78180" y="510540"/>
          <a:ext cx="948690" cy="26098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438150</xdr:colOff>
      <xdr:row>2</xdr:row>
      <xdr:rowOff>43815</xdr:rowOff>
    </xdr:from>
    <xdr:to>
      <xdr:col>3</xdr:col>
      <xdr:colOff>796290</xdr:colOff>
      <xdr:row>3</xdr:row>
      <xdr:rowOff>120015</xdr:rowOff>
    </xdr:to>
    <xdr:sp macro="[0]!Module2.Get_Tomorr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687830" y="508635"/>
          <a:ext cx="112014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621030</xdr:colOff>
      <xdr:row>2</xdr:row>
      <xdr:rowOff>38100</xdr:rowOff>
    </xdr:from>
    <xdr:to>
      <xdr:col>2</xdr:col>
      <xdr:colOff>306705</xdr:colOff>
      <xdr:row>3</xdr:row>
      <xdr:rowOff>133350</xdr:rowOff>
    </xdr:to>
    <xdr:sp macro="[0]!Module2.Get_To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21030" y="563880"/>
          <a:ext cx="935355" cy="26289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358140</xdr:colOff>
      <xdr:row>2</xdr:row>
      <xdr:rowOff>38099</xdr:rowOff>
    </xdr:from>
    <xdr:to>
      <xdr:col>3</xdr:col>
      <xdr:colOff>723900</xdr:colOff>
      <xdr:row>3</xdr:row>
      <xdr:rowOff>135254</xdr:rowOff>
    </xdr:to>
    <xdr:sp macro="[0]!Module2.Get_Tomorrow" textlink="">
      <xdr:nvSpPr>
        <xdr:cNvPr id="3" name="Rectangle: Rounded Corners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607820" y="563879"/>
          <a:ext cx="1127760" cy="26479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  <xdr:twoCellAnchor>
    <xdr:from>
      <xdr:col>10</xdr:col>
      <xdr:colOff>296333</xdr:colOff>
      <xdr:row>2</xdr:row>
      <xdr:rowOff>4233</xdr:rowOff>
    </xdr:from>
    <xdr:to>
      <xdr:col>11</xdr:col>
      <xdr:colOff>622300</xdr:colOff>
      <xdr:row>3</xdr:row>
      <xdr:rowOff>167216</xdr:rowOff>
    </xdr:to>
    <xdr:sp macro="[0]!Add_SG_3_7_8_Details" textlink="">
      <xdr:nvSpPr>
        <xdr:cNvPr id="4" name="Rectangle: Rounded Corners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662333" y="529166"/>
          <a:ext cx="1138767" cy="332317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83820</xdr:colOff>
      <xdr:row>2</xdr:row>
      <xdr:rowOff>11430</xdr:rowOff>
    </xdr:from>
    <xdr:to>
      <xdr:col>11</xdr:col>
      <xdr:colOff>792480</xdr:colOff>
      <xdr:row>3</xdr:row>
      <xdr:rowOff>87630</xdr:rowOff>
    </xdr:to>
    <xdr:sp macro="[0]!Add_DC_3_9_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635240" y="476250"/>
          <a:ext cx="132588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  <xdr:twoCellAnchor>
    <xdr:from>
      <xdr:col>1</xdr:col>
      <xdr:colOff>53340</xdr:colOff>
      <xdr:row>2</xdr:row>
      <xdr:rowOff>45720</xdr:rowOff>
    </xdr:from>
    <xdr:to>
      <xdr:col>2</xdr:col>
      <xdr:colOff>377190</xdr:colOff>
      <xdr:row>3</xdr:row>
      <xdr:rowOff>116205</xdr:rowOff>
    </xdr:to>
    <xdr:sp macro="[0]!Module2.Get_Tod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78180" y="510540"/>
          <a:ext cx="948690" cy="26098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438150</xdr:colOff>
      <xdr:row>2</xdr:row>
      <xdr:rowOff>43815</xdr:rowOff>
    </xdr:from>
    <xdr:to>
      <xdr:col>3</xdr:col>
      <xdr:colOff>796290</xdr:colOff>
      <xdr:row>3</xdr:row>
      <xdr:rowOff>120015</xdr:rowOff>
    </xdr:to>
    <xdr:sp macro="[0]!Module2.Get_Tomorr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687830" y="508635"/>
          <a:ext cx="112014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621030</xdr:colOff>
      <xdr:row>2</xdr:row>
      <xdr:rowOff>38100</xdr:rowOff>
    </xdr:from>
    <xdr:to>
      <xdr:col>2</xdr:col>
      <xdr:colOff>306705</xdr:colOff>
      <xdr:row>3</xdr:row>
      <xdr:rowOff>133350</xdr:rowOff>
    </xdr:to>
    <xdr:sp macro="[0]!Module2.Get_To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21030" y="563880"/>
          <a:ext cx="935355" cy="26289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358140</xdr:colOff>
      <xdr:row>2</xdr:row>
      <xdr:rowOff>38099</xdr:rowOff>
    </xdr:from>
    <xdr:to>
      <xdr:col>3</xdr:col>
      <xdr:colOff>723900</xdr:colOff>
      <xdr:row>3</xdr:row>
      <xdr:rowOff>135254</xdr:rowOff>
    </xdr:to>
    <xdr:sp macro="[0]!Module2.Get_Tomorrow" textlink="">
      <xdr:nvSpPr>
        <xdr:cNvPr id="3" name="Rectangle: Rounded Corners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07820" y="563879"/>
          <a:ext cx="1127760" cy="26479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  <xdr:twoCellAnchor>
    <xdr:from>
      <xdr:col>10</xdr:col>
      <xdr:colOff>254000</xdr:colOff>
      <xdr:row>1</xdr:row>
      <xdr:rowOff>165100</xdr:rowOff>
    </xdr:from>
    <xdr:to>
      <xdr:col>11</xdr:col>
      <xdr:colOff>579967</xdr:colOff>
      <xdr:row>3</xdr:row>
      <xdr:rowOff>158750</xdr:rowOff>
    </xdr:to>
    <xdr:sp macro="[0]!Add_SG_3_9_Details" textlink="">
      <xdr:nvSpPr>
        <xdr:cNvPr id="4" name="Rectangle: Rounded Corners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7620000" y="520700"/>
          <a:ext cx="1138767" cy="332317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466725</xdr:colOff>
      <xdr:row>1</xdr:row>
      <xdr:rowOff>152400</xdr:rowOff>
    </xdr:from>
    <xdr:to>
      <xdr:col>16</xdr:col>
      <xdr:colOff>38100</xdr:colOff>
      <xdr:row>3</xdr:row>
      <xdr:rowOff>180975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7553325" y="342900"/>
          <a:ext cx="1933575" cy="40957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Add</a:t>
          </a:r>
          <a:r>
            <a:rPr lang="en-US" sz="1600" baseline="0"/>
            <a:t> New Customer</a:t>
          </a:r>
          <a:endParaRPr lang="en-US" sz="16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2</xdr:row>
      <xdr:rowOff>45720</xdr:rowOff>
    </xdr:from>
    <xdr:to>
      <xdr:col>2</xdr:col>
      <xdr:colOff>377190</xdr:colOff>
      <xdr:row>3</xdr:row>
      <xdr:rowOff>116205</xdr:rowOff>
    </xdr:to>
    <xdr:sp macro="[0]!Get_Today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78180" y="510540"/>
          <a:ext cx="948690" cy="26098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438150</xdr:colOff>
      <xdr:row>2</xdr:row>
      <xdr:rowOff>43815</xdr:rowOff>
    </xdr:from>
    <xdr:to>
      <xdr:col>3</xdr:col>
      <xdr:colOff>796290</xdr:colOff>
      <xdr:row>3</xdr:row>
      <xdr:rowOff>120015</xdr:rowOff>
    </xdr:to>
    <xdr:sp macro="[0]!Get_Tomorrow" textlink="">
      <xdr:nvSpPr>
        <xdr:cNvPr id="6" name="Rectangle: Rounded Corners 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687830" y="508635"/>
          <a:ext cx="112014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  <xdr:twoCellAnchor>
    <xdr:from>
      <xdr:col>5</xdr:col>
      <xdr:colOff>304800</xdr:colOff>
      <xdr:row>1</xdr:row>
      <xdr:rowOff>15240</xdr:rowOff>
    </xdr:from>
    <xdr:to>
      <xdr:col>7</xdr:col>
      <xdr:colOff>419100</xdr:colOff>
      <xdr:row>3</xdr:row>
      <xdr:rowOff>0</xdr:rowOff>
    </xdr:to>
    <xdr:sp macro="[0]!REF_VAL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829300" y="198120"/>
          <a:ext cx="155448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Update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104775</xdr:colOff>
      <xdr:row>1</xdr:row>
      <xdr:rowOff>137160</xdr:rowOff>
    </xdr:to>
    <xdr:sp macro="[0]!Module4.Get_Today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685800" y="66675"/>
          <a:ext cx="933450" cy="26098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Today</a:t>
          </a:r>
        </a:p>
      </xdr:txBody>
    </xdr:sp>
    <xdr:clientData/>
  </xdr:twoCellAnchor>
  <xdr:twoCellAnchor>
    <xdr:from>
      <xdr:col>2</xdr:col>
      <xdr:colOff>171449</xdr:colOff>
      <xdr:row>0</xdr:row>
      <xdr:rowOff>66675</xdr:rowOff>
    </xdr:from>
    <xdr:to>
      <xdr:col>3</xdr:col>
      <xdr:colOff>447674</xdr:colOff>
      <xdr:row>1</xdr:row>
      <xdr:rowOff>137160</xdr:rowOff>
    </xdr:to>
    <xdr:sp macro="[0]!Module4.Get_Tomorrow" textlink="">
      <xdr:nvSpPr>
        <xdr:cNvPr id="7" name="Rectangle: Rounded Corners 2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685924" y="66675"/>
          <a:ext cx="1228725" cy="26098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Tomorrow</a:t>
          </a:r>
        </a:p>
      </xdr:txBody>
    </xdr:sp>
    <xdr:clientData/>
  </xdr:twoCellAnchor>
  <xdr:twoCellAnchor>
    <xdr:from>
      <xdr:col>5</xdr:col>
      <xdr:colOff>152400</xdr:colOff>
      <xdr:row>0</xdr:row>
      <xdr:rowOff>76200</xdr:rowOff>
    </xdr:from>
    <xdr:to>
      <xdr:col>7</xdr:col>
      <xdr:colOff>228600</xdr:colOff>
      <xdr:row>1</xdr:row>
      <xdr:rowOff>152400</xdr:rowOff>
    </xdr:to>
    <xdr:sp macro="[0]!Add_ACP" textlink="">
      <xdr:nvSpPr>
        <xdr:cNvPr id="8" name="Rectangle: Rounded Corners 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524500" y="76200"/>
          <a:ext cx="1295400" cy="266700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Update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361950</xdr:colOff>
      <xdr:row>0</xdr:row>
      <xdr:rowOff>142875</xdr:rowOff>
    </xdr:from>
    <xdr:to>
      <xdr:col>14</xdr:col>
      <xdr:colOff>647700</xdr:colOff>
      <xdr:row>2</xdr:row>
      <xdr:rowOff>66675</xdr:rowOff>
    </xdr:to>
    <xdr:sp macro="[0]!Add_ACP_A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010525" y="142875"/>
          <a:ext cx="1676400" cy="3143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glow rad="228600">
            <a:schemeClr val="tx1"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rgbClr val="FFFF00"/>
              </a:solidFill>
            </a:rPr>
            <a:t>UPDATE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aniltd-my.sharepoint.com/Users/cerebulb.vendor2/Downloads/Mundra_Common_DCSG_Ent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Entry_STG_1"/>
      <sheetName val="SGEntry_STG_1"/>
      <sheetName val="ReasonList_STG_1"/>
      <sheetName val="CUSTOMER ID_STG_1"/>
      <sheetName val="ACP_Entry"/>
      <sheetName val="DCEntry_STG_2"/>
      <sheetName val="SGEntry_STG_2"/>
      <sheetName val="ReasonList_STG_2"/>
      <sheetName val="CUSTOMER ID_STG_2"/>
      <sheetName val="DCEntry_STG_3"/>
      <sheetName val="SGEntry_STG_3"/>
      <sheetName val="Sheet1"/>
      <sheetName val="ReasonList_STG_3"/>
      <sheetName val="CUSTOMER ID_STG_3"/>
    </sheetNames>
    <sheetDataSet>
      <sheetData sheetId="0"/>
      <sheetData sheetId="1"/>
      <sheetData sheetId="2"/>
      <sheetData sheetId="3">
        <row r="6">
          <cell r="A6" t="str">
            <v>Adani_Wilmar</v>
          </cell>
        </row>
        <row r="7">
          <cell r="A7" t="str">
            <v>ADITYA_BIRLA_NUVO</v>
          </cell>
        </row>
        <row r="8">
          <cell r="A8" t="str">
            <v>ADLAB</v>
          </cell>
        </row>
        <row r="9">
          <cell r="A9" t="str">
            <v>AEML</v>
          </cell>
        </row>
        <row r="10">
          <cell r="A10" t="str">
            <v>AEML_Firm</v>
          </cell>
        </row>
        <row r="11">
          <cell r="A11" t="str">
            <v>AEML_INFRA</v>
          </cell>
        </row>
        <row r="12">
          <cell r="A12" t="str">
            <v>AEML_STU</v>
          </cell>
        </row>
        <row r="13">
          <cell r="A13" t="str">
            <v>AIA</v>
          </cell>
        </row>
        <row r="14">
          <cell r="A14" t="str">
            <v>Alembic</v>
          </cell>
        </row>
        <row r="15">
          <cell r="A15" t="str">
            <v>ALICON</v>
          </cell>
        </row>
        <row r="16">
          <cell r="A16" t="str">
            <v>Aligarh cement</v>
          </cell>
        </row>
        <row r="17">
          <cell r="A17" t="str">
            <v>Allana</v>
          </cell>
        </row>
        <row r="18">
          <cell r="A18" t="str">
            <v>Ambica_Steel</v>
          </cell>
        </row>
        <row r="19">
          <cell r="A19" t="str">
            <v>Amcor</v>
          </cell>
        </row>
        <row r="20">
          <cell r="A20" t="str">
            <v>APDCL</v>
          </cell>
        </row>
        <row r="21">
          <cell r="A21" t="str">
            <v>APPCC</v>
          </cell>
        </row>
        <row r="22">
          <cell r="A22" t="str">
            <v>APPCPL</v>
          </cell>
        </row>
        <row r="23">
          <cell r="A23" t="str">
            <v>APPCPL_GINNI</v>
          </cell>
        </row>
        <row r="24">
          <cell r="A24" t="str">
            <v>APPCPL_GOYAL</v>
          </cell>
        </row>
        <row r="25">
          <cell r="A25" t="str">
            <v>APPCPL_HP</v>
          </cell>
        </row>
        <row r="26">
          <cell r="A26" t="str">
            <v>APPCPL_HPSEB</v>
          </cell>
        </row>
        <row r="27">
          <cell r="A27" t="str">
            <v>APPCPL_Meghalaya</v>
          </cell>
        </row>
        <row r="28">
          <cell r="A28" t="str">
            <v>APPCPL_RIMJIM_ISPATH</v>
          </cell>
        </row>
        <row r="29">
          <cell r="A29" t="str">
            <v>APPCPL_RIMJIM_STAINLESS_STEEL</v>
          </cell>
        </row>
        <row r="30">
          <cell r="A30" t="str">
            <v>APPCPL_Sikkim</v>
          </cell>
        </row>
        <row r="31">
          <cell r="A31" t="str">
            <v>APPCPL_UPInd</v>
          </cell>
        </row>
        <row r="32">
          <cell r="A32" t="str">
            <v>APSPDCL</v>
          </cell>
        </row>
        <row r="33">
          <cell r="A33" t="str">
            <v>ARPIPL</v>
          </cell>
        </row>
        <row r="34">
          <cell r="A34" t="str">
            <v>ARVIND</v>
          </cell>
        </row>
        <row r="35">
          <cell r="A35" t="str">
            <v>Arvind_Cotspin</v>
          </cell>
        </row>
        <row r="36">
          <cell r="A36" t="str">
            <v>Arvind_Intex</v>
          </cell>
        </row>
        <row r="37">
          <cell r="A37" t="str">
            <v>Arvind_Khatrej</v>
          </cell>
        </row>
        <row r="38">
          <cell r="A38" t="str">
            <v>ARVIND_MILLS</v>
          </cell>
        </row>
        <row r="39">
          <cell r="A39" t="str">
            <v>Arvind_Naroda</v>
          </cell>
        </row>
        <row r="40">
          <cell r="A40" t="str">
            <v>Asian Color</v>
          </cell>
        </row>
        <row r="41">
          <cell r="A41" t="str">
            <v>ASSAM</v>
          </cell>
        </row>
        <row r="42">
          <cell r="A42" t="str">
            <v>Astral_Poly_Technik_Ltd</v>
          </cell>
        </row>
        <row r="43">
          <cell r="A43" t="str">
            <v>Astral_Poly_Technik_Ltd_Cons._No_18396</v>
          </cell>
        </row>
        <row r="44">
          <cell r="A44" t="str">
            <v>ATLAS</v>
          </cell>
        </row>
        <row r="45">
          <cell r="A45" t="str">
            <v>BALCO</v>
          </cell>
        </row>
        <row r="46">
          <cell r="A46" t="str">
            <v>BALMER</v>
          </cell>
        </row>
        <row r="47">
          <cell r="A47" t="str">
            <v>Bekaert</v>
          </cell>
        </row>
        <row r="48">
          <cell r="A48" t="str">
            <v>BESCOM</v>
          </cell>
        </row>
        <row r="49">
          <cell r="A49" t="str">
            <v>BEST</v>
          </cell>
        </row>
        <row r="50">
          <cell r="A50" t="str">
            <v>BHAGIRATH</v>
          </cell>
        </row>
        <row r="51">
          <cell r="A51" t="str">
            <v>Bharat Gears</v>
          </cell>
        </row>
        <row r="52">
          <cell r="A52" t="str">
            <v>BILT</v>
          </cell>
        </row>
        <row r="53">
          <cell r="A53" t="str">
            <v>Biltube</v>
          </cell>
        </row>
        <row r="54">
          <cell r="A54" t="str">
            <v>BIRLA_COTSYN</v>
          </cell>
        </row>
        <row r="55">
          <cell r="A55" t="str">
            <v>Borosil</v>
          </cell>
        </row>
        <row r="56">
          <cell r="A56" t="str">
            <v>Bosch</v>
          </cell>
        </row>
        <row r="57">
          <cell r="A57" t="str">
            <v xml:space="preserve">BRPL_Intraday </v>
          </cell>
        </row>
        <row r="58">
          <cell r="A58" t="str">
            <v>BSEB</v>
          </cell>
        </row>
        <row r="59">
          <cell r="A59" t="str">
            <v>BSEB(ST)</v>
          </cell>
        </row>
        <row r="60">
          <cell r="A60" t="str">
            <v>BYPL</v>
          </cell>
        </row>
        <row r="61">
          <cell r="A61" t="str">
            <v>CADILA</v>
          </cell>
        </row>
        <row r="62">
          <cell r="A62" t="str">
            <v>CARGIL</v>
          </cell>
        </row>
        <row r="63">
          <cell r="A63" t="str">
            <v>CEAT</v>
          </cell>
        </row>
        <row r="64">
          <cell r="A64" t="str">
            <v>Century Enka</v>
          </cell>
        </row>
        <row r="65">
          <cell r="A65" t="str">
            <v>Century Rayon</v>
          </cell>
        </row>
        <row r="66">
          <cell r="A66" t="str">
            <v>CESC</v>
          </cell>
        </row>
        <row r="67">
          <cell r="A67" t="str">
            <v>CLASSIC_AUTO_TUBES_LTD</v>
          </cell>
        </row>
        <row r="68">
          <cell r="A68" t="str">
            <v>Colourtex Pandesara additional</v>
          </cell>
        </row>
        <row r="69">
          <cell r="A69" t="str">
            <v>Cooper</v>
          </cell>
        </row>
        <row r="70">
          <cell r="A70" t="str">
            <v>COOPER L3</v>
          </cell>
        </row>
        <row r="71">
          <cell r="A71" t="str">
            <v>COOPER M60</v>
          </cell>
        </row>
        <row r="72">
          <cell r="A72" t="str">
            <v>Coral_Granito</v>
          </cell>
        </row>
        <row r="73">
          <cell r="A73" t="str">
            <v>Corning</v>
          </cell>
        </row>
        <row r="74">
          <cell r="A74" t="str">
            <v>Crystal Ceramics</v>
          </cell>
        </row>
        <row r="75">
          <cell r="A75" t="str">
            <v>CSPDCL</v>
          </cell>
        </row>
        <row r="76">
          <cell r="A76" t="str">
            <v>CSPL</v>
          </cell>
        </row>
        <row r="77">
          <cell r="A77" t="str">
            <v>CUMMINS</v>
          </cell>
        </row>
        <row r="78">
          <cell r="A78" t="str">
            <v>Daurli_Ispat_(DIPL)</v>
          </cell>
        </row>
        <row r="79">
          <cell r="A79" t="str">
            <v>Digvijay Cement</v>
          </cell>
        </row>
        <row r="80">
          <cell r="A80" t="str">
            <v>DVC</v>
          </cell>
        </row>
        <row r="81">
          <cell r="A81" t="str">
            <v>DVC-STU</v>
          </cell>
        </row>
        <row r="82">
          <cell r="A82" t="str">
            <v>EMCURE</v>
          </cell>
        </row>
        <row r="83">
          <cell r="A83" t="str">
            <v>EMCURE_KURKUMBH</v>
          </cell>
        </row>
        <row r="84">
          <cell r="A84" t="str">
            <v>Essar</v>
          </cell>
        </row>
        <row r="85">
          <cell r="A85" t="str">
            <v xml:space="preserve">Essar_PXIL  </v>
          </cell>
        </row>
        <row r="86">
          <cell r="A86" t="str">
            <v>Essar_PXIL_Any Day_RTC</v>
          </cell>
        </row>
        <row r="87">
          <cell r="A87" t="str">
            <v>Essar_PXIL_Intra Day_Off Peak</v>
          </cell>
        </row>
        <row r="88">
          <cell r="A88" t="str">
            <v>Essar_PXIL_Intra Day_Peak</v>
          </cell>
        </row>
        <row r="89">
          <cell r="A89" t="str">
            <v>ETL_CHAKAN</v>
          </cell>
        </row>
        <row r="90">
          <cell r="A90" t="str">
            <v>ETPL_B22</v>
          </cell>
        </row>
        <row r="91">
          <cell r="A91" t="str">
            <v>ETPL_WALUJ</v>
          </cell>
        </row>
        <row r="92">
          <cell r="A92" t="str">
            <v>ETPL_WALUJ_B2</v>
          </cell>
        </row>
        <row r="93">
          <cell r="A93" t="str">
            <v>ETPLT</v>
          </cell>
        </row>
        <row r="94">
          <cell r="A94" t="str">
            <v>ETPLW_K228_229</v>
          </cell>
        </row>
        <row r="95">
          <cell r="A95" t="str">
            <v>Fabtech</v>
          </cell>
        </row>
        <row r="96">
          <cell r="A96" t="str">
            <v>FILATEX</v>
          </cell>
        </row>
        <row r="97">
          <cell r="A97" t="str">
            <v>Ganesha</v>
          </cell>
        </row>
        <row r="98">
          <cell r="A98" t="str">
            <v>GEPL</v>
          </cell>
        </row>
        <row r="99">
          <cell r="A99" t="str">
            <v>GFL</v>
          </cell>
        </row>
        <row r="100">
          <cell r="A100" t="str">
            <v>Ghatge_Patil</v>
          </cell>
        </row>
        <row r="101">
          <cell r="A101" t="str">
            <v>GIGAPLEX</v>
          </cell>
        </row>
        <row r="102">
          <cell r="A102" t="str">
            <v>GIGAPLEX_2</v>
          </cell>
        </row>
        <row r="103">
          <cell r="A103" t="str">
            <v>Gimatex U-2</v>
          </cell>
        </row>
        <row r="104">
          <cell r="A104" t="str">
            <v>Gimatex U-3</v>
          </cell>
        </row>
        <row r="105">
          <cell r="A105" t="str">
            <v>GINNI</v>
          </cell>
        </row>
        <row r="106">
          <cell r="A106" t="str">
            <v>GIPL_CEAT</v>
          </cell>
        </row>
        <row r="107">
          <cell r="A107" t="str">
            <v>GIPL_Zealtop</v>
          </cell>
        </row>
        <row r="108">
          <cell r="A108" t="str">
            <v>GMR_UTTARAKHAND</v>
          </cell>
        </row>
        <row r="109">
          <cell r="A109" t="str">
            <v>GOA</v>
          </cell>
        </row>
        <row r="110">
          <cell r="A110" t="str">
            <v>Godavari_Pulp</v>
          </cell>
        </row>
        <row r="111">
          <cell r="A111" t="str">
            <v>Gokulanand_Cons_No_10922</v>
          </cell>
        </row>
        <row r="112">
          <cell r="A112" t="str">
            <v>Gokulanand_Cons_No_11952</v>
          </cell>
        </row>
        <row r="113">
          <cell r="A113" t="str">
            <v>Gokulanand_Petrofibers</v>
          </cell>
        </row>
        <row r="114">
          <cell r="A114" t="str">
            <v>GOOD_YEAR_SOUTH_ASIA_TYRES_LTD</v>
          </cell>
        </row>
        <row r="115">
          <cell r="A115" t="str">
            <v>GOYAL</v>
          </cell>
        </row>
        <row r="116">
          <cell r="A116" t="str">
            <v>Grasim</v>
          </cell>
        </row>
        <row r="117">
          <cell r="A117" t="str">
            <v>GUVNL_BID_1</v>
          </cell>
        </row>
        <row r="118">
          <cell r="A118" t="str">
            <v>GUVNL_Bid_1_Addi_SPPA</v>
          </cell>
        </row>
        <row r="119">
          <cell r="A119" t="str">
            <v>GUVNL_BID_2</v>
          </cell>
        </row>
        <row r="120">
          <cell r="A120" t="str">
            <v>GUVNL_Bid_2_Addi_SPPA</v>
          </cell>
        </row>
        <row r="121">
          <cell r="A121" t="str">
            <v>Hoganas</v>
          </cell>
        </row>
        <row r="122">
          <cell r="A122" t="str">
            <v>Hollis</v>
          </cell>
        </row>
        <row r="123">
          <cell r="A123" t="str">
            <v>HPPC</v>
          </cell>
        </row>
        <row r="124">
          <cell r="A124" t="str">
            <v>HPSEB</v>
          </cell>
        </row>
        <row r="125">
          <cell r="A125" t="str">
            <v>HVPNL</v>
          </cell>
        </row>
        <row r="126">
          <cell r="A126" t="str">
            <v>IEX</v>
          </cell>
        </row>
        <row r="127">
          <cell r="A127" t="str">
            <v>IEX TAM MPSEB</v>
          </cell>
        </row>
        <row r="128">
          <cell r="A128" t="str">
            <v>IEX TAM Odisha</v>
          </cell>
        </row>
        <row r="129">
          <cell r="A129" t="str">
            <v>IEX TAM Torrent</v>
          </cell>
        </row>
        <row r="130">
          <cell r="A130" t="str">
            <v>IEX Torrent ADI_CTU</v>
          </cell>
        </row>
        <row r="131">
          <cell r="A131" t="str">
            <v>IEX Torrent ADI_STU</v>
          </cell>
        </row>
        <row r="132">
          <cell r="A132" t="str">
            <v>IEX Torrent Dahej_STU</v>
          </cell>
        </row>
        <row r="133">
          <cell r="A133" t="str">
            <v>IEX-APSPDCL-STU</v>
          </cell>
        </row>
        <row r="134">
          <cell r="A134" t="str">
            <v>IEX-Essar</v>
          </cell>
        </row>
        <row r="135">
          <cell r="A135" t="str">
            <v>IEX-TAM -Andhra</v>
          </cell>
        </row>
        <row r="136">
          <cell r="A136" t="str">
            <v>IEX-Vedanta</v>
          </cell>
        </row>
        <row r="137">
          <cell r="A137" t="str">
            <v>IEX_ APSPDCL</v>
          </cell>
        </row>
        <row r="138">
          <cell r="A138" t="str">
            <v>IEX_ DVC</v>
          </cell>
        </row>
        <row r="139">
          <cell r="A139" t="str">
            <v>IEX_AEML</v>
          </cell>
        </row>
        <row r="140">
          <cell r="A140" t="str">
            <v>IEX_Andhra</v>
          </cell>
        </row>
        <row r="141">
          <cell r="A141" t="str">
            <v>IEX_BRPL</v>
          </cell>
        </row>
        <row r="142">
          <cell r="A142" t="str">
            <v>IEX_BSES</v>
          </cell>
        </row>
        <row r="143">
          <cell r="A143" t="str">
            <v>IEX_BSPHCL</v>
          </cell>
        </row>
        <row r="144">
          <cell r="A144" t="str">
            <v>IEX_BSPHCL STU</v>
          </cell>
        </row>
        <row r="145">
          <cell r="A145" t="str">
            <v>IEX_BYPL</v>
          </cell>
        </row>
        <row r="146">
          <cell r="A146" t="str">
            <v>IEX_CESC</v>
          </cell>
        </row>
        <row r="147">
          <cell r="A147" t="str">
            <v>IEX_CESE</v>
          </cell>
        </row>
        <row r="148">
          <cell r="A148" t="str">
            <v>IEX_DNHPDCL</v>
          </cell>
        </row>
        <row r="149">
          <cell r="A149" t="str">
            <v>IEX_GOA</v>
          </cell>
        </row>
        <row r="150">
          <cell r="A150" t="str">
            <v>IEX_GRIDCO</v>
          </cell>
        </row>
        <row r="151">
          <cell r="A151" t="str">
            <v>IEX_HPSEB</v>
          </cell>
        </row>
        <row r="152">
          <cell r="A152" t="str">
            <v>IEX_JBVNL</v>
          </cell>
        </row>
        <row r="153">
          <cell r="A153" t="str">
            <v>IEX_JVVNL</v>
          </cell>
        </row>
        <row r="154">
          <cell r="A154" t="str">
            <v>IEX_Noida</v>
          </cell>
        </row>
        <row r="155">
          <cell r="A155" t="str">
            <v>IEX_STU</v>
          </cell>
        </row>
        <row r="156">
          <cell r="A156" t="str">
            <v>IEX_TAM_Assam</v>
          </cell>
        </row>
        <row r="157">
          <cell r="A157" t="str">
            <v>IEX_TAM_R-Infra</v>
          </cell>
        </row>
        <row r="158">
          <cell r="A158" t="str">
            <v>IEX_TAM_TNEB</v>
          </cell>
        </row>
        <row r="159">
          <cell r="A159" t="str">
            <v>IEX_TAM_TPL_DAHEJ</v>
          </cell>
        </row>
        <row r="160">
          <cell r="A160" t="str">
            <v>IEX_TAM_TSSPDCL</v>
          </cell>
        </row>
        <row r="161">
          <cell r="A161" t="str">
            <v>IEX_TAM_WBSEDCL</v>
          </cell>
        </row>
        <row r="162">
          <cell r="A162" t="str">
            <v>IEX_TANGEDCO</v>
          </cell>
        </row>
        <row r="163">
          <cell r="A163" t="str">
            <v>IEX_TATA_Steel</v>
          </cell>
        </row>
        <row r="164">
          <cell r="A164" t="str">
            <v>IEX_Torrent Dahej_STU</v>
          </cell>
        </row>
        <row r="165">
          <cell r="A165" t="str">
            <v>IEX_UPPCL</v>
          </cell>
        </row>
        <row r="166">
          <cell r="A166" t="str">
            <v>IEX_Vedanta</v>
          </cell>
        </row>
        <row r="167">
          <cell r="A167" t="str">
            <v>Indapur</v>
          </cell>
        </row>
        <row r="168">
          <cell r="A168" t="str">
            <v>India_Steel_Works</v>
          </cell>
        </row>
        <row r="169">
          <cell r="A169" t="str">
            <v>Indoworth</v>
          </cell>
        </row>
        <row r="170">
          <cell r="A170" t="str">
            <v>INOX</v>
          </cell>
        </row>
        <row r="171">
          <cell r="A171" t="str">
            <v>INOX_STOA</v>
          </cell>
        </row>
        <row r="172">
          <cell r="A172" t="str">
            <v>Intraday_IEX TNEB</v>
          </cell>
        </row>
        <row r="173">
          <cell r="A173" t="str">
            <v>IPCL</v>
          </cell>
        </row>
        <row r="174">
          <cell r="A174" t="str">
            <v>ISMT</v>
          </cell>
        </row>
        <row r="175">
          <cell r="A175" t="str">
            <v>J&amp;K</v>
          </cell>
        </row>
        <row r="176">
          <cell r="A176" t="str">
            <v>Jain_Farm_Fresh_Foods_Ltd</v>
          </cell>
        </row>
        <row r="177">
          <cell r="A177" t="str">
            <v>JAY_BHARAT</v>
          </cell>
        </row>
        <row r="178">
          <cell r="A178" t="str">
            <v>Jet_Grenito</v>
          </cell>
        </row>
        <row r="179">
          <cell r="A179" t="str">
            <v>JPFL</v>
          </cell>
        </row>
        <row r="180">
          <cell r="A180" t="str">
            <v>JSEB</v>
          </cell>
        </row>
        <row r="181">
          <cell r="A181" t="str">
            <v>JVVNL_IEX_Intra Day_Off Peak</v>
          </cell>
        </row>
        <row r="182">
          <cell r="A182" t="str">
            <v>JVVNL_IEX_Intra Day_Peak</v>
          </cell>
        </row>
        <row r="183">
          <cell r="A183" t="str">
            <v>JVVNL_PXIL_Intra Day_Off Peak</v>
          </cell>
        </row>
        <row r="184">
          <cell r="A184" t="str">
            <v>Kalishma_Steel_Pvt_Ltd</v>
          </cell>
        </row>
        <row r="185">
          <cell r="A185" t="str">
            <v>Kalisma</v>
          </cell>
        </row>
        <row r="186">
          <cell r="A186" t="str">
            <v>KB_ISPAT</v>
          </cell>
        </row>
        <row r="187">
          <cell r="A187" t="str">
            <v>KEIPL_AmbaShakti</v>
          </cell>
        </row>
        <row r="188">
          <cell r="A188" t="str">
            <v>KEIPL_Colourtex</v>
          </cell>
        </row>
        <row r="189">
          <cell r="A189" t="str">
            <v>KEIPL_Colourtex_Pandeshwara</v>
          </cell>
        </row>
        <row r="190">
          <cell r="A190" t="str">
            <v>KEIPL_Continental</v>
          </cell>
        </row>
        <row r="191">
          <cell r="A191" t="str">
            <v>KEIPL_CTXLife</v>
          </cell>
        </row>
        <row r="192">
          <cell r="A192" t="str">
            <v>KEIPL_Dadri_Cement</v>
          </cell>
        </row>
        <row r="193">
          <cell r="A193" t="str">
            <v>KEIPL_Diamond</v>
          </cell>
        </row>
        <row r="194">
          <cell r="A194" t="str">
            <v>KEIPL_Gridco</v>
          </cell>
        </row>
        <row r="195">
          <cell r="A195" t="str">
            <v>KEIPL_Kiri_Ind</v>
          </cell>
        </row>
        <row r="196">
          <cell r="A196" t="str">
            <v>KEIPL_Reliance</v>
          </cell>
        </row>
        <row r="197">
          <cell r="A197" t="str">
            <v>KFIL</v>
          </cell>
        </row>
        <row r="198">
          <cell r="A198" t="str">
            <v>Kores</v>
          </cell>
        </row>
        <row r="199">
          <cell r="A199" t="str">
            <v>Kores Chakan</v>
          </cell>
        </row>
        <row r="200">
          <cell r="A200" t="str">
            <v>Kores Pefco</v>
          </cell>
        </row>
        <row r="201">
          <cell r="A201" t="str">
            <v>Krishna_Verala</v>
          </cell>
        </row>
        <row r="202">
          <cell r="A202" t="str">
            <v>KSEB</v>
          </cell>
        </row>
        <row r="203">
          <cell r="A203" t="str">
            <v>KSEB_IEX</v>
          </cell>
        </row>
        <row r="204">
          <cell r="A204" t="str">
            <v>KSL_KAMLESHWAR</v>
          </cell>
        </row>
        <row r="205">
          <cell r="A205" t="str">
            <v>KSL_LACHALKARANGI</v>
          </cell>
        </row>
        <row r="206">
          <cell r="A206" t="str">
            <v>KSLIL</v>
          </cell>
        </row>
        <row r="207">
          <cell r="A207" t="str">
            <v>KSLIL  U#2</v>
          </cell>
        </row>
        <row r="208">
          <cell r="A208" t="str">
            <v>LAXCON</v>
          </cell>
        </row>
        <row r="209">
          <cell r="A209" t="str">
            <v>Lupin</v>
          </cell>
        </row>
        <row r="210">
          <cell r="A210" t="str">
            <v>M.D.INDUCTO CASTE</v>
          </cell>
        </row>
        <row r="211">
          <cell r="A211" t="str">
            <v>MAHABAL</v>
          </cell>
        </row>
        <row r="212">
          <cell r="A212" t="str">
            <v>Maithan Alloys Limited - MPL</v>
          </cell>
        </row>
        <row r="213">
          <cell r="A213" t="str">
            <v>Manikaran_Amulfed</v>
          </cell>
        </row>
        <row r="214">
          <cell r="A214" t="str">
            <v>MANIKARAN_ATC_Tires</v>
          </cell>
        </row>
        <row r="215">
          <cell r="A215" t="str">
            <v>Manikaran_Banaskantha</v>
          </cell>
        </row>
        <row r="216">
          <cell r="A216" t="str">
            <v>Manikaran_Hollis</v>
          </cell>
        </row>
        <row r="217">
          <cell r="A217" t="str">
            <v>Manikaran_UP</v>
          </cell>
        </row>
        <row r="218">
          <cell r="A218" t="str">
            <v>MePDCL</v>
          </cell>
        </row>
        <row r="219">
          <cell r="A219" t="str">
            <v>MINDSPACE</v>
          </cell>
        </row>
        <row r="220">
          <cell r="A220" t="str">
            <v>Mittal</v>
          </cell>
        </row>
        <row r="221">
          <cell r="A221" t="str">
            <v>MITTAL_AMBA_SHAKTI</v>
          </cell>
        </row>
        <row r="222">
          <cell r="A222" t="str">
            <v>MITTAL_CONTINENTAL</v>
          </cell>
        </row>
        <row r="223">
          <cell r="A223" t="str">
            <v>MITTAL_DIAMOND</v>
          </cell>
        </row>
        <row r="224">
          <cell r="A224" t="str">
            <v>MITTAL_KIRLOSKAR</v>
          </cell>
        </row>
        <row r="225">
          <cell r="A225" t="str">
            <v>MITTAL_RELIANCE</v>
          </cell>
        </row>
        <row r="226">
          <cell r="A226" t="str">
            <v>MITTAL_TATA_DISCOM</v>
          </cell>
        </row>
        <row r="227">
          <cell r="A227" t="str">
            <v>MITTAL_VACMET</v>
          </cell>
        </row>
        <row r="228">
          <cell r="A228" t="str">
            <v>Mohite</v>
          </cell>
        </row>
        <row r="229">
          <cell r="A229" t="str">
            <v>MONO_STEEL</v>
          </cell>
        </row>
        <row r="230">
          <cell r="A230" t="str">
            <v>MOTHERSON</v>
          </cell>
        </row>
        <row r="231">
          <cell r="A231" t="str">
            <v>MP</v>
          </cell>
        </row>
        <row r="232">
          <cell r="A232" t="str">
            <v>MPL Punjab</v>
          </cell>
        </row>
        <row r="233">
          <cell r="A233" t="str">
            <v>MSEDCL</v>
          </cell>
        </row>
        <row r="234">
          <cell r="A234" t="str">
            <v>MSEDCL_1200MW_PPA</v>
          </cell>
        </row>
        <row r="235">
          <cell r="A235" t="str">
            <v>MSEDCL_125MW_PPA</v>
          </cell>
        </row>
        <row r="236">
          <cell r="A236" t="str">
            <v>MSEDCL_1320MW_PPA</v>
          </cell>
        </row>
        <row r="237">
          <cell r="A237" t="str">
            <v>MSEDCL_IEX_Weekly_Day</v>
          </cell>
        </row>
        <row r="238">
          <cell r="A238" t="str">
            <v>MSEDCL_PXIL_Any Day_Day</v>
          </cell>
        </row>
        <row r="239">
          <cell r="A239" t="str">
            <v>MSEDCL_PXIL_Any Day_Off Peak</v>
          </cell>
        </row>
        <row r="240">
          <cell r="A240" t="str">
            <v>MSEDCL_PXIL_Any Day_Peak</v>
          </cell>
        </row>
        <row r="241">
          <cell r="A241" t="str">
            <v>MSEDCL_PXIL_Any Day_RTC</v>
          </cell>
        </row>
        <row r="242">
          <cell r="A242" t="str">
            <v>MSEDCL_PXIL_Intra Day_Day</v>
          </cell>
        </row>
        <row r="243">
          <cell r="A243" t="str">
            <v>MSEDCL_PXIL_Intra Day_Off Peak</v>
          </cell>
        </row>
        <row r="244">
          <cell r="A244" t="str">
            <v>MSEDCL_PXIL_Intra Day_Peak</v>
          </cell>
        </row>
        <row r="245">
          <cell r="A245" t="str">
            <v>MSEDCL_PXIL_Weekly_Day</v>
          </cell>
        </row>
        <row r="246">
          <cell r="A246" t="str">
            <v>MSEDCL_PXIL_Weekly_Off Peak</v>
          </cell>
        </row>
        <row r="247">
          <cell r="A247" t="str">
            <v>MSPDCL</v>
          </cell>
        </row>
        <row r="248">
          <cell r="A248" t="str">
            <v>MUPL</v>
          </cell>
        </row>
        <row r="249">
          <cell r="A249" t="str">
            <v>MUPL_Add</v>
          </cell>
        </row>
        <row r="250">
          <cell r="A250" t="str">
            <v>MUPL_Bilateral</v>
          </cell>
        </row>
        <row r="251">
          <cell r="A251" t="str">
            <v>MUPL_Contingency</v>
          </cell>
        </row>
        <row r="252">
          <cell r="A252" t="str">
            <v>NCR</v>
          </cell>
        </row>
        <row r="253">
          <cell r="A253" t="str">
            <v>NCR DA</v>
          </cell>
        </row>
        <row r="254">
          <cell r="A254" t="str">
            <v>Neosym</v>
          </cell>
        </row>
        <row r="255">
          <cell r="A255" t="str">
            <v>NHPC UPPCL</v>
          </cell>
        </row>
        <row r="256">
          <cell r="A256" t="str">
            <v>NHPC UPPCL DA</v>
          </cell>
        </row>
        <row r="257">
          <cell r="A257" t="str">
            <v>Nipro</v>
          </cell>
        </row>
        <row r="258">
          <cell r="A258" t="str">
            <v>NPCL</v>
          </cell>
        </row>
        <row r="259">
          <cell r="A259" t="str">
            <v>NPCL_STU</v>
          </cell>
        </row>
        <row r="260">
          <cell r="A260" t="str">
            <v>NVVN WBSEDCL</v>
          </cell>
        </row>
        <row r="261">
          <cell r="A261" t="str">
            <v>NVVN_NEPAL</v>
          </cell>
        </row>
        <row r="262">
          <cell r="A262" t="str">
            <v>NVVNL_NEA</v>
          </cell>
        </row>
        <row r="263">
          <cell r="A263" t="str">
            <v>Otsuka_Pharmaceutical</v>
          </cell>
        </row>
        <row r="264">
          <cell r="A264" t="str">
            <v>PCKL</v>
          </cell>
        </row>
        <row r="265">
          <cell r="A265" t="str">
            <v>Pee Vee Textiles</v>
          </cell>
        </row>
        <row r="266">
          <cell r="A266" t="str">
            <v>Perfect_Circle</v>
          </cell>
        </row>
        <row r="267">
          <cell r="A267" t="str">
            <v>PFPLA</v>
          </cell>
        </row>
        <row r="268">
          <cell r="A268" t="str">
            <v>Piaggio</v>
          </cell>
        </row>
        <row r="269">
          <cell r="A269" t="str">
            <v>Piramal_Jambusar</v>
          </cell>
        </row>
        <row r="270">
          <cell r="A270" t="str">
            <v>Piramal_Kosamba</v>
          </cell>
        </row>
        <row r="271">
          <cell r="A271" t="str">
            <v>PIRAMAL_STU</v>
          </cell>
        </row>
        <row r="272">
          <cell r="A272" t="str">
            <v>POSCO</v>
          </cell>
        </row>
        <row r="273">
          <cell r="A273" t="str">
            <v>PRAFUL</v>
          </cell>
        </row>
        <row r="274">
          <cell r="A274" t="str">
            <v>PSPCL</v>
          </cell>
        </row>
        <row r="275">
          <cell r="A275" t="str">
            <v>PTC_NEPAL</v>
          </cell>
        </row>
        <row r="276">
          <cell r="A276" t="str">
            <v>PXIL</v>
          </cell>
        </row>
        <row r="277">
          <cell r="A277" t="str">
            <v>PXIL-Andhra</v>
          </cell>
        </row>
        <row r="278">
          <cell r="A278" t="str">
            <v>PXIL-WBSETCL</v>
          </cell>
        </row>
        <row r="279">
          <cell r="A279" t="str">
            <v>PXIL_BSPHCL</v>
          </cell>
        </row>
        <row r="280">
          <cell r="A280" t="str">
            <v>PXIL_DAMAN</v>
          </cell>
        </row>
        <row r="281">
          <cell r="A281" t="str">
            <v>PXIL_TSSPDCL</v>
          </cell>
        </row>
        <row r="282">
          <cell r="A282" t="str">
            <v>PXIL_Vedanta</v>
          </cell>
        </row>
        <row r="283">
          <cell r="A283" t="str">
            <v>R-INFRA_IEX_Intra Day_Peak</v>
          </cell>
        </row>
        <row r="284">
          <cell r="A284" t="str">
            <v>Rajputana_Stainless_Steel</v>
          </cell>
        </row>
        <row r="285">
          <cell r="A285" t="str">
            <v>RAJSHREE</v>
          </cell>
        </row>
        <row r="286">
          <cell r="A286" t="str">
            <v>Rajshree Additional</v>
          </cell>
        </row>
        <row r="287">
          <cell r="A287" t="str">
            <v>Raymond Uco</v>
          </cell>
        </row>
        <row r="288">
          <cell r="A288" t="str">
            <v>RDPPC</v>
          </cell>
        </row>
        <row r="289">
          <cell r="A289" t="str">
            <v>RIL</v>
          </cell>
        </row>
        <row r="290">
          <cell r="A290" t="str">
            <v>Rimjhim Ispat Ltd.  (RIL)</v>
          </cell>
        </row>
        <row r="291">
          <cell r="A291" t="str">
            <v>Rimjhim Stainless Ltd. (RSL)</v>
          </cell>
        </row>
        <row r="292">
          <cell r="A292" t="str">
            <v>RL_Steel_and_Energy</v>
          </cell>
        </row>
        <row r="293">
          <cell r="A293" t="str">
            <v>Rubby_Mill</v>
          </cell>
        </row>
        <row r="294">
          <cell r="A294" t="str">
            <v>Sagreshwar</v>
          </cell>
        </row>
        <row r="295">
          <cell r="A295" t="str">
            <v>Sarvotam</v>
          </cell>
        </row>
        <row r="296">
          <cell r="A296" t="str">
            <v>SBTL</v>
          </cell>
        </row>
        <row r="297">
          <cell r="A297" t="str">
            <v>Schreiber</v>
          </cell>
        </row>
        <row r="298">
          <cell r="A298" t="str">
            <v>SDDL</v>
          </cell>
        </row>
        <row r="299">
          <cell r="A299" t="str">
            <v>SEACO</v>
          </cell>
        </row>
        <row r="300">
          <cell r="A300" t="str">
            <v>Serene Prop</v>
          </cell>
        </row>
        <row r="301">
          <cell r="A301" t="str">
            <v>Serum</v>
          </cell>
        </row>
        <row r="302">
          <cell r="A302" t="str">
            <v>Sethkari Vinakari</v>
          </cell>
        </row>
        <row r="303">
          <cell r="A303" t="str">
            <v>Shamli_Steel</v>
          </cell>
        </row>
        <row r="304">
          <cell r="A304" t="str">
            <v>Shetkari Mahila</v>
          </cell>
        </row>
        <row r="305">
          <cell r="A305" t="str">
            <v>Shetkari Shakari</v>
          </cell>
        </row>
        <row r="306">
          <cell r="A306" t="str">
            <v>Shree_Cement_UP_Grinding</v>
          </cell>
        </row>
        <row r="307">
          <cell r="A307" t="str">
            <v>SHREERAMOXY</v>
          </cell>
        </row>
        <row r="308">
          <cell r="A308" t="str">
            <v>SIL A</v>
          </cell>
        </row>
        <row r="309">
          <cell r="A309" t="str">
            <v>SIL B</v>
          </cell>
        </row>
        <row r="310">
          <cell r="A310" t="str">
            <v>SIL N</v>
          </cell>
        </row>
        <row r="311">
          <cell r="A311" t="str">
            <v>SIL-G</v>
          </cell>
        </row>
        <row r="312">
          <cell r="A312" t="str">
            <v>Silk_Touch</v>
          </cell>
        </row>
        <row r="313">
          <cell r="A313" t="str">
            <v>SKF</v>
          </cell>
        </row>
        <row r="314">
          <cell r="A314" t="str">
            <v>Spectrum_Dyes</v>
          </cell>
        </row>
        <row r="315">
          <cell r="A315" t="str">
            <v>SPPL</v>
          </cell>
        </row>
        <row r="316">
          <cell r="A316" t="str">
            <v>SSSVSSG</v>
          </cell>
        </row>
        <row r="317">
          <cell r="A317" t="str">
            <v>ST</v>
          </cell>
        </row>
        <row r="318">
          <cell r="A318" t="str">
            <v>STL_SHENDRA</v>
          </cell>
        </row>
        <row r="319">
          <cell r="A319" t="str">
            <v>STL_WALUJ</v>
          </cell>
        </row>
        <row r="320">
          <cell r="A320" t="str">
            <v xml:space="preserve">Supreme Jalgoan </v>
          </cell>
        </row>
        <row r="321">
          <cell r="A321" t="str">
            <v>Supreme_Gadegaon</v>
          </cell>
        </row>
        <row r="322">
          <cell r="A322" t="str">
            <v>Suryaamba</v>
          </cell>
        </row>
        <row r="323">
          <cell r="A323" t="str">
            <v>Swami Smarth</v>
          </cell>
        </row>
        <row r="324">
          <cell r="A324" t="str">
            <v>TATA Assam</v>
          </cell>
        </row>
        <row r="325">
          <cell r="A325" t="str">
            <v>TATA Assam Additional</v>
          </cell>
        </row>
        <row r="326">
          <cell r="A326" t="str">
            <v>TATA CSPDCL</v>
          </cell>
        </row>
        <row r="327">
          <cell r="A327" t="str">
            <v>TATA Steel Ltd Discom</v>
          </cell>
        </row>
        <row r="328">
          <cell r="A328" t="str">
            <v>TATA_BIHAR</v>
          </cell>
        </row>
        <row r="329">
          <cell r="A329" t="str">
            <v>TATA_TPL_DAHEJ</v>
          </cell>
        </row>
        <row r="330">
          <cell r="A330" t="str">
            <v>TELANGANA</v>
          </cell>
        </row>
        <row r="331">
          <cell r="A331" t="str">
            <v>Telangana_125MW</v>
          </cell>
        </row>
        <row r="332">
          <cell r="A332" t="str">
            <v>Telangana_95MW</v>
          </cell>
        </row>
        <row r="333">
          <cell r="A333" t="str">
            <v>TEST1234</v>
          </cell>
        </row>
        <row r="334">
          <cell r="A334" t="str">
            <v>TG</v>
          </cell>
        </row>
        <row r="335">
          <cell r="A335" t="str">
            <v>TNEB</v>
          </cell>
        </row>
        <row r="336">
          <cell r="A336" t="str">
            <v>TNEB(ST)</v>
          </cell>
        </row>
        <row r="337">
          <cell r="A337" t="str">
            <v>TORRENT</v>
          </cell>
        </row>
        <row r="338">
          <cell r="A338" t="str">
            <v>TPCL_M</v>
          </cell>
        </row>
        <row r="339">
          <cell r="A339" t="str">
            <v>TPL_AHMEDABAD_IEX_Any Day_Off Peak</v>
          </cell>
        </row>
        <row r="340">
          <cell r="A340" t="str">
            <v>TPL_SURAT_IEX_Any Day_Day</v>
          </cell>
        </row>
        <row r="341">
          <cell r="A341" t="str">
            <v>TPL_SURAT_IEX_Any Day_Off Peak</v>
          </cell>
        </row>
        <row r="342">
          <cell r="A342" t="str">
            <v>TRIPURA</v>
          </cell>
        </row>
        <row r="343">
          <cell r="A343" t="str">
            <v>Tuna Port</v>
          </cell>
        </row>
        <row r="344">
          <cell r="A344" t="str">
            <v>UPCL</v>
          </cell>
        </row>
        <row r="345">
          <cell r="A345" t="str">
            <v>UPPCL</v>
          </cell>
        </row>
        <row r="346">
          <cell r="A346" t="str">
            <v>VARCO_TAKVE</v>
          </cell>
        </row>
        <row r="347">
          <cell r="A347" t="str">
            <v>Vardhaman Fabrics</v>
          </cell>
        </row>
        <row r="348">
          <cell r="A348" t="str">
            <v>Varroc</v>
          </cell>
        </row>
        <row r="349">
          <cell r="A349" t="str">
            <v>Vinayak_TMT</v>
          </cell>
        </row>
        <row r="350">
          <cell r="A350" t="str">
            <v>VIRAJ_SPINNERS_LTD</v>
          </cell>
        </row>
        <row r="351">
          <cell r="A351" t="str">
            <v>Vishay</v>
          </cell>
        </row>
        <row r="352">
          <cell r="A352" t="str">
            <v>VITTHAL_CORP</v>
          </cell>
        </row>
        <row r="353">
          <cell r="A353" t="str">
            <v>WBSEDCL</v>
          </cell>
        </row>
        <row r="354">
          <cell r="A354" t="str">
            <v>WBSEDCL_IEX_Intra Day_Peak</v>
          </cell>
        </row>
        <row r="355">
          <cell r="A355" t="str">
            <v>WBSEDCL_PXIL</v>
          </cell>
        </row>
        <row r="356">
          <cell r="A356" t="str">
            <v>WBSEDCL_PXIL</v>
          </cell>
        </row>
        <row r="357">
          <cell r="A357" t="str">
            <v>WELSPUN</v>
          </cell>
        </row>
        <row r="358">
          <cell r="A358" t="str">
            <v>Welspun_India_Limited</v>
          </cell>
        </row>
        <row r="359">
          <cell r="A359" t="str">
            <v>WILMAR</v>
          </cell>
        </row>
        <row r="360">
          <cell r="A360" t="str">
            <v>Wockhardt_Ltd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A6C50C5-CE10-402F-9EE6-2444C2EB1C8D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CustomerName" tableColumnId="2"/>
      <queryTableField id="3" name="Plant" tableColumnId="3"/>
      <queryTableField id="4" name="DCID" tableColumnId="4"/>
      <queryTableField id="5" name="SGID" tableColumnId="5"/>
      <queryTableField id="6" name="DCTagName" tableColumnId="6"/>
      <queryTableField id="7" name="SGTagName" tableColumnId="7"/>
      <queryTableField id="8" name="FuelCost" tableColumnId="8"/>
      <queryTableField id="9" name="CustomerType" tableColumnId="9"/>
      <queryTableField id="10" name="Status" tableColumnId="10"/>
      <queryTableField id="11" name="CreatedAt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E558CB-720C-4896-B34D-B307B9408067}" name="APL_M_CustomerData__2" displayName="APL_M_CustomerData__2" ref="A1:K450" tableType="queryTable" totalsRowShown="0" headerRowDxfId="9" headerRowBorderDxfId="8" tableBorderDxfId="7">
  <autoFilter ref="A1:K450" xr:uid="{BDE558CB-720C-4896-B34D-B307B9408067}"/>
  <tableColumns count="11">
    <tableColumn id="1" xr3:uid="{C453B07C-FDE0-4B85-8D4E-77936B686374}" uniqueName="1" name="Id" queryTableFieldId="1"/>
    <tableColumn id="2" xr3:uid="{323F9602-448A-4D2C-85D4-A1CBBEB0009B}" uniqueName="2" name="CustomerName" queryTableFieldId="2" dataDxfId="6"/>
    <tableColumn id="3" xr3:uid="{41859B4C-F184-4CA4-B206-816DB6B2D861}" uniqueName="3" name="Plant" queryTableFieldId="3" dataDxfId="5"/>
    <tableColumn id="4" xr3:uid="{21BCD573-1FED-4747-9703-BB516365FCEE}" uniqueName="4" name="DCID" queryTableFieldId="4"/>
    <tableColumn id="5" xr3:uid="{0307E9BE-1BC2-46F0-8202-BDC5070CA3C3}" uniqueName="5" name="SGID" queryTableFieldId="5"/>
    <tableColumn id="6" xr3:uid="{93F2C8A6-65A3-4A8F-AC30-D835E5E6BC8E}" uniqueName="6" name="DCTagName" queryTableFieldId="6" dataDxfId="4"/>
    <tableColumn id="7" xr3:uid="{8E46B19E-3AA1-48FA-9411-C381150AAB9E}" uniqueName="7" name="SGTagName" queryTableFieldId="7" dataDxfId="3"/>
    <tableColumn id="8" xr3:uid="{7C50107F-D0BE-4FE0-A5B1-4A052F3AE032}" uniqueName="8" name="FuelCost" queryTableFieldId="8"/>
    <tableColumn id="9" xr3:uid="{ECA5A7F4-3541-4BCF-AA3C-3124A5345EBC}" uniqueName="9" name="CustomerType" queryTableFieldId="9" dataDxfId="2"/>
    <tableColumn id="10" xr3:uid="{EA1CC41C-5B95-4A2A-8223-247E54E470CA}" uniqueName="10" name="Status" queryTableFieldId="10" dataDxfId="1"/>
    <tableColumn id="11" xr3:uid="{C268471C-ADCB-4E9F-9924-BAE702E6136D}" uniqueName="11" name="CreatedAt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4" tint="0.39997558519241921"/>
  </sheetPr>
  <dimension ref="A1:AL494"/>
  <sheetViews>
    <sheetView zoomScaleNormal="100" workbookViewId="0">
      <pane ySplit="8" topLeftCell="A9" activePane="bottomLeft" state="frozen"/>
      <selection activeCell="D27" sqref="D27"/>
      <selection pane="bottomLeft" activeCell="F9" sqref="F9:G104"/>
    </sheetView>
  </sheetViews>
  <sheetFormatPr defaultColWidth="9.140625" defaultRowHeight="12.75" x14ac:dyDescent="0.2"/>
  <cols>
    <col min="1" max="2" width="9.140625" style="5"/>
    <col min="3" max="3" width="11.140625" style="5" customWidth="1"/>
    <col min="4" max="4" width="12.5703125" style="5" bestFit="1" customWidth="1"/>
    <col min="5" max="5" width="12.42578125" style="5" bestFit="1" customWidth="1"/>
    <col min="6" max="6" width="11.28515625" style="5" customWidth="1"/>
    <col min="7" max="7" width="12.140625" style="5" customWidth="1"/>
    <col min="8" max="8" width="11.140625" style="5" bestFit="1" customWidth="1"/>
    <col min="9" max="9" width="9.140625" style="5" customWidth="1"/>
    <col min="10" max="10" width="12.140625" style="5" customWidth="1"/>
    <col min="11" max="11" width="9" style="5" customWidth="1"/>
    <col min="12" max="14" width="14.140625" style="5" customWidth="1"/>
    <col min="15" max="16384" width="9.140625" style="5"/>
  </cols>
  <sheetData>
    <row r="1" spans="1:38" ht="24" thickBot="1" x14ac:dyDescent="0.4">
      <c r="A1" s="133" t="s">
        <v>9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5"/>
      <c r="Q1" s="115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4"/>
    </row>
    <row r="2" spans="1:38" x14ac:dyDescent="0.2">
      <c r="A2" s="136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8"/>
      <c r="Q2" s="11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7"/>
    </row>
    <row r="3" spans="1:38" s="10" customFormat="1" ht="15" customHeight="1" x14ac:dyDescent="0.25">
      <c r="A3" s="139" t="s">
        <v>10</v>
      </c>
      <c r="B3" s="141"/>
      <c r="C3" s="141"/>
      <c r="D3" s="141"/>
      <c r="E3" s="143">
        <f ca="1">TODAY()</f>
        <v>45398</v>
      </c>
      <c r="F3" s="141" t="s">
        <v>11</v>
      </c>
      <c r="G3" s="141"/>
      <c r="H3" s="141" t="s">
        <v>12</v>
      </c>
      <c r="I3" s="141"/>
      <c r="J3" s="141"/>
      <c r="K3" s="141"/>
      <c r="L3" s="8"/>
      <c r="M3" s="8" t="s">
        <v>116</v>
      </c>
      <c r="N3" s="8"/>
      <c r="O3" s="8"/>
      <c r="P3" s="9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9"/>
    </row>
    <row r="4" spans="1:38" s="10" customFormat="1" ht="15.75" thickBot="1" x14ac:dyDescent="0.3">
      <c r="A4" s="140"/>
      <c r="B4" s="142"/>
      <c r="C4" s="142"/>
      <c r="D4" s="142"/>
      <c r="E4" s="144"/>
      <c r="F4" s="142"/>
      <c r="G4" s="142"/>
      <c r="H4" s="142"/>
      <c r="I4" s="142"/>
      <c r="J4" s="142"/>
      <c r="K4" s="142"/>
      <c r="L4" s="11"/>
      <c r="M4" s="11"/>
      <c r="N4" s="11"/>
      <c r="O4" s="11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2"/>
    </row>
    <row r="5" spans="1:38" s="10" customFormat="1" ht="16.5" thickBot="1" x14ac:dyDescent="0.3">
      <c r="A5" s="13" t="s">
        <v>13</v>
      </c>
      <c r="B5" s="14" t="s">
        <v>14</v>
      </c>
      <c r="C5" s="14" t="s">
        <v>15</v>
      </c>
      <c r="D5" s="15">
        <v>1</v>
      </c>
      <c r="E5" s="16" t="s">
        <v>16</v>
      </c>
      <c r="F5" s="15">
        <v>96</v>
      </c>
      <c r="G5" s="58" t="s">
        <v>73</v>
      </c>
      <c r="H5" s="59">
        <v>1200</v>
      </c>
      <c r="I5" s="60" t="s">
        <v>17</v>
      </c>
      <c r="J5" s="61">
        <v>1</v>
      </c>
      <c r="K5" s="17"/>
      <c r="L5" s="17"/>
      <c r="M5" s="17"/>
      <c r="N5" s="17"/>
      <c r="O5" s="18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</row>
    <row r="6" spans="1:38" s="10" customFormat="1" ht="15" x14ac:dyDescent="0.25">
      <c r="A6" s="65"/>
      <c r="B6" s="69"/>
      <c r="C6" s="69"/>
      <c r="D6" s="67"/>
      <c r="E6" s="20" t="s">
        <v>18</v>
      </c>
      <c r="F6" s="49">
        <f>VLOOKUP(F8,CustomerData!$B:$I,4,FALSE)</f>
        <v>1009</v>
      </c>
      <c r="G6" s="49">
        <f>VLOOKUP(G8,CustomerData!$B:$I,4,FALSE)</f>
        <v>1266</v>
      </c>
      <c r="H6" s="49">
        <f>VLOOKUP(H8,CustomerData!$B:$I,4,FALSE)</f>
        <v>1392</v>
      </c>
      <c r="I6" s="49" t="e">
        <f>VLOOKUP(I8,CustomerData!$B:$I,4,FALSE)</f>
        <v>#N/A</v>
      </c>
      <c r="J6" s="49" t="e">
        <f>VLOOKUP(J8,CustomerData!$B:$I,4,FALSE)</f>
        <v>#N/A</v>
      </c>
      <c r="K6" s="49" t="e">
        <f>VLOOKUP(K8,CustomerData!$B:$I,4,FALSE)</f>
        <v>#N/A</v>
      </c>
      <c r="L6" s="49" t="e">
        <f>VLOOKUP(L8,CustomerData!$B:$I,4,FALSE)</f>
        <v>#N/A</v>
      </c>
      <c r="M6" s="49" t="e">
        <f>VLOOKUP(M8,CustomerData!$B:$I,4,FALSE)</f>
        <v>#N/A</v>
      </c>
      <c r="N6" s="49" t="e">
        <f>VLOOKUP(N8,CustomerData!$B:$I,4,FALSE)</f>
        <v>#N/A</v>
      </c>
      <c r="O6" s="49" t="e">
        <f>VLOOKUP(O8,CustomerData!$B:$I,4,FALSE)</f>
        <v>#N/A</v>
      </c>
      <c r="P6" s="49" t="e">
        <f>VLOOKUP(P8,CustomerData!$B:$I,4,FALSE)</f>
        <v>#N/A</v>
      </c>
      <c r="Q6" s="49"/>
      <c r="R6" s="49" t="e">
        <f>VLOOKUP(R8,CustomerData!$B:$I,3,FALSE)</f>
        <v>#N/A</v>
      </c>
      <c r="S6" s="49" t="e">
        <f>VLOOKUP(S8,CustomerData!$B:$I,3,FALSE)</f>
        <v>#N/A</v>
      </c>
      <c r="T6" s="49" t="e">
        <f>VLOOKUP(T8,CustomerData!$B:$I,3,FALSE)</f>
        <v>#N/A</v>
      </c>
      <c r="U6" s="49" t="e">
        <f>VLOOKUP(U8,CustomerData!$B:$I,3,FALSE)</f>
        <v>#N/A</v>
      </c>
      <c r="V6" s="49" t="e">
        <f>VLOOKUP(V8,CustomerData!$B:$I,3,FALSE)</f>
        <v>#N/A</v>
      </c>
      <c r="W6" s="49" t="e">
        <f>VLOOKUP(W8,CustomerData!$B:$I,3,FALSE)</f>
        <v>#N/A</v>
      </c>
      <c r="X6" s="49" t="e">
        <f>VLOOKUP(X8,CustomerData!$B:$I,3,FALSE)</f>
        <v>#N/A</v>
      </c>
      <c r="Y6" s="49" t="e">
        <f>VLOOKUP(Y8,CustomerData!$B:$I,3,FALSE)</f>
        <v>#N/A</v>
      </c>
      <c r="Z6" s="49" t="e">
        <f>VLOOKUP(Z8,CustomerData!$B:$I,3,FALSE)</f>
        <v>#N/A</v>
      </c>
      <c r="AA6" s="49" t="e">
        <f>VLOOKUP(AA8,CustomerData!$B:$I,3,FALSE)</f>
        <v>#N/A</v>
      </c>
      <c r="AB6" s="49" t="e">
        <f>VLOOKUP(AB8,CustomerData!$B:$I,3,FALSE)</f>
        <v>#N/A</v>
      </c>
      <c r="AC6" s="49" t="e">
        <f>VLOOKUP(AC8,CustomerData!$B:$I,3,FALSE)</f>
        <v>#N/A</v>
      </c>
      <c r="AD6" s="49" t="e">
        <f>VLOOKUP(AD8,CustomerData!$B:$I,3,FALSE)</f>
        <v>#N/A</v>
      </c>
      <c r="AE6" s="49" t="e">
        <f>VLOOKUP(AE8,CustomerData!$B:$I,3,FALSE)</f>
        <v>#N/A</v>
      </c>
      <c r="AF6" s="49" t="e">
        <f>VLOOKUP(AF8,CustomerData!$B:$I,3,FALSE)</f>
        <v>#N/A</v>
      </c>
      <c r="AG6" s="49" t="e">
        <f>VLOOKUP(AG8,CustomerData!$B:$I,3,FALSE)</f>
        <v>#N/A</v>
      </c>
      <c r="AH6" s="49" t="e">
        <f>VLOOKUP(AH8,CustomerData!$B:$I,3,FALSE)</f>
        <v>#N/A</v>
      </c>
      <c r="AI6" s="49" t="e">
        <f>VLOOKUP(AI8,CustomerData!$B:$I,3,FALSE)</f>
        <v>#N/A</v>
      </c>
      <c r="AJ6" s="49" t="e">
        <f>VLOOKUP(AJ8,CustomerData!$B:$I,3,FALSE)</f>
        <v>#N/A</v>
      </c>
      <c r="AK6" s="49" t="e">
        <f>VLOOKUP(AK8,CustomerData!$B:$I,3,FALSE)</f>
        <v>#N/A</v>
      </c>
      <c r="AL6" s="49" t="e">
        <f>VLOOKUP(AL8,CustomerData!$B:$I,3,FALSE)</f>
        <v>#N/A</v>
      </c>
    </row>
    <row r="7" spans="1:38" s="10" customFormat="1" ht="18.75" x14ac:dyDescent="0.25">
      <c r="A7" s="66"/>
      <c r="B7" s="70"/>
      <c r="C7" s="70"/>
      <c r="D7" s="68"/>
      <c r="E7" s="21" t="s">
        <v>19</v>
      </c>
      <c r="F7" s="50" t="str">
        <f>VLOOKUP(F8,CustomerData!$B:$I,8,FALSE)</f>
        <v xml:space="preserve">LT        </v>
      </c>
      <c r="G7" s="50" t="str">
        <f>VLOOKUP(G8,CustomerData!$B:$I,8,FALSE)</f>
        <v xml:space="preserve">LT        </v>
      </c>
      <c r="H7" s="50" t="str">
        <f>VLOOKUP(H8,CustomerData!$B:$I,8,FALSE)</f>
        <v xml:space="preserve">ST        </v>
      </c>
      <c r="I7" s="50" t="e">
        <f>VLOOKUP(I8,CustomerData!$B:$I,8,FALSE)</f>
        <v>#N/A</v>
      </c>
      <c r="J7" s="50" t="e">
        <f>VLOOKUP(J8,CustomerData!$B:$I,8,FALSE)</f>
        <v>#N/A</v>
      </c>
      <c r="K7" s="50" t="e">
        <f>VLOOKUP(K8,CustomerData!$B:$I,8,FALSE)</f>
        <v>#N/A</v>
      </c>
      <c r="L7" s="50" t="e">
        <f>VLOOKUP(L8,CustomerData!$B:$I,8,FALSE)</f>
        <v>#N/A</v>
      </c>
      <c r="M7" s="50" t="e">
        <f>VLOOKUP(M8,CustomerData!$B:$I,8,FALSE)</f>
        <v>#N/A</v>
      </c>
      <c r="N7" s="50" t="e">
        <f>VLOOKUP(N8,CustomerData!$B:$I,8,FALSE)</f>
        <v>#N/A</v>
      </c>
      <c r="O7" s="50" t="e">
        <f>VLOOKUP(O8,CustomerData!$B:$I,8,FALSE)</f>
        <v>#N/A</v>
      </c>
      <c r="P7" s="50" t="e">
        <f>VLOOKUP(P8,CustomerData!$B:$I,8,FALSE)</f>
        <v>#N/A</v>
      </c>
      <c r="Q7" s="50"/>
      <c r="R7" s="50" t="e">
        <f>VLOOKUP(R8,CustomerData!$B:$I,8,FALSE)</f>
        <v>#N/A</v>
      </c>
      <c r="S7" s="50" t="e">
        <f>VLOOKUP(S8,CustomerData!$B:$I,8,FALSE)</f>
        <v>#N/A</v>
      </c>
      <c r="T7" s="50" t="e">
        <f>VLOOKUP(T8,CustomerData!$B:$I,8,FALSE)</f>
        <v>#N/A</v>
      </c>
      <c r="U7" s="50" t="e">
        <f>VLOOKUP(U8,CustomerData!$B:$I,8,FALSE)</f>
        <v>#N/A</v>
      </c>
      <c r="V7" s="50" t="e">
        <f>VLOOKUP(V8,CustomerData!$B:$I,8,FALSE)</f>
        <v>#N/A</v>
      </c>
      <c r="W7" s="50" t="e">
        <f>VLOOKUP(W8,CustomerData!$B:$I,8,FALSE)</f>
        <v>#N/A</v>
      </c>
      <c r="X7" s="50" t="e">
        <f>VLOOKUP(X8,CustomerData!$B:$I,8,FALSE)</f>
        <v>#N/A</v>
      </c>
      <c r="Y7" s="50" t="e">
        <f>VLOOKUP(Y8,CustomerData!$B:$I,8,FALSE)</f>
        <v>#N/A</v>
      </c>
      <c r="Z7" s="50" t="e">
        <f>VLOOKUP(Z8,CustomerData!$B:$I,8,FALSE)</f>
        <v>#N/A</v>
      </c>
      <c r="AA7" s="50" t="e">
        <f>VLOOKUP(AA8,CustomerData!$B:$I,8,FALSE)</f>
        <v>#N/A</v>
      </c>
      <c r="AB7" s="50" t="e">
        <f>VLOOKUP(AB8,CustomerData!$B:$I,8,FALSE)</f>
        <v>#N/A</v>
      </c>
      <c r="AC7" s="50" t="e">
        <f>VLOOKUP(AC8,CustomerData!$B:$I,8,FALSE)</f>
        <v>#N/A</v>
      </c>
      <c r="AD7" s="50" t="e">
        <f>VLOOKUP(AD8,CustomerData!$B:$I,8,FALSE)</f>
        <v>#N/A</v>
      </c>
      <c r="AE7" s="50" t="e">
        <f>VLOOKUP(AE8,CustomerData!$B:$I,8,FALSE)</f>
        <v>#N/A</v>
      </c>
      <c r="AF7" s="50" t="e">
        <f>VLOOKUP(AF8,CustomerData!$B:$I,8,FALSE)</f>
        <v>#N/A</v>
      </c>
      <c r="AG7" s="50" t="e">
        <f>VLOOKUP(AG8,CustomerData!$B:$I,8,FALSE)</f>
        <v>#N/A</v>
      </c>
      <c r="AH7" s="50" t="e">
        <f>VLOOKUP(AH8,CustomerData!$B:$I,8,FALSE)</f>
        <v>#N/A</v>
      </c>
      <c r="AI7" s="50" t="e">
        <f>VLOOKUP(AI8,CustomerData!$B:$I,8,FALSE)</f>
        <v>#N/A</v>
      </c>
      <c r="AJ7" s="50" t="e">
        <f>VLOOKUP(AJ8,CustomerData!$B:$I,8,FALSE)</f>
        <v>#N/A</v>
      </c>
      <c r="AK7" s="50" t="e">
        <f>VLOOKUP(AK8,CustomerData!$B:$I,8,FALSE)</f>
        <v>#N/A</v>
      </c>
      <c r="AL7" s="50" t="e">
        <f>VLOOKUP(AL8,CustomerData!$B:$I,8,FALSE)</f>
        <v>#N/A</v>
      </c>
    </row>
    <row r="8" spans="1:38" s="10" customFormat="1" ht="28.5" customHeight="1" x14ac:dyDescent="0.25">
      <c r="A8" s="22" t="s">
        <v>20</v>
      </c>
      <c r="B8" s="23" t="s">
        <v>14</v>
      </c>
      <c r="C8" s="23" t="s">
        <v>16</v>
      </c>
      <c r="D8" s="23" t="s">
        <v>21</v>
      </c>
      <c r="E8" s="22" t="s">
        <v>22</v>
      </c>
      <c r="F8" s="22" t="s">
        <v>550</v>
      </c>
      <c r="G8" s="22" t="s">
        <v>553</v>
      </c>
      <c r="H8" s="22" t="s">
        <v>613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10" customFormat="1" ht="15" x14ac:dyDescent="0.25">
      <c r="A9" s="24">
        <v>1</v>
      </c>
      <c r="B9" s="25">
        <v>0</v>
      </c>
      <c r="C9" s="25">
        <v>0.15</v>
      </c>
      <c r="D9" s="118">
        <f>SUM(F9:AL9)</f>
        <v>1200</v>
      </c>
      <c r="E9" s="26">
        <v>4.6500000000000004</v>
      </c>
      <c r="F9" s="25">
        <v>1000</v>
      </c>
      <c r="G9" s="25">
        <v>200</v>
      </c>
      <c r="H9" s="27">
        <v>0</v>
      </c>
      <c r="I9" s="27"/>
      <c r="J9" s="27"/>
      <c r="K9" s="27"/>
      <c r="L9" s="27"/>
      <c r="M9" s="27"/>
      <c r="N9" s="27"/>
      <c r="O9" s="27"/>
      <c r="P9" s="27"/>
      <c r="Q9" s="27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</row>
    <row r="10" spans="1:38" s="10" customFormat="1" ht="15" x14ac:dyDescent="0.25">
      <c r="A10" s="24">
        <v>2</v>
      </c>
      <c r="B10" s="25">
        <v>0.15</v>
      </c>
      <c r="C10" s="25">
        <v>0.3</v>
      </c>
      <c r="D10" s="118">
        <f t="shared" ref="D10:D73" si="0">SUM(F10:AL10)</f>
        <v>1200</v>
      </c>
      <c r="E10" s="26">
        <v>4.6500000000000004</v>
      </c>
      <c r="F10" s="25">
        <v>1000</v>
      </c>
      <c r="G10" s="25">
        <v>200</v>
      </c>
      <c r="H10" s="27">
        <v>0</v>
      </c>
      <c r="I10" s="27"/>
      <c r="J10" s="27"/>
      <c r="K10" s="27"/>
      <c r="L10" s="27"/>
      <c r="M10" s="27"/>
      <c r="N10" s="27"/>
      <c r="O10" s="27"/>
      <c r="P10" s="27"/>
      <c r="Q10" s="27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</row>
    <row r="11" spans="1:38" s="10" customFormat="1" ht="15" x14ac:dyDescent="0.25">
      <c r="A11" s="24">
        <v>3</v>
      </c>
      <c r="B11" s="25">
        <v>0.3</v>
      </c>
      <c r="C11" s="25">
        <v>0.45</v>
      </c>
      <c r="D11" s="118">
        <f t="shared" si="0"/>
        <v>1200</v>
      </c>
      <c r="E11" s="26">
        <v>4.6500000000000004</v>
      </c>
      <c r="F11" s="25">
        <v>1000</v>
      </c>
      <c r="G11" s="25">
        <v>200</v>
      </c>
      <c r="H11" s="27">
        <v>0</v>
      </c>
      <c r="I11" s="27"/>
      <c r="J11" s="27"/>
      <c r="K11" s="27"/>
      <c r="L11" s="27"/>
      <c r="M11" s="27"/>
      <c r="N11" s="27"/>
      <c r="O11" s="27"/>
      <c r="P11" s="27"/>
      <c r="Q11" s="27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</row>
    <row r="12" spans="1:38" s="10" customFormat="1" ht="15" x14ac:dyDescent="0.25">
      <c r="A12" s="24">
        <v>4</v>
      </c>
      <c r="B12" s="25">
        <v>0.45</v>
      </c>
      <c r="C12" s="25">
        <v>1</v>
      </c>
      <c r="D12" s="118">
        <f t="shared" si="0"/>
        <v>1200</v>
      </c>
      <c r="E12" s="26">
        <v>4.6500000000000004</v>
      </c>
      <c r="F12" s="25">
        <v>1000</v>
      </c>
      <c r="G12" s="25">
        <v>200</v>
      </c>
      <c r="H12" s="27">
        <v>0</v>
      </c>
      <c r="I12" s="27"/>
      <c r="J12" s="27"/>
      <c r="K12" s="27"/>
      <c r="L12" s="27"/>
      <c r="M12" s="27"/>
      <c r="N12" s="27"/>
      <c r="O12" s="27"/>
      <c r="P12" s="27"/>
      <c r="Q12" s="27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</row>
    <row r="13" spans="1:38" s="10" customFormat="1" ht="15" x14ac:dyDescent="0.25">
      <c r="A13" s="24">
        <v>5</v>
      </c>
      <c r="B13" s="25">
        <v>1</v>
      </c>
      <c r="C13" s="25">
        <v>1.1499999999999999</v>
      </c>
      <c r="D13" s="118">
        <f t="shared" si="0"/>
        <v>1200</v>
      </c>
      <c r="E13" s="26">
        <v>4.6500000000000004</v>
      </c>
      <c r="F13" s="25">
        <v>1000</v>
      </c>
      <c r="G13" s="25">
        <v>200</v>
      </c>
      <c r="H13" s="27">
        <v>0</v>
      </c>
      <c r="I13" s="27"/>
      <c r="J13" s="27"/>
      <c r="K13" s="27"/>
      <c r="L13" s="27"/>
      <c r="M13" s="27"/>
      <c r="N13" s="27"/>
      <c r="O13" s="27"/>
      <c r="P13" s="27"/>
      <c r="Q13" s="27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</row>
    <row r="14" spans="1:38" s="10" customFormat="1" ht="15" x14ac:dyDescent="0.25">
      <c r="A14" s="24">
        <v>6</v>
      </c>
      <c r="B14" s="25">
        <v>1.1499999999999999</v>
      </c>
      <c r="C14" s="25">
        <v>1.3</v>
      </c>
      <c r="D14" s="118">
        <f t="shared" si="0"/>
        <v>1200</v>
      </c>
      <c r="E14" s="26">
        <v>4.6500000000000004</v>
      </c>
      <c r="F14" s="25">
        <v>1000</v>
      </c>
      <c r="G14" s="25">
        <v>200</v>
      </c>
      <c r="H14" s="27">
        <v>0</v>
      </c>
      <c r="I14" s="27"/>
      <c r="J14" s="27"/>
      <c r="K14" s="27"/>
      <c r="L14" s="27"/>
      <c r="M14" s="27"/>
      <c r="N14" s="27"/>
      <c r="O14" s="27"/>
      <c r="P14" s="27"/>
      <c r="Q14" s="27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</row>
    <row r="15" spans="1:38" s="10" customFormat="1" ht="15" x14ac:dyDescent="0.25">
      <c r="A15" s="24">
        <v>7</v>
      </c>
      <c r="B15" s="25">
        <v>1.3</v>
      </c>
      <c r="C15" s="25">
        <v>1.45</v>
      </c>
      <c r="D15" s="118">
        <f t="shared" si="0"/>
        <v>1200</v>
      </c>
      <c r="E15" s="26">
        <v>4.6500000000000004</v>
      </c>
      <c r="F15" s="25">
        <v>1000</v>
      </c>
      <c r="G15" s="25">
        <v>200</v>
      </c>
      <c r="H15" s="27">
        <v>0</v>
      </c>
      <c r="I15" s="27"/>
      <c r="J15" s="27"/>
      <c r="K15" s="27"/>
      <c r="L15" s="27"/>
      <c r="M15" s="27"/>
      <c r="N15" s="27"/>
      <c r="O15" s="27"/>
      <c r="P15" s="27"/>
      <c r="Q15" s="27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</row>
    <row r="16" spans="1:38" s="10" customFormat="1" ht="15" x14ac:dyDescent="0.25">
      <c r="A16" s="24">
        <v>8</v>
      </c>
      <c r="B16" s="25">
        <v>1.45</v>
      </c>
      <c r="C16" s="25">
        <v>2</v>
      </c>
      <c r="D16" s="118">
        <f t="shared" si="0"/>
        <v>1200</v>
      </c>
      <c r="E16" s="26">
        <v>4.6500000000000004</v>
      </c>
      <c r="F16" s="25">
        <v>1000</v>
      </c>
      <c r="G16" s="25">
        <v>200</v>
      </c>
      <c r="H16" s="27">
        <v>0</v>
      </c>
      <c r="I16" s="27"/>
      <c r="J16" s="27"/>
      <c r="K16" s="27"/>
      <c r="L16" s="27"/>
      <c r="M16" s="27"/>
      <c r="N16" s="27"/>
      <c r="O16" s="27"/>
      <c r="P16" s="27"/>
      <c r="Q16" s="27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</row>
    <row r="17" spans="1:38" s="10" customFormat="1" ht="15" x14ac:dyDescent="0.25">
      <c r="A17" s="24">
        <v>9</v>
      </c>
      <c r="B17" s="25">
        <v>2</v>
      </c>
      <c r="C17" s="25">
        <v>2.15</v>
      </c>
      <c r="D17" s="118">
        <f t="shared" si="0"/>
        <v>1200</v>
      </c>
      <c r="E17" s="26">
        <v>4.6500000000000004</v>
      </c>
      <c r="F17" s="25">
        <v>1000</v>
      </c>
      <c r="G17" s="25">
        <v>200</v>
      </c>
      <c r="H17" s="27">
        <v>0</v>
      </c>
      <c r="I17" s="27"/>
      <c r="J17" s="27"/>
      <c r="K17" s="27"/>
      <c r="L17" s="27"/>
      <c r="M17" s="27"/>
      <c r="N17" s="27"/>
      <c r="O17" s="27"/>
      <c r="P17" s="27"/>
      <c r="Q17" s="27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</row>
    <row r="18" spans="1:38" s="10" customFormat="1" ht="15" x14ac:dyDescent="0.25">
      <c r="A18" s="24">
        <v>10</v>
      </c>
      <c r="B18" s="25">
        <v>2.15</v>
      </c>
      <c r="C18" s="25">
        <v>2.2999999999999998</v>
      </c>
      <c r="D18" s="118">
        <f t="shared" si="0"/>
        <v>1200</v>
      </c>
      <c r="E18" s="26">
        <v>4.6500000000000004</v>
      </c>
      <c r="F18" s="25">
        <v>1000</v>
      </c>
      <c r="G18" s="25">
        <v>200</v>
      </c>
      <c r="H18" s="27">
        <v>0</v>
      </c>
      <c r="I18" s="27"/>
      <c r="J18" s="27"/>
      <c r="K18" s="27"/>
      <c r="L18" s="27"/>
      <c r="M18" s="27"/>
      <c r="N18" s="27"/>
      <c r="O18" s="27"/>
      <c r="P18" s="27"/>
      <c r="Q18" s="27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</row>
    <row r="19" spans="1:38" s="10" customFormat="1" ht="15" x14ac:dyDescent="0.25">
      <c r="A19" s="24">
        <v>11</v>
      </c>
      <c r="B19" s="25">
        <v>2.2999999999999998</v>
      </c>
      <c r="C19" s="25">
        <v>2.4500000000000002</v>
      </c>
      <c r="D19" s="118">
        <f t="shared" si="0"/>
        <v>1200</v>
      </c>
      <c r="E19" s="26">
        <v>4.6500000000000004</v>
      </c>
      <c r="F19" s="25">
        <v>1000</v>
      </c>
      <c r="G19" s="25">
        <v>200</v>
      </c>
      <c r="H19" s="27">
        <v>0</v>
      </c>
      <c r="I19" s="27"/>
      <c r="J19" s="27"/>
      <c r="K19" s="27"/>
      <c r="L19" s="27"/>
      <c r="M19" s="27"/>
      <c r="N19" s="27"/>
      <c r="O19" s="27"/>
      <c r="P19" s="27"/>
      <c r="Q19" s="27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</row>
    <row r="20" spans="1:38" s="10" customFormat="1" ht="15" x14ac:dyDescent="0.25">
      <c r="A20" s="24">
        <v>12</v>
      </c>
      <c r="B20" s="25">
        <v>2.4500000000000002</v>
      </c>
      <c r="C20" s="25">
        <v>3</v>
      </c>
      <c r="D20" s="118">
        <f t="shared" si="0"/>
        <v>1200</v>
      </c>
      <c r="E20" s="26">
        <v>4.6500000000000004</v>
      </c>
      <c r="F20" s="25">
        <v>1000</v>
      </c>
      <c r="G20" s="25">
        <v>200</v>
      </c>
      <c r="H20" s="27">
        <v>0</v>
      </c>
      <c r="I20" s="27"/>
      <c r="J20" s="27"/>
      <c r="K20" s="27"/>
      <c r="L20" s="27"/>
      <c r="M20" s="27"/>
      <c r="N20" s="27"/>
      <c r="O20" s="27"/>
      <c r="P20" s="27"/>
      <c r="Q20" s="27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</row>
    <row r="21" spans="1:38" s="10" customFormat="1" ht="15" x14ac:dyDescent="0.25">
      <c r="A21" s="24">
        <v>13</v>
      </c>
      <c r="B21" s="25">
        <v>3</v>
      </c>
      <c r="C21" s="25">
        <v>3.15</v>
      </c>
      <c r="D21" s="118">
        <f t="shared" si="0"/>
        <v>1200</v>
      </c>
      <c r="E21" s="26">
        <v>4.6500000000000004</v>
      </c>
      <c r="F21" s="25">
        <v>1000</v>
      </c>
      <c r="G21" s="25">
        <v>200</v>
      </c>
      <c r="H21" s="27">
        <v>0</v>
      </c>
      <c r="I21" s="27"/>
      <c r="J21" s="27"/>
      <c r="K21" s="27"/>
      <c r="L21" s="27"/>
      <c r="M21" s="27"/>
      <c r="N21" s="27"/>
      <c r="O21" s="27"/>
      <c r="P21" s="27"/>
      <c r="Q21" s="27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</row>
    <row r="22" spans="1:38" s="10" customFormat="1" ht="15" x14ac:dyDescent="0.25">
      <c r="A22" s="24">
        <v>14</v>
      </c>
      <c r="B22" s="25">
        <v>3.15</v>
      </c>
      <c r="C22" s="25">
        <v>3.3</v>
      </c>
      <c r="D22" s="118">
        <f t="shared" si="0"/>
        <v>1200</v>
      </c>
      <c r="E22" s="26">
        <v>4.6500000000000004</v>
      </c>
      <c r="F22" s="25">
        <v>1000</v>
      </c>
      <c r="G22" s="25">
        <v>200</v>
      </c>
      <c r="H22" s="27">
        <v>0</v>
      </c>
      <c r="I22" s="27"/>
      <c r="J22" s="27"/>
      <c r="K22" s="27"/>
      <c r="L22" s="27"/>
      <c r="M22" s="27"/>
      <c r="N22" s="27"/>
      <c r="O22" s="27"/>
      <c r="P22" s="27"/>
      <c r="Q22" s="27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</row>
    <row r="23" spans="1:38" s="10" customFormat="1" ht="15" x14ac:dyDescent="0.25">
      <c r="A23" s="24">
        <v>15</v>
      </c>
      <c r="B23" s="25">
        <v>3.3</v>
      </c>
      <c r="C23" s="25">
        <v>3.45</v>
      </c>
      <c r="D23" s="118">
        <f t="shared" si="0"/>
        <v>1200</v>
      </c>
      <c r="E23" s="26">
        <v>4.6500000000000004</v>
      </c>
      <c r="F23" s="25">
        <v>1000</v>
      </c>
      <c r="G23" s="25">
        <v>200</v>
      </c>
      <c r="H23" s="27">
        <v>0</v>
      </c>
      <c r="I23" s="27"/>
      <c r="J23" s="27"/>
      <c r="K23" s="27"/>
      <c r="L23" s="27"/>
      <c r="M23" s="27"/>
      <c r="N23" s="27"/>
      <c r="O23" s="27"/>
      <c r="P23" s="27"/>
      <c r="Q23" s="27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</row>
    <row r="24" spans="1:38" s="10" customFormat="1" ht="15" x14ac:dyDescent="0.25">
      <c r="A24" s="24">
        <v>16</v>
      </c>
      <c r="B24" s="25">
        <v>3.45</v>
      </c>
      <c r="C24" s="25">
        <v>4</v>
      </c>
      <c r="D24" s="118">
        <f t="shared" si="0"/>
        <v>1200</v>
      </c>
      <c r="E24" s="26">
        <v>4.6500000000000004</v>
      </c>
      <c r="F24" s="25">
        <v>1000</v>
      </c>
      <c r="G24" s="25">
        <v>200</v>
      </c>
      <c r="H24" s="27">
        <v>0</v>
      </c>
      <c r="I24" s="27"/>
      <c r="J24" s="27"/>
      <c r="K24" s="27"/>
      <c r="L24" s="27"/>
      <c r="M24" s="27"/>
      <c r="N24" s="27"/>
      <c r="O24" s="27"/>
      <c r="P24" s="27"/>
      <c r="Q24" s="27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</row>
    <row r="25" spans="1:38" s="10" customFormat="1" ht="15" x14ac:dyDescent="0.25">
      <c r="A25" s="24">
        <v>17</v>
      </c>
      <c r="B25" s="25">
        <v>4</v>
      </c>
      <c r="C25" s="25">
        <v>4.1500000000000004</v>
      </c>
      <c r="D25" s="118">
        <f t="shared" si="0"/>
        <v>1200</v>
      </c>
      <c r="E25" s="26">
        <v>4.6500000000000004</v>
      </c>
      <c r="F25" s="25">
        <v>1000</v>
      </c>
      <c r="G25" s="25">
        <v>200</v>
      </c>
      <c r="H25" s="27">
        <v>0</v>
      </c>
      <c r="I25" s="27"/>
      <c r="J25" s="27"/>
      <c r="K25" s="27"/>
      <c r="L25" s="27"/>
      <c r="M25" s="27"/>
      <c r="N25" s="27"/>
      <c r="O25" s="27"/>
      <c r="P25" s="27"/>
      <c r="Q25" s="27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</row>
    <row r="26" spans="1:38" s="10" customFormat="1" ht="15" x14ac:dyDescent="0.25">
      <c r="A26" s="24">
        <v>18</v>
      </c>
      <c r="B26" s="25">
        <v>4.1500000000000004</v>
      </c>
      <c r="C26" s="25">
        <v>4.3</v>
      </c>
      <c r="D26" s="118">
        <f t="shared" si="0"/>
        <v>1200</v>
      </c>
      <c r="E26" s="26">
        <v>4.6500000000000004</v>
      </c>
      <c r="F26" s="25">
        <v>1000</v>
      </c>
      <c r="G26" s="25">
        <v>200</v>
      </c>
      <c r="H26" s="27">
        <v>0</v>
      </c>
      <c r="I26" s="27"/>
      <c r="J26" s="27"/>
      <c r="K26" s="27"/>
      <c r="L26" s="27"/>
      <c r="M26" s="27"/>
      <c r="N26" s="27"/>
      <c r="O26" s="27"/>
      <c r="P26" s="27"/>
      <c r="Q26" s="27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</row>
    <row r="27" spans="1:38" s="10" customFormat="1" ht="15" x14ac:dyDescent="0.25">
      <c r="A27" s="24">
        <v>19</v>
      </c>
      <c r="B27" s="25">
        <v>4.3</v>
      </c>
      <c r="C27" s="25">
        <v>4.45</v>
      </c>
      <c r="D27" s="118">
        <f t="shared" si="0"/>
        <v>1200</v>
      </c>
      <c r="E27" s="26">
        <v>4.6500000000000004</v>
      </c>
      <c r="F27" s="25">
        <v>1000</v>
      </c>
      <c r="G27" s="25">
        <v>200</v>
      </c>
      <c r="H27" s="27">
        <v>0</v>
      </c>
      <c r="I27" s="27"/>
      <c r="J27" s="27"/>
      <c r="K27" s="27"/>
      <c r="L27" s="27"/>
      <c r="M27" s="27"/>
      <c r="N27" s="27"/>
      <c r="O27" s="27"/>
      <c r="P27" s="27"/>
      <c r="Q27" s="27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</row>
    <row r="28" spans="1:38" s="10" customFormat="1" ht="15" x14ac:dyDescent="0.25">
      <c r="A28" s="24">
        <v>20</v>
      </c>
      <c r="B28" s="25">
        <v>4.45</v>
      </c>
      <c r="C28" s="25">
        <v>5</v>
      </c>
      <c r="D28" s="118">
        <f t="shared" si="0"/>
        <v>1200</v>
      </c>
      <c r="E28" s="26">
        <v>4.6500000000000004</v>
      </c>
      <c r="F28" s="25">
        <v>1000</v>
      </c>
      <c r="G28" s="25">
        <v>200</v>
      </c>
      <c r="H28" s="27">
        <v>0</v>
      </c>
      <c r="I28" s="27"/>
      <c r="J28" s="27"/>
      <c r="K28" s="27"/>
      <c r="L28" s="27"/>
      <c r="M28" s="27"/>
      <c r="N28" s="27"/>
      <c r="O28" s="27"/>
      <c r="P28" s="27"/>
      <c r="Q28" s="27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</row>
    <row r="29" spans="1:38" s="10" customFormat="1" ht="15" x14ac:dyDescent="0.25">
      <c r="A29" s="24">
        <v>21</v>
      </c>
      <c r="B29" s="25">
        <v>5</v>
      </c>
      <c r="C29" s="25">
        <v>5.15</v>
      </c>
      <c r="D29" s="118">
        <f t="shared" si="0"/>
        <v>1200</v>
      </c>
      <c r="E29" s="26">
        <v>4.6500000000000004</v>
      </c>
      <c r="F29" s="25">
        <v>1000</v>
      </c>
      <c r="G29" s="25">
        <v>200</v>
      </c>
      <c r="H29" s="27">
        <v>0</v>
      </c>
      <c r="I29" s="27"/>
      <c r="J29" s="27"/>
      <c r="K29" s="27"/>
      <c r="L29" s="27"/>
      <c r="M29" s="27"/>
      <c r="N29" s="27"/>
      <c r="O29" s="27"/>
      <c r="P29" s="27"/>
      <c r="Q29" s="27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</row>
    <row r="30" spans="1:38" s="10" customFormat="1" ht="15" x14ac:dyDescent="0.25">
      <c r="A30" s="24">
        <v>22</v>
      </c>
      <c r="B30" s="25">
        <v>5.15</v>
      </c>
      <c r="C30" s="25">
        <v>5.3</v>
      </c>
      <c r="D30" s="118">
        <f t="shared" si="0"/>
        <v>1200</v>
      </c>
      <c r="E30" s="26">
        <v>4.6500000000000004</v>
      </c>
      <c r="F30" s="25">
        <v>1000</v>
      </c>
      <c r="G30" s="25">
        <v>200</v>
      </c>
      <c r="H30" s="27">
        <v>0</v>
      </c>
      <c r="I30" s="27"/>
      <c r="J30" s="27"/>
      <c r="K30" s="27"/>
      <c r="L30" s="27"/>
      <c r="M30" s="27"/>
      <c r="N30" s="27"/>
      <c r="O30" s="27"/>
      <c r="P30" s="27"/>
      <c r="Q30" s="27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</row>
    <row r="31" spans="1:38" s="10" customFormat="1" ht="15" x14ac:dyDescent="0.25">
      <c r="A31" s="24">
        <v>23</v>
      </c>
      <c r="B31" s="25">
        <v>5.3</v>
      </c>
      <c r="C31" s="25">
        <v>5.45</v>
      </c>
      <c r="D31" s="118">
        <f t="shared" si="0"/>
        <v>1200</v>
      </c>
      <c r="E31" s="26">
        <v>4.6500000000000004</v>
      </c>
      <c r="F31" s="25">
        <v>1000</v>
      </c>
      <c r="G31" s="25">
        <v>200</v>
      </c>
      <c r="H31" s="27">
        <v>0</v>
      </c>
      <c r="I31" s="27"/>
      <c r="J31" s="27"/>
      <c r="K31" s="27"/>
      <c r="L31" s="27"/>
      <c r="M31" s="27"/>
      <c r="N31" s="27"/>
      <c r="O31" s="27"/>
      <c r="P31" s="27"/>
      <c r="Q31" s="27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</row>
    <row r="32" spans="1:38" s="10" customFormat="1" ht="15" x14ac:dyDescent="0.25">
      <c r="A32" s="24">
        <v>24</v>
      </c>
      <c r="B32" s="25">
        <v>5.45</v>
      </c>
      <c r="C32" s="25">
        <v>6</v>
      </c>
      <c r="D32" s="118">
        <f t="shared" si="0"/>
        <v>1200</v>
      </c>
      <c r="E32" s="26">
        <v>4.6500000000000004</v>
      </c>
      <c r="F32" s="25">
        <v>1000</v>
      </c>
      <c r="G32" s="25">
        <v>200</v>
      </c>
      <c r="H32" s="27">
        <v>0</v>
      </c>
      <c r="I32" s="27"/>
      <c r="J32" s="27"/>
      <c r="K32" s="27"/>
      <c r="L32" s="27"/>
      <c r="M32" s="27"/>
      <c r="N32" s="27"/>
      <c r="O32" s="27"/>
      <c r="P32" s="27"/>
      <c r="Q32" s="27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</row>
    <row r="33" spans="1:38" s="10" customFormat="1" ht="15" x14ac:dyDescent="0.25">
      <c r="A33" s="24">
        <v>25</v>
      </c>
      <c r="B33" s="25">
        <v>6</v>
      </c>
      <c r="C33" s="25">
        <v>6.15</v>
      </c>
      <c r="D33" s="118">
        <f t="shared" si="0"/>
        <v>1200</v>
      </c>
      <c r="E33" s="26">
        <v>4.6500000000000004</v>
      </c>
      <c r="F33" s="25">
        <v>1000</v>
      </c>
      <c r="G33" s="25">
        <v>200</v>
      </c>
      <c r="H33" s="27">
        <v>0</v>
      </c>
      <c r="I33" s="27"/>
      <c r="J33" s="27"/>
      <c r="K33" s="27"/>
      <c r="L33" s="27"/>
      <c r="M33" s="27"/>
      <c r="N33" s="27"/>
      <c r="O33" s="27"/>
      <c r="P33" s="27"/>
      <c r="Q33" s="27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</row>
    <row r="34" spans="1:38" s="10" customFormat="1" ht="15" x14ac:dyDescent="0.25">
      <c r="A34" s="24">
        <v>26</v>
      </c>
      <c r="B34" s="25">
        <v>6.15</v>
      </c>
      <c r="C34" s="25">
        <v>6.3</v>
      </c>
      <c r="D34" s="118">
        <f t="shared" si="0"/>
        <v>1200</v>
      </c>
      <c r="E34" s="26">
        <v>4.6500000000000004</v>
      </c>
      <c r="F34" s="25">
        <v>1000</v>
      </c>
      <c r="G34" s="25">
        <v>200</v>
      </c>
      <c r="H34" s="27">
        <v>0</v>
      </c>
      <c r="I34" s="27"/>
      <c r="J34" s="27"/>
      <c r="K34" s="27"/>
      <c r="L34" s="27"/>
      <c r="M34" s="27"/>
      <c r="N34" s="27"/>
      <c r="O34" s="27"/>
      <c r="P34" s="27"/>
      <c r="Q34" s="27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</row>
    <row r="35" spans="1:38" s="10" customFormat="1" ht="15" x14ac:dyDescent="0.25">
      <c r="A35" s="24">
        <v>27</v>
      </c>
      <c r="B35" s="25">
        <v>6.3</v>
      </c>
      <c r="C35" s="25">
        <v>6.45</v>
      </c>
      <c r="D35" s="118">
        <f t="shared" si="0"/>
        <v>1200</v>
      </c>
      <c r="E35" s="26">
        <v>4.6500000000000004</v>
      </c>
      <c r="F35" s="25">
        <v>1000</v>
      </c>
      <c r="G35" s="25">
        <v>200</v>
      </c>
      <c r="H35" s="27">
        <v>0</v>
      </c>
      <c r="I35" s="27"/>
      <c r="J35" s="27"/>
      <c r="K35" s="27"/>
      <c r="L35" s="27"/>
      <c r="M35" s="27"/>
      <c r="N35" s="27"/>
      <c r="O35" s="27"/>
      <c r="P35" s="27"/>
      <c r="Q35" s="27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</row>
    <row r="36" spans="1:38" s="10" customFormat="1" ht="15" x14ac:dyDescent="0.25">
      <c r="A36" s="24">
        <v>28</v>
      </c>
      <c r="B36" s="25">
        <v>6.45</v>
      </c>
      <c r="C36" s="25">
        <v>7</v>
      </c>
      <c r="D36" s="118">
        <f t="shared" si="0"/>
        <v>1200</v>
      </c>
      <c r="E36" s="26">
        <v>4.6500000000000004</v>
      </c>
      <c r="F36" s="25">
        <v>1000</v>
      </c>
      <c r="G36" s="25">
        <v>200</v>
      </c>
      <c r="H36" s="27">
        <v>0</v>
      </c>
      <c r="I36" s="27"/>
      <c r="J36" s="27"/>
      <c r="K36" s="27"/>
      <c r="L36" s="27"/>
      <c r="M36" s="27"/>
      <c r="N36" s="27"/>
      <c r="O36" s="27"/>
      <c r="P36" s="27"/>
      <c r="Q36" s="27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</row>
    <row r="37" spans="1:38" s="10" customFormat="1" ht="15" x14ac:dyDescent="0.25">
      <c r="A37" s="24">
        <v>29</v>
      </c>
      <c r="B37" s="25">
        <v>7</v>
      </c>
      <c r="C37" s="25">
        <v>7.15</v>
      </c>
      <c r="D37" s="118">
        <f t="shared" si="0"/>
        <v>1200</v>
      </c>
      <c r="E37" s="26">
        <v>4.6500000000000004</v>
      </c>
      <c r="F37" s="25">
        <v>1000</v>
      </c>
      <c r="G37" s="25">
        <v>200</v>
      </c>
      <c r="H37" s="27">
        <v>0</v>
      </c>
      <c r="I37" s="27"/>
      <c r="J37" s="27"/>
      <c r="K37" s="27"/>
      <c r="L37" s="27"/>
      <c r="M37" s="27"/>
      <c r="N37" s="27"/>
      <c r="O37" s="27"/>
      <c r="P37" s="27"/>
      <c r="Q37" s="27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</row>
    <row r="38" spans="1:38" s="10" customFormat="1" ht="15" x14ac:dyDescent="0.25">
      <c r="A38" s="24">
        <v>30</v>
      </c>
      <c r="B38" s="25">
        <v>7.15</v>
      </c>
      <c r="C38" s="25">
        <v>7.3</v>
      </c>
      <c r="D38" s="118">
        <f t="shared" si="0"/>
        <v>1200</v>
      </c>
      <c r="E38" s="26">
        <v>4.6500000000000004</v>
      </c>
      <c r="F38" s="25">
        <v>1000</v>
      </c>
      <c r="G38" s="25">
        <v>200</v>
      </c>
      <c r="H38" s="27">
        <v>0</v>
      </c>
      <c r="I38" s="27"/>
      <c r="J38" s="27"/>
      <c r="K38" s="27"/>
      <c r="L38" s="27"/>
      <c r="M38" s="27"/>
      <c r="N38" s="27"/>
      <c r="O38" s="27"/>
      <c r="P38" s="27"/>
      <c r="Q38" s="27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</row>
    <row r="39" spans="1:38" s="10" customFormat="1" ht="15" x14ac:dyDescent="0.25">
      <c r="A39" s="24">
        <v>31</v>
      </c>
      <c r="B39" s="25">
        <v>7.3</v>
      </c>
      <c r="C39" s="25">
        <v>7.45</v>
      </c>
      <c r="D39" s="118">
        <f t="shared" si="0"/>
        <v>1200</v>
      </c>
      <c r="E39" s="26">
        <v>4.6500000000000004</v>
      </c>
      <c r="F39" s="25">
        <v>1000</v>
      </c>
      <c r="G39" s="25">
        <v>200</v>
      </c>
      <c r="H39" s="27">
        <v>0</v>
      </c>
      <c r="I39" s="27"/>
      <c r="J39" s="27"/>
      <c r="K39" s="27"/>
      <c r="L39" s="27"/>
      <c r="M39" s="27"/>
      <c r="N39" s="27"/>
      <c r="O39" s="27"/>
      <c r="P39" s="27"/>
      <c r="Q39" s="27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</row>
    <row r="40" spans="1:38" s="10" customFormat="1" ht="15" x14ac:dyDescent="0.25">
      <c r="A40" s="24">
        <v>32</v>
      </c>
      <c r="B40" s="25">
        <v>7.45</v>
      </c>
      <c r="C40" s="25">
        <v>8</v>
      </c>
      <c r="D40" s="118">
        <f t="shared" si="0"/>
        <v>1200</v>
      </c>
      <c r="E40" s="26">
        <v>4.6500000000000004</v>
      </c>
      <c r="F40" s="25">
        <v>1000</v>
      </c>
      <c r="G40" s="25">
        <v>200</v>
      </c>
      <c r="H40" s="27">
        <v>0</v>
      </c>
      <c r="I40" s="27"/>
      <c r="J40" s="27"/>
      <c r="K40" s="27"/>
      <c r="L40" s="27"/>
      <c r="M40" s="27"/>
      <c r="N40" s="27"/>
      <c r="O40" s="27"/>
      <c r="P40" s="27"/>
      <c r="Q40" s="27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</row>
    <row r="41" spans="1:38" ht="15" x14ac:dyDescent="0.2">
      <c r="A41" s="24">
        <v>33</v>
      </c>
      <c r="B41" s="25">
        <v>8</v>
      </c>
      <c r="C41" s="25">
        <v>8.15</v>
      </c>
      <c r="D41" s="118">
        <f t="shared" si="0"/>
        <v>1200</v>
      </c>
      <c r="E41" s="26">
        <v>4.6500000000000004</v>
      </c>
      <c r="F41" s="25">
        <v>1000</v>
      </c>
      <c r="G41" s="25">
        <v>200</v>
      </c>
      <c r="H41" s="27">
        <v>0</v>
      </c>
      <c r="I41" s="27"/>
      <c r="J41" s="27"/>
      <c r="K41" s="27"/>
      <c r="L41" s="27"/>
      <c r="M41" s="27"/>
      <c r="N41" s="27"/>
      <c r="O41" s="27"/>
      <c r="P41" s="27"/>
      <c r="Q41" s="27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</row>
    <row r="42" spans="1:38" ht="15" x14ac:dyDescent="0.2">
      <c r="A42" s="24">
        <v>34</v>
      </c>
      <c r="B42" s="25">
        <v>8.15</v>
      </c>
      <c r="C42" s="28">
        <v>8.3000000000000007</v>
      </c>
      <c r="D42" s="118">
        <f t="shared" si="0"/>
        <v>1200</v>
      </c>
      <c r="E42" s="26">
        <v>4.6500000000000004</v>
      </c>
      <c r="F42" s="25">
        <v>1000</v>
      </c>
      <c r="G42" s="25">
        <v>200</v>
      </c>
      <c r="H42" s="27">
        <v>0</v>
      </c>
      <c r="I42" s="27"/>
      <c r="J42" s="27"/>
      <c r="K42" s="27"/>
      <c r="L42" s="27"/>
      <c r="M42" s="27"/>
      <c r="N42" s="27"/>
      <c r="O42" s="27"/>
      <c r="P42" s="27"/>
      <c r="Q42" s="27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</row>
    <row r="43" spans="1:38" ht="15" x14ac:dyDescent="0.2">
      <c r="A43" s="24">
        <v>35</v>
      </c>
      <c r="B43" s="25">
        <v>8.3000000000000007</v>
      </c>
      <c r="C43" s="25">
        <v>8.4499999999999993</v>
      </c>
      <c r="D43" s="118">
        <f t="shared" si="0"/>
        <v>1200</v>
      </c>
      <c r="E43" s="26">
        <v>4.6500000000000004</v>
      </c>
      <c r="F43" s="25">
        <v>1000</v>
      </c>
      <c r="G43" s="25">
        <v>200</v>
      </c>
      <c r="H43" s="27">
        <v>0</v>
      </c>
      <c r="I43" s="27"/>
      <c r="J43" s="27"/>
      <c r="K43" s="27"/>
      <c r="L43" s="27"/>
      <c r="M43" s="27"/>
      <c r="N43" s="27"/>
      <c r="O43" s="27"/>
      <c r="P43" s="27"/>
      <c r="Q43" s="27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</row>
    <row r="44" spans="1:38" ht="12" customHeight="1" x14ac:dyDescent="0.2">
      <c r="A44" s="24">
        <v>36</v>
      </c>
      <c r="B44" s="25">
        <v>8.4499999999999993</v>
      </c>
      <c r="C44" s="25">
        <v>9</v>
      </c>
      <c r="D44" s="118">
        <f t="shared" si="0"/>
        <v>1200</v>
      </c>
      <c r="E44" s="26">
        <v>4.6500000000000004</v>
      </c>
      <c r="F44" s="25">
        <v>1000</v>
      </c>
      <c r="G44" s="25">
        <v>200</v>
      </c>
      <c r="H44" s="27">
        <v>0</v>
      </c>
      <c r="I44" s="27"/>
      <c r="J44" s="27"/>
      <c r="K44" s="27"/>
      <c r="L44" s="27"/>
      <c r="M44" s="27"/>
      <c r="N44" s="27"/>
      <c r="O44" s="27"/>
      <c r="P44" s="27"/>
      <c r="Q44" s="27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</row>
    <row r="45" spans="1:38" ht="15" x14ac:dyDescent="0.2">
      <c r="A45" s="24">
        <v>37</v>
      </c>
      <c r="B45" s="25">
        <v>9</v>
      </c>
      <c r="C45" s="25">
        <v>9.15</v>
      </c>
      <c r="D45" s="118">
        <f t="shared" si="0"/>
        <v>1200</v>
      </c>
      <c r="E45" s="26">
        <v>4.6500000000000004</v>
      </c>
      <c r="F45" s="25">
        <v>1000</v>
      </c>
      <c r="G45" s="25">
        <v>200</v>
      </c>
      <c r="H45" s="27">
        <v>0</v>
      </c>
      <c r="I45" s="27"/>
      <c r="J45" s="27"/>
      <c r="K45" s="27"/>
      <c r="L45" s="27"/>
      <c r="M45" s="27"/>
      <c r="N45" s="27"/>
      <c r="O45" s="27"/>
      <c r="P45" s="27"/>
      <c r="Q45" s="27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</row>
    <row r="46" spans="1:38" ht="15" x14ac:dyDescent="0.2">
      <c r="A46" s="24">
        <v>38</v>
      </c>
      <c r="B46" s="28">
        <v>9.15</v>
      </c>
      <c r="C46" s="28">
        <v>9.3000000000000007</v>
      </c>
      <c r="D46" s="118">
        <f t="shared" si="0"/>
        <v>1200</v>
      </c>
      <c r="E46" s="26">
        <v>4.6500000000000004</v>
      </c>
      <c r="F46" s="25">
        <v>1000</v>
      </c>
      <c r="G46" s="25">
        <v>200</v>
      </c>
      <c r="H46" s="27">
        <v>0</v>
      </c>
      <c r="I46" s="27"/>
      <c r="J46" s="27"/>
      <c r="K46" s="27"/>
      <c r="L46" s="27"/>
      <c r="M46" s="27"/>
      <c r="N46" s="27"/>
      <c r="O46" s="27"/>
      <c r="P46" s="27"/>
      <c r="Q46" s="27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</row>
    <row r="47" spans="1:38" ht="15" x14ac:dyDescent="0.2">
      <c r="A47" s="24">
        <v>39</v>
      </c>
      <c r="B47" s="25">
        <v>9.3000000000000007</v>
      </c>
      <c r="C47" s="25">
        <v>9.4499999999999993</v>
      </c>
      <c r="D47" s="118">
        <f t="shared" si="0"/>
        <v>1200</v>
      </c>
      <c r="E47" s="26">
        <v>4.6500000000000004</v>
      </c>
      <c r="F47" s="25">
        <v>1000</v>
      </c>
      <c r="G47" s="25">
        <v>200</v>
      </c>
      <c r="H47" s="27">
        <v>0</v>
      </c>
      <c r="I47" s="27"/>
      <c r="J47" s="27"/>
      <c r="K47" s="27"/>
      <c r="L47" s="27"/>
      <c r="M47" s="27"/>
      <c r="N47" s="27"/>
      <c r="O47" s="27"/>
      <c r="P47" s="27"/>
      <c r="Q47" s="27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</row>
    <row r="48" spans="1:38" ht="15" x14ac:dyDescent="0.2">
      <c r="A48" s="24">
        <v>40</v>
      </c>
      <c r="B48" s="25">
        <v>9.4499999999999993</v>
      </c>
      <c r="C48" s="25">
        <v>10</v>
      </c>
      <c r="D48" s="118">
        <f t="shared" si="0"/>
        <v>1200</v>
      </c>
      <c r="E48" s="26">
        <v>4.6500000000000004</v>
      </c>
      <c r="F48" s="25">
        <v>1000</v>
      </c>
      <c r="G48" s="25">
        <v>200</v>
      </c>
      <c r="H48" s="27">
        <v>0</v>
      </c>
      <c r="I48" s="27"/>
      <c r="J48" s="27"/>
      <c r="K48" s="27"/>
      <c r="L48" s="27"/>
      <c r="M48" s="27"/>
      <c r="N48" s="27"/>
      <c r="O48" s="27"/>
      <c r="P48" s="27"/>
      <c r="Q48" s="27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15" x14ac:dyDescent="0.2">
      <c r="A49" s="24">
        <v>41</v>
      </c>
      <c r="B49" s="25">
        <v>10</v>
      </c>
      <c r="C49" s="25">
        <v>10.15</v>
      </c>
      <c r="D49" s="118">
        <f t="shared" si="0"/>
        <v>1200</v>
      </c>
      <c r="E49" s="26">
        <v>4.6500000000000004</v>
      </c>
      <c r="F49" s="25">
        <v>1000</v>
      </c>
      <c r="G49" s="25">
        <v>200</v>
      </c>
      <c r="H49" s="27">
        <v>0</v>
      </c>
      <c r="I49" s="27"/>
      <c r="J49" s="27"/>
      <c r="K49" s="27"/>
      <c r="L49" s="27"/>
      <c r="M49" s="27"/>
      <c r="N49" s="27"/>
      <c r="O49" s="27"/>
      <c r="P49" s="27"/>
      <c r="Q49" s="27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</row>
    <row r="50" spans="1:38" ht="15" x14ac:dyDescent="0.2">
      <c r="A50" s="24">
        <v>42</v>
      </c>
      <c r="B50" s="25">
        <v>10.15</v>
      </c>
      <c r="C50" s="25">
        <v>10.3</v>
      </c>
      <c r="D50" s="118">
        <f t="shared" si="0"/>
        <v>1200</v>
      </c>
      <c r="E50" s="26">
        <v>4.6500000000000004</v>
      </c>
      <c r="F50" s="25">
        <v>1000</v>
      </c>
      <c r="G50" s="25">
        <v>200</v>
      </c>
      <c r="H50" s="27">
        <v>0</v>
      </c>
      <c r="I50" s="27"/>
      <c r="J50" s="27"/>
      <c r="K50" s="27"/>
      <c r="L50" s="27"/>
      <c r="M50" s="27"/>
      <c r="N50" s="27"/>
      <c r="O50" s="27"/>
      <c r="P50" s="27"/>
      <c r="Q50" s="27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</row>
    <row r="51" spans="1:38" ht="15" x14ac:dyDescent="0.2">
      <c r="A51" s="24">
        <v>43</v>
      </c>
      <c r="B51" s="25">
        <v>10.3</v>
      </c>
      <c r="C51" s="25">
        <v>10.45</v>
      </c>
      <c r="D51" s="118">
        <f t="shared" si="0"/>
        <v>1200</v>
      </c>
      <c r="E51" s="26">
        <v>4.6500000000000004</v>
      </c>
      <c r="F51" s="25">
        <v>1000</v>
      </c>
      <c r="G51" s="25">
        <v>200</v>
      </c>
      <c r="H51" s="27">
        <v>0</v>
      </c>
      <c r="I51" s="27"/>
      <c r="J51" s="27"/>
      <c r="K51" s="27"/>
      <c r="L51" s="27"/>
      <c r="M51" s="27"/>
      <c r="N51" s="27"/>
      <c r="O51" s="27"/>
      <c r="P51" s="27"/>
      <c r="Q51" s="27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</row>
    <row r="52" spans="1:38" ht="15" x14ac:dyDescent="0.2">
      <c r="A52" s="24">
        <v>44</v>
      </c>
      <c r="B52" s="25">
        <v>10.45</v>
      </c>
      <c r="C52" s="25">
        <v>11</v>
      </c>
      <c r="D52" s="118">
        <f t="shared" si="0"/>
        <v>1200</v>
      </c>
      <c r="E52" s="26">
        <v>4.6500000000000004</v>
      </c>
      <c r="F52" s="25">
        <v>1000</v>
      </c>
      <c r="G52" s="25">
        <v>200</v>
      </c>
      <c r="H52" s="27">
        <v>0</v>
      </c>
      <c r="I52" s="27"/>
      <c r="J52" s="27"/>
      <c r="K52" s="27"/>
      <c r="L52" s="27"/>
      <c r="M52" s="27"/>
      <c r="N52" s="27"/>
      <c r="O52" s="27"/>
      <c r="P52" s="27"/>
      <c r="Q52" s="27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</row>
    <row r="53" spans="1:38" ht="15" x14ac:dyDescent="0.2">
      <c r="A53" s="24">
        <v>45</v>
      </c>
      <c r="B53" s="25">
        <v>11</v>
      </c>
      <c r="C53" s="25">
        <v>11.15</v>
      </c>
      <c r="D53" s="118">
        <f t="shared" si="0"/>
        <v>1200</v>
      </c>
      <c r="E53" s="26">
        <v>4.6500000000000004</v>
      </c>
      <c r="F53" s="25">
        <v>1000</v>
      </c>
      <c r="G53" s="25">
        <v>200</v>
      </c>
      <c r="H53" s="27">
        <v>0</v>
      </c>
      <c r="I53" s="27"/>
      <c r="J53" s="27"/>
      <c r="K53" s="27"/>
      <c r="L53" s="27"/>
      <c r="M53" s="27"/>
      <c r="N53" s="27"/>
      <c r="O53" s="27"/>
      <c r="P53" s="27"/>
      <c r="Q53" s="27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</row>
    <row r="54" spans="1:38" ht="15" x14ac:dyDescent="0.2">
      <c r="A54" s="24">
        <v>46</v>
      </c>
      <c r="B54" s="25">
        <v>11.15</v>
      </c>
      <c r="C54" s="25">
        <v>11.3</v>
      </c>
      <c r="D54" s="118">
        <f t="shared" si="0"/>
        <v>1200</v>
      </c>
      <c r="E54" s="26">
        <v>4.6500000000000004</v>
      </c>
      <c r="F54" s="25">
        <v>1000</v>
      </c>
      <c r="G54" s="25">
        <v>200</v>
      </c>
      <c r="H54" s="27">
        <v>0</v>
      </c>
      <c r="I54" s="27"/>
      <c r="J54" s="27"/>
      <c r="K54" s="27"/>
      <c r="L54" s="27"/>
      <c r="M54" s="27"/>
      <c r="N54" s="27"/>
      <c r="O54" s="27"/>
      <c r="P54" s="27"/>
      <c r="Q54" s="27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</row>
    <row r="55" spans="1:38" ht="15" x14ac:dyDescent="0.2">
      <c r="A55" s="24">
        <v>47</v>
      </c>
      <c r="B55" s="25">
        <v>11.3</v>
      </c>
      <c r="C55" s="25">
        <v>11.45</v>
      </c>
      <c r="D55" s="118">
        <f t="shared" si="0"/>
        <v>1200</v>
      </c>
      <c r="E55" s="26">
        <v>4.6500000000000004</v>
      </c>
      <c r="F55" s="25">
        <v>1000</v>
      </c>
      <c r="G55" s="25">
        <v>200</v>
      </c>
      <c r="H55" s="27">
        <v>0</v>
      </c>
      <c r="I55" s="27"/>
      <c r="J55" s="27"/>
      <c r="K55" s="27"/>
      <c r="L55" s="27"/>
      <c r="M55" s="27"/>
      <c r="N55" s="27"/>
      <c r="O55" s="27"/>
      <c r="P55" s="27"/>
      <c r="Q55" s="27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</row>
    <row r="56" spans="1:38" ht="15" x14ac:dyDescent="0.2">
      <c r="A56" s="24">
        <v>48</v>
      </c>
      <c r="B56" s="25">
        <v>11.45</v>
      </c>
      <c r="C56" s="25">
        <v>12</v>
      </c>
      <c r="D56" s="118">
        <f t="shared" si="0"/>
        <v>1200</v>
      </c>
      <c r="E56" s="26">
        <v>4.6500000000000004</v>
      </c>
      <c r="F56" s="25">
        <v>1000</v>
      </c>
      <c r="G56" s="25">
        <v>200</v>
      </c>
      <c r="H56" s="27">
        <v>0</v>
      </c>
      <c r="I56" s="27"/>
      <c r="J56" s="27"/>
      <c r="K56" s="27"/>
      <c r="L56" s="27"/>
      <c r="M56" s="27"/>
      <c r="N56" s="27"/>
      <c r="O56" s="27"/>
      <c r="P56" s="27"/>
      <c r="Q56" s="27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</row>
    <row r="57" spans="1:38" ht="15" x14ac:dyDescent="0.2">
      <c r="A57" s="24">
        <v>48</v>
      </c>
      <c r="B57" s="25">
        <v>11.45</v>
      </c>
      <c r="C57" s="25">
        <v>12</v>
      </c>
      <c r="D57" s="118">
        <f t="shared" si="0"/>
        <v>1200</v>
      </c>
      <c r="E57" s="26">
        <v>4.6500000000000004</v>
      </c>
      <c r="F57" s="25">
        <v>1000</v>
      </c>
      <c r="G57" s="25">
        <v>200</v>
      </c>
      <c r="H57" s="27">
        <v>0</v>
      </c>
      <c r="I57" s="27"/>
      <c r="J57" s="27"/>
      <c r="K57" s="27"/>
      <c r="L57" s="27"/>
      <c r="M57" s="27"/>
      <c r="N57" s="27"/>
      <c r="O57" s="27"/>
      <c r="P57" s="27"/>
      <c r="Q57" s="27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</row>
    <row r="58" spans="1:38" ht="15" x14ac:dyDescent="0.2">
      <c r="A58" s="24">
        <v>50</v>
      </c>
      <c r="B58" s="25">
        <v>12.15</v>
      </c>
      <c r="C58" s="25">
        <v>12.3</v>
      </c>
      <c r="D58" s="118">
        <f t="shared" si="0"/>
        <v>1200</v>
      </c>
      <c r="E58" s="26">
        <v>4.6500000000000004</v>
      </c>
      <c r="F58" s="25">
        <v>1000</v>
      </c>
      <c r="G58" s="25">
        <v>200</v>
      </c>
      <c r="H58" s="27">
        <v>0</v>
      </c>
      <c r="I58" s="27"/>
      <c r="J58" s="27"/>
      <c r="K58" s="27"/>
      <c r="L58" s="27"/>
      <c r="M58" s="27"/>
      <c r="N58" s="27"/>
      <c r="O58" s="27"/>
      <c r="P58" s="27"/>
      <c r="Q58" s="27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</row>
    <row r="59" spans="1:38" ht="15" x14ac:dyDescent="0.2">
      <c r="A59" s="24">
        <v>51</v>
      </c>
      <c r="B59" s="25">
        <v>12.3</v>
      </c>
      <c r="C59" s="25">
        <v>12.45</v>
      </c>
      <c r="D59" s="118">
        <f t="shared" si="0"/>
        <v>1200</v>
      </c>
      <c r="E59" s="26">
        <v>4.6500000000000004</v>
      </c>
      <c r="F59" s="25">
        <v>1000</v>
      </c>
      <c r="G59" s="25">
        <v>200</v>
      </c>
      <c r="H59" s="27">
        <v>0</v>
      </c>
      <c r="I59" s="27"/>
      <c r="J59" s="27"/>
      <c r="K59" s="27"/>
      <c r="L59" s="27"/>
      <c r="M59" s="27"/>
      <c r="N59" s="27"/>
      <c r="O59" s="27"/>
      <c r="P59" s="27"/>
      <c r="Q59" s="27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</row>
    <row r="60" spans="1:38" ht="15" x14ac:dyDescent="0.2">
      <c r="A60" s="24">
        <v>52</v>
      </c>
      <c r="B60" s="25">
        <v>12.45</v>
      </c>
      <c r="C60" s="25">
        <v>13</v>
      </c>
      <c r="D60" s="118">
        <f t="shared" si="0"/>
        <v>1200</v>
      </c>
      <c r="E60" s="26">
        <v>4.6500000000000004</v>
      </c>
      <c r="F60" s="25">
        <v>1000</v>
      </c>
      <c r="G60" s="25">
        <v>200</v>
      </c>
      <c r="H60" s="27">
        <v>0</v>
      </c>
      <c r="I60" s="27"/>
      <c r="J60" s="27"/>
      <c r="K60" s="27"/>
      <c r="L60" s="27"/>
      <c r="M60" s="27"/>
      <c r="N60" s="27"/>
      <c r="O60" s="27"/>
      <c r="P60" s="27"/>
      <c r="Q60" s="27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</row>
    <row r="61" spans="1:38" ht="15" x14ac:dyDescent="0.2">
      <c r="A61" s="24">
        <v>53</v>
      </c>
      <c r="B61" s="25">
        <v>13</v>
      </c>
      <c r="C61" s="25">
        <v>13.15</v>
      </c>
      <c r="D61" s="118">
        <f t="shared" si="0"/>
        <v>1200</v>
      </c>
      <c r="E61" s="26">
        <v>4.6500000000000004</v>
      </c>
      <c r="F61" s="25">
        <v>1000</v>
      </c>
      <c r="G61" s="25">
        <v>200</v>
      </c>
      <c r="H61" s="27">
        <v>0</v>
      </c>
      <c r="I61" s="27"/>
      <c r="J61" s="27"/>
      <c r="K61" s="27"/>
      <c r="L61" s="27"/>
      <c r="M61" s="27"/>
      <c r="N61" s="27"/>
      <c r="O61" s="27"/>
      <c r="P61" s="27"/>
      <c r="Q61" s="27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</row>
    <row r="62" spans="1:38" ht="15" x14ac:dyDescent="0.2">
      <c r="A62" s="24">
        <v>54</v>
      </c>
      <c r="B62" s="25">
        <v>13.15</v>
      </c>
      <c r="C62" s="25">
        <v>13.3</v>
      </c>
      <c r="D62" s="118">
        <f t="shared" si="0"/>
        <v>1200</v>
      </c>
      <c r="E62" s="26">
        <v>4.6500000000000004</v>
      </c>
      <c r="F62" s="25">
        <v>1000</v>
      </c>
      <c r="G62" s="25">
        <v>200</v>
      </c>
      <c r="H62" s="27">
        <v>0</v>
      </c>
      <c r="I62" s="27"/>
      <c r="J62" s="27"/>
      <c r="K62" s="27"/>
      <c r="L62" s="27"/>
      <c r="M62" s="27"/>
      <c r="N62" s="27"/>
      <c r="O62" s="27"/>
      <c r="P62" s="27"/>
      <c r="Q62" s="27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</row>
    <row r="63" spans="1:38" ht="15" x14ac:dyDescent="0.2">
      <c r="A63" s="24">
        <v>55</v>
      </c>
      <c r="B63" s="25">
        <v>13.3</v>
      </c>
      <c r="C63" s="25">
        <v>13.45</v>
      </c>
      <c r="D63" s="118">
        <f t="shared" si="0"/>
        <v>1200</v>
      </c>
      <c r="E63" s="26">
        <v>4.6500000000000004</v>
      </c>
      <c r="F63" s="25">
        <v>1000</v>
      </c>
      <c r="G63" s="25">
        <v>200</v>
      </c>
      <c r="H63" s="27">
        <v>0</v>
      </c>
      <c r="I63" s="27"/>
      <c r="J63" s="27"/>
      <c r="K63" s="27"/>
      <c r="L63" s="27"/>
      <c r="M63" s="27"/>
      <c r="N63" s="27"/>
      <c r="O63" s="27"/>
      <c r="P63" s="27"/>
      <c r="Q63" s="27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</row>
    <row r="64" spans="1:38" ht="15" x14ac:dyDescent="0.2">
      <c r="A64" s="24">
        <v>56</v>
      </c>
      <c r="B64" s="25">
        <v>13.45</v>
      </c>
      <c r="C64" s="25">
        <v>14</v>
      </c>
      <c r="D64" s="118">
        <f t="shared" si="0"/>
        <v>1200</v>
      </c>
      <c r="E64" s="26">
        <v>4.6500000000000004</v>
      </c>
      <c r="F64" s="25">
        <v>1000</v>
      </c>
      <c r="G64" s="25">
        <v>200</v>
      </c>
      <c r="H64" s="27">
        <v>0</v>
      </c>
      <c r="I64" s="27"/>
      <c r="J64" s="27"/>
      <c r="K64" s="27"/>
      <c r="L64" s="27"/>
      <c r="M64" s="27"/>
      <c r="N64" s="27"/>
      <c r="O64" s="27"/>
      <c r="P64" s="27"/>
      <c r="Q64" s="27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</row>
    <row r="65" spans="1:38" ht="15" x14ac:dyDescent="0.2">
      <c r="A65" s="24">
        <v>57</v>
      </c>
      <c r="B65" s="25">
        <v>14</v>
      </c>
      <c r="C65" s="25">
        <v>14.15</v>
      </c>
      <c r="D65" s="118">
        <f t="shared" si="0"/>
        <v>1200</v>
      </c>
      <c r="E65" s="26">
        <v>4.6500000000000004</v>
      </c>
      <c r="F65" s="25">
        <v>1000</v>
      </c>
      <c r="G65" s="25">
        <v>200</v>
      </c>
      <c r="H65" s="27">
        <v>0</v>
      </c>
      <c r="I65" s="27"/>
      <c r="J65" s="27"/>
      <c r="K65" s="27"/>
      <c r="L65" s="27"/>
      <c r="M65" s="27"/>
      <c r="N65" s="27"/>
      <c r="O65" s="27"/>
      <c r="P65" s="27"/>
      <c r="Q65" s="27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</row>
    <row r="66" spans="1:38" ht="15" x14ac:dyDescent="0.2">
      <c r="A66" s="24">
        <v>58</v>
      </c>
      <c r="B66" s="25">
        <v>14.15</v>
      </c>
      <c r="C66" s="25">
        <v>14.3</v>
      </c>
      <c r="D66" s="118">
        <f t="shared" si="0"/>
        <v>1200</v>
      </c>
      <c r="E66" s="26">
        <v>4.6500000000000004</v>
      </c>
      <c r="F66" s="25">
        <v>1000</v>
      </c>
      <c r="G66" s="25">
        <v>200</v>
      </c>
      <c r="H66" s="27">
        <v>0</v>
      </c>
      <c r="I66" s="27"/>
      <c r="J66" s="27"/>
      <c r="K66" s="27"/>
      <c r="L66" s="27"/>
      <c r="M66" s="27"/>
      <c r="N66" s="27"/>
      <c r="O66" s="27"/>
      <c r="P66" s="27"/>
      <c r="Q66" s="27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</row>
    <row r="67" spans="1:38" ht="15" x14ac:dyDescent="0.2">
      <c r="A67" s="24">
        <v>59</v>
      </c>
      <c r="B67" s="25">
        <v>14.3</v>
      </c>
      <c r="C67" s="25">
        <v>14.45</v>
      </c>
      <c r="D67" s="118">
        <f t="shared" si="0"/>
        <v>1200</v>
      </c>
      <c r="E67" s="26">
        <v>4.6500000000000004</v>
      </c>
      <c r="F67" s="25">
        <v>1000</v>
      </c>
      <c r="G67" s="25">
        <v>200</v>
      </c>
      <c r="H67" s="27">
        <v>0</v>
      </c>
      <c r="I67" s="27"/>
      <c r="J67" s="27"/>
      <c r="K67" s="27"/>
      <c r="L67" s="27"/>
      <c r="M67" s="27"/>
      <c r="N67" s="27"/>
      <c r="O67" s="27"/>
      <c r="P67" s="27"/>
      <c r="Q67" s="27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</row>
    <row r="68" spans="1:38" ht="15" x14ac:dyDescent="0.2">
      <c r="A68" s="24">
        <v>60</v>
      </c>
      <c r="B68" s="25">
        <v>14.45</v>
      </c>
      <c r="C68" s="25">
        <v>15</v>
      </c>
      <c r="D68" s="118">
        <f t="shared" si="0"/>
        <v>1200</v>
      </c>
      <c r="E68" s="26">
        <v>4.6500000000000004</v>
      </c>
      <c r="F68" s="25">
        <v>1000</v>
      </c>
      <c r="G68" s="25">
        <v>200</v>
      </c>
      <c r="H68" s="27">
        <v>0</v>
      </c>
      <c r="I68" s="27"/>
      <c r="J68" s="27"/>
      <c r="K68" s="27"/>
      <c r="L68" s="27"/>
      <c r="M68" s="27"/>
      <c r="N68" s="27"/>
      <c r="O68" s="27"/>
      <c r="P68" s="27"/>
      <c r="Q68" s="27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</row>
    <row r="69" spans="1:38" ht="15" x14ac:dyDescent="0.2">
      <c r="A69" s="24">
        <v>61</v>
      </c>
      <c r="B69" s="25">
        <v>15</v>
      </c>
      <c r="C69" s="25">
        <v>15.15</v>
      </c>
      <c r="D69" s="118">
        <f t="shared" si="0"/>
        <v>1200</v>
      </c>
      <c r="E69" s="26">
        <v>4.6500000000000004</v>
      </c>
      <c r="F69" s="25">
        <v>1000</v>
      </c>
      <c r="G69" s="25">
        <v>200</v>
      </c>
      <c r="H69" s="27">
        <v>0</v>
      </c>
      <c r="I69" s="27"/>
      <c r="J69" s="27"/>
      <c r="K69" s="27"/>
      <c r="L69" s="27"/>
      <c r="M69" s="27"/>
      <c r="N69" s="27"/>
      <c r="O69" s="27"/>
      <c r="P69" s="27"/>
      <c r="Q69" s="27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</row>
    <row r="70" spans="1:38" ht="15" x14ac:dyDescent="0.2">
      <c r="A70" s="24">
        <v>62</v>
      </c>
      <c r="B70" s="25">
        <v>15.15</v>
      </c>
      <c r="C70" s="25">
        <v>15.3</v>
      </c>
      <c r="D70" s="118">
        <f t="shared" si="0"/>
        <v>1200</v>
      </c>
      <c r="E70" s="26">
        <v>4.6500000000000004</v>
      </c>
      <c r="F70" s="25">
        <v>1000</v>
      </c>
      <c r="G70" s="25">
        <v>200</v>
      </c>
      <c r="H70" s="27">
        <v>0</v>
      </c>
      <c r="I70" s="27"/>
      <c r="J70" s="27"/>
      <c r="K70" s="27"/>
      <c r="L70" s="27"/>
      <c r="M70" s="27"/>
      <c r="N70" s="27"/>
      <c r="O70" s="27"/>
      <c r="P70" s="27"/>
      <c r="Q70" s="27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</row>
    <row r="71" spans="1:38" ht="15" x14ac:dyDescent="0.2">
      <c r="A71" s="24">
        <v>63</v>
      </c>
      <c r="B71" s="25">
        <v>15.3</v>
      </c>
      <c r="C71" s="25">
        <v>15.45</v>
      </c>
      <c r="D71" s="118">
        <f t="shared" si="0"/>
        <v>1200</v>
      </c>
      <c r="E71" s="26">
        <v>4.6500000000000004</v>
      </c>
      <c r="F71" s="25">
        <v>1000</v>
      </c>
      <c r="G71" s="25">
        <v>200</v>
      </c>
      <c r="H71" s="27">
        <v>0</v>
      </c>
      <c r="I71" s="27"/>
      <c r="J71" s="27"/>
      <c r="K71" s="27"/>
      <c r="L71" s="27"/>
      <c r="M71" s="27"/>
      <c r="N71" s="27"/>
      <c r="O71" s="27"/>
      <c r="P71" s="27"/>
      <c r="Q71" s="27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</row>
    <row r="72" spans="1:38" ht="15" x14ac:dyDescent="0.2">
      <c r="A72" s="24">
        <v>64</v>
      </c>
      <c r="B72" s="25">
        <v>15.45</v>
      </c>
      <c r="C72" s="25">
        <v>16</v>
      </c>
      <c r="D72" s="118">
        <f t="shared" si="0"/>
        <v>1200</v>
      </c>
      <c r="E72" s="26">
        <v>4.6500000000000004</v>
      </c>
      <c r="F72" s="25">
        <v>1000</v>
      </c>
      <c r="G72" s="25">
        <v>200</v>
      </c>
      <c r="H72" s="27">
        <v>0</v>
      </c>
      <c r="I72" s="27"/>
      <c r="J72" s="27"/>
      <c r="K72" s="27"/>
      <c r="L72" s="27"/>
      <c r="M72" s="27"/>
      <c r="N72" s="27"/>
      <c r="O72" s="27"/>
      <c r="P72" s="27"/>
      <c r="Q72" s="27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</row>
    <row r="73" spans="1:38" ht="15" x14ac:dyDescent="0.2">
      <c r="A73" s="24">
        <v>65</v>
      </c>
      <c r="B73" s="25">
        <v>16</v>
      </c>
      <c r="C73" s="25">
        <v>16.149999999999999</v>
      </c>
      <c r="D73" s="118">
        <f t="shared" si="0"/>
        <v>1200</v>
      </c>
      <c r="E73" s="26">
        <v>4.6500000000000004</v>
      </c>
      <c r="F73" s="25">
        <v>1000</v>
      </c>
      <c r="G73" s="25">
        <v>200</v>
      </c>
      <c r="H73" s="27">
        <v>0</v>
      </c>
      <c r="I73" s="27"/>
      <c r="J73" s="27"/>
      <c r="K73" s="27"/>
      <c r="L73" s="27"/>
      <c r="M73" s="27"/>
      <c r="N73" s="27"/>
      <c r="O73" s="27"/>
      <c r="P73" s="27"/>
      <c r="Q73" s="27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</row>
    <row r="74" spans="1:38" ht="15" x14ac:dyDescent="0.2">
      <c r="A74" s="24">
        <v>66</v>
      </c>
      <c r="B74" s="25">
        <v>16.149999999999999</v>
      </c>
      <c r="C74" s="25">
        <v>16.3</v>
      </c>
      <c r="D74" s="118">
        <f t="shared" ref="D74:D104" si="1">SUM(F74:AL74)</f>
        <v>1200</v>
      </c>
      <c r="E74" s="26">
        <v>4.6500000000000004</v>
      </c>
      <c r="F74" s="25">
        <v>1000</v>
      </c>
      <c r="G74" s="25">
        <v>200</v>
      </c>
      <c r="H74" s="27">
        <v>0</v>
      </c>
      <c r="I74" s="27"/>
      <c r="J74" s="27"/>
      <c r="K74" s="27"/>
      <c r="L74" s="27"/>
      <c r="M74" s="27"/>
      <c r="N74" s="27"/>
      <c r="O74" s="27"/>
      <c r="P74" s="27"/>
      <c r="Q74" s="27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</row>
    <row r="75" spans="1:38" ht="15" x14ac:dyDescent="0.2">
      <c r="A75" s="24">
        <v>67</v>
      </c>
      <c r="B75" s="25">
        <v>16.3</v>
      </c>
      <c r="C75" s="25">
        <v>16.45</v>
      </c>
      <c r="D75" s="118">
        <f t="shared" si="1"/>
        <v>1200</v>
      </c>
      <c r="E75" s="26">
        <v>4.6500000000000004</v>
      </c>
      <c r="F75" s="25">
        <v>1000</v>
      </c>
      <c r="G75" s="25">
        <v>200</v>
      </c>
      <c r="H75" s="27">
        <v>0</v>
      </c>
      <c r="I75" s="27"/>
      <c r="J75" s="27"/>
      <c r="K75" s="27"/>
      <c r="L75" s="27"/>
      <c r="M75" s="27"/>
      <c r="N75" s="27"/>
      <c r="O75" s="27"/>
      <c r="P75" s="27"/>
      <c r="Q75" s="27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</row>
    <row r="76" spans="1:38" ht="15" x14ac:dyDescent="0.2">
      <c r="A76" s="24">
        <v>68</v>
      </c>
      <c r="B76" s="25">
        <v>16.45</v>
      </c>
      <c r="C76" s="25">
        <v>17</v>
      </c>
      <c r="D76" s="118">
        <f t="shared" si="1"/>
        <v>1200</v>
      </c>
      <c r="E76" s="26">
        <v>4.6500000000000004</v>
      </c>
      <c r="F76" s="25">
        <v>1000</v>
      </c>
      <c r="G76" s="25">
        <v>200</v>
      </c>
      <c r="H76" s="27">
        <v>0</v>
      </c>
      <c r="I76" s="27"/>
      <c r="J76" s="27"/>
      <c r="K76" s="27"/>
      <c r="L76" s="27"/>
      <c r="M76" s="27"/>
      <c r="N76" s="27"/>
      <c r="O76" s="27"/>
      <c r="P76" s="27"/>
      <c r="Q76" s="27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</row>
    <row r="77" spans="1:38" ht="15" x14ac:dyDescent="0.2">
      <c r="A77" s="24">
        <v>69</v>
      </c>
      <c r="B77" s="25">
        <v>17</v>
      </c>
      <c r="C77" s="25">
        <v>17.149999999999999</v>
      </c>
      <c r="D77" s="118">
        <f t="shared" si="1"/>
        <v>1200</v>
      </c>
      <c r="E77" s="26">
        <v>4.6500000000000004</v>
      </c>
      <c r="F77" s="25">
        <v>1000</v>
      </c>
      <c r="G77" s="25">
        <v>200</v>
      </c>
      <c r="H77" s="27">
        <v>0</v>
      </c>
      <c r="I77" s="27"/>
      <c r="J77" s="27"/>
      <c r="K77" s="27"/>
      <c r="L77" s="27"/>
      <c r="M77" s="27"/>
      <c r="N77" s="27"/>
      <c r="O77" s="27"/>
      <c r="P77" s="27"/>
      <c r="Q77" s="27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</row>
    <row r="78" spans="1:38" ht="15" x14ac:dyDescent="0.2">
      <c r="A78" s="24">
        <v>70</v>
      </c>
      <c r="B78" s="25">
        <v>17.149999999999999</v>
      </c>
      <c r="C78" s="25">
        <v>17.3</v>
      </c>
      <c r="D78" s="118">
        <f t="shared" si="1"/>
        <v>1200</v>
      </c>
      <c r="E78" s="26">
        <v>4.6500000000000004</v>
      </c>
      <c r="F78" s="25">
        <v>1000</v>
      </c>
      <c r="G78" s="25">
        <v>200</v>
      </c>
      <c r="H78" s="27">
        <v>0</v>
      </c>
      <c r="I78" s="27"/>
      <c r="J78" s="27"/>
      <c r="K78" s="27"/>
      <c r="L78" s="27"/>
      <c r="M78" s="27"/>
      <c r="N78" s="27"/>
      <c r="O78" s="27"/>
      <c r="P78" s="27"/>
      <c r="Q78" s="27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</row>
    <row r="79" spans="1:38" ht="15" x14ac:dyDescent="0.2">
      <c r="A79" s="24">
        <v>71</v>
      </c>
      <c r="B79" s="25">
        <v>17.3</v>
      </c>
      <c r="C79" s="25">
        <v>17.45</v>
      </c>
      <c r="D79" s="118">
        <f t="shared" si="1"/>
        <v>1200</v>
      </c>
      <c r="E79" s="26">
        <v>4.6500000000000004</v>
      </c>
      <c r="F79" s="25">
        <v>1000</v>
      </c>
      <c r="G79" s="25">
        <v>200</v>
      </c>
      <c r="H79" s="27">
        <v>0</v>
      </c>
      <c r="I79" s="27"/>
      <c r="J79" s="27"/>
      <c r="K79" s="27"/>
      <c r="L79" s="27"/>
      <c r="M79" s="27"/>
      <c r="N79" s="27"/>
      <c r="O79" s="27"/>
      <c r="P79" s="27"/>
      <c r="Q79" s="27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</row>
    <row r="80" spans="1:38" ht="15" x14ac:dyDescent="0.2">
      <c r="A80" s="24">
        <v>72</v>
      </c>
      <c r="B80" s="25">
        <v>17.45</v>
      </c>
      <c r="C80" s="25">
        <v>18</v>
      </c>
      <c r="D80" s="118">
        <f t="shared" si="1"/>
        <v>1200</v>
      </c>
      <c r="E80" s="26">
        <v>4.6500000000000004</v>
      </c>
      <c r="F80" s="25">
        <v>1000</v>
      </c>
      <c r="G80" s="25">
        <v>200</v>
      </c>
      <c r="H80" s="27">
        <v>0</v>
      </c>
      <c r="I80" s="27"/>
      <c r="J80" s="27"/>
      <c r="K80" s="27"/>
      <c r="L80" s="27"/>
      <c r="M80" s="27"/>
      <c r="N80" s="27"/>
      <c r="O80" s="27"/>
      <c r="P80" s="27"/>
      <c r="Q80" s="27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</row>
    <row r="81" spans="1:38" ht="15" x14ac:dyDescent="0.2">
      <c r="A81" s="24">
        <v>73</v>
      </c>
      <c r="B81" s="25">
        <v>18</v>
      </c>
      <c r="C81" s="25">
        <v>18.149999999999999</v>
      </c>
      <c r="D81" s="118">
        <f t="shared" si="1"/>
        <v>1200</v>
      </c>
      <c r="E81" s="26">
        <v>4.6500000000000004</v>
      </c>
      <c r="F81" s="25">
        <v>1000</v>
      </c>
      <c r="G81" s="25">
        <v>200</v>
      </c>
      <c r="H81" s="27">
        <v>0</v>
      </c>
      <c r="I81" s="27"/>
      <c r="J81" s="27"/>
      <c r="K81" s="27"/>
      <c r="L81" s="27"/>
      <c r="M81" s="27"/>
      <c r="N81" s="27"/>
      <c r="O81" s="27"/>
      <c r="P81" s="27"/>
      <c r="Q81" s="27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</row>
    <row r="82" spans="1:38" ht="15" x14ac:dyDescent="0.2">
      <c r="A82" s="24">
        <v>74</v>
      </c>
      <c r="B82" s="25">
        <v>18.149999999999999</v>
      </c>
      <c r="C82" s="25">
        <v>18.3</v>
      </c>
      <c r="D82" s="118">
        <f t="shared" si="1"/>
        <v>1200</v>
      </c>
      <c r="E82" s="26">
        <v>4.6500000000000004</v>
      </c>
      <c r="F82" s="25">
        <v>1000</v>
      </c>
      <c r="G82" s="25">
        <v>200</v>
      </c>
      <c r="H82" s="27">
        <v>0</v>
      </c>
      <c r="I82" s="27"/>
      <c r="J82" s="27"/>
      <c r="K82" s="27"/>
      <c r="L82" s="27"/>
      <c r="M82" s="27"/>
      <c r="N82" s="27"/>
      <c r="O82" s="27"/>
      <c r="P82" s="27"/>
      <c r="Q82" s="27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15" x14ac:dyDescent="0.2">
      <c r="A83" s="24">
        <v>75</v>
      </c>
      <c r="B83" s="25">
        <v>18.3</v>
      </c>
      <c r="C83" s="25">
        <v>18.45</v>
      </c>
      <c r="D83" s="118">
        <f t="shared" si="1"/>
        <v>1200</v>
      </c>
      <c r="E83" s="26">
        <v>4.6500000000000004</v>
      </c>
      <c r="F83" s="25">
        <v>1000</v>
      </c>
      <c r="G83" s="25">
        <v>200</v>
      </c>
      <c r="H83" s="27">
        <v>0</v>
      </c>
      <c r="I83" s="27"/>
      <c r="J83" s="27"/>
      <c r="K83" s="27"/>
      <c r="L83" s="27"/>
      <c r="M83" s="27"/>
      <c r="N83" s="27"/>
      <c r="O83" s="27"/>
      <c r="P83" s="27"/>
      <c r="Q83" s="27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</row>
    <row r="84" spans="1:38" ht="15" x14ac:dyDescent="0.2">
      <c r="A84" s="24">
        <v>76</v>
      </c>
      <c r="B84" s="25">
        <v>18.45</v>
      </c>
      <c r="C84" s="25">
        <v>19</v>
      </c>
      <c r="D84" s="118">
        <f t="shared" si="1"/>
        <v>1200</v>
      </c>
      <c r="E84" s="26">
        <v>4.6500000000000004</v>
      </c>
      <c r="F84" s="25">
        <v>1000</v>
      </c>
      <c r="G84" s="25">
        <v>200</v>
      </c>
      <c r="H84" s="27">
        <v>0</v>
      </c>
      <c r="I84" s="27"/>
      <c r="J84" s="27"/>
      <c r="K84" s="27"/>
      <c r="L84" s="27"/>
      <c r="M84" s="27"/>
      <c r="N84" s="27"/>
      <c r="O84" s="27"/>
      <c r="P84" s="27"/>
      <c r="Q84" s="27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</row>
    <row r="85" spans="1:38" ht="15" x14ac:dyDescent="0.2">
      <c r="A85" s="24">
        <v>77</v>
      </c>
      <c r="B85" s="25">
        <v>19</v>
      </c>
      <c r="C85" s="25">
        <v>19.149999999999999</v>
      </c>
      <c r="D85" s="118">
        <f t="shared" si="1"/>
        <v>1200</v>
      </c>
      <c r="E85" s="26">
        <v>4.6500000000000004</v>
      </c>
      <c r="F85" s="25">
        <v>1000</v>
      </c>
      <c r="G85" s="25">
        <v>200</v>
      </c>
      <c r="H85" s="27">
        <v>0</v>
      </c>
      <c r="I85" s="27"/>
      <c r="J85" s="27"/>
      <c r="K85" s="27"/>
      <c r="L85" s="27"/>
      <c r="M85" s="27"/>
      <c r="N85" s="27"/>
      <c r="O85" s="27"/>
      <c r="P85" s="27"/>
      <c r="Q85" s="27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</row>
    <row r="86" spans="1:38" ht="15" x14ac:dyDescent="0.2">
      <c r="A86" s="24">
        <v>78</v>
      </c>
      <c r="B86" s="25">
        <v>19.149999999999999</v>
      </c>
      <c r="C86" s="25">
        <v>19.3</v>
      </c>
      <c r="D86" s="118">
        <f t="shared" si="1"/>
        <v>1200</v>
      </c>
      <c r="E86" s="26">
        <v>4.6500000000000004</v>
      </c>
      <c r="F86" s="25">
        <v>1000</v>
      </c>
      <c r="G86" s="25">
        <v>200</v>
      </c>
      <c r="H86" s="27">
        <v>0</v>
      </c>
      <c r="I86" s="27"/>
      <c r="J86" s="27"/>
      <c r="K86" s="27"/>
      <c r="L86" s="27"/>
      <c r="M86" s="27"/>
      <c r="N86" s="27"/>
      <c r="O86" s="27"/>
      <c r="P86" s="27"/>
      <c r="Q86" s="27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</row>
    <row r="87" spans="1:38" ht="15" x14ac:dyDescent="0.2">
      <c r="A87" s="24">
        <v>79</v>
      </c>
      <c r="B87" s="25">
        <v>19.3</v>
      </c>
      <c r="C87" s="25">
        <v>19.45</v>
      </c>
      <c r="D87" s="118">
        <f t="shared" si="1"/>
        <v>1200</v>
      </c>
      <c r="E87" s="26">
        <v>4.6500000000000004</v>
      </c>
      <c r="F87" s="25">
        <v>1000</v>
      </c>
      <c r="G87" s="25">
        <v>200</v>
      </c>
      <c r="H87" s="27">
        <v>0</v>
      </c>
      <c r="I87" s="27"/>
      <c r="J87" s="27"/>
      <c r="K87" s="27"/>
      <c r="L87" s="27"/>
      <c r="M87" s="27"/>
      <c r="N87" s="27"/>
      <c r="O87" s="27"/>
      <c r="P87" s="27"/>
      <c r="Q87" s="27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</row>
    <row r="88" spans="1:38" ht="15" x14ac:dyDescent="0.2">
      <c r="A88" s="24">
        <v>80</v>
      </c>
      <c r="B88" s="25">
        <v>19.45</v>
      </c>
      <c r="C88" s="25">
        <v>20</v>
      </c>
      <c r="D88" s="118">
        <f t="shared" si="1"/>
        <v>1200</v>
      </c>
      <c r="E88" s="26">
        <v>4.6500000000000004</v>
      </c>
      <c r="F88" s="25">
        <v>1000</v>
      </c>
      <c r="G88" s="25">
        <v>200</v>
      </c>
      <c r="H88" s="27">
        <v>0</v>
      </c>
      <c r="I88" s="27"/>
      <c r="J88" s="27"/>
      <c r="K88" s="27"/>
      <c r="L88" s="27"/>
      <c r="M88" s="27"/>
      <c r="N88" s="27"/>
      <c r="O88" s="27"/>
      <c r="P88" s="27"/>
      <c r="Q88" s="27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</row>
    <row r="89" spans="1:38" ht="15" x14ac:dyDescent="0.2">
      <c r="A89" s="24">
        <v>81</v>
      </c>
      <c r="B89" s="25">
        <v>20</v>
      </c>
      <c r="C89" s="25">
        <v>20.149999999999999</v>
      </c>
      <c r="D89" s="118">
        <f t="shared" si="1"/>
        <v>1200</v>
      </c>
      <c r="E89" s="26">
        <v>4.6500000000000004</v>
      </c>
      <c r="F89" s="25">
        <v>1000</v>
      </c>
      <c r="G89" s="25">
        <v>200</v>
      </c>
      <c r="H89" s="27">
        <v>0</v>
      </c>
      <c r="I89" s="27"/>
      <c r="J89" s="27"/>
      <c r="K89" s="27"/>
      <c r="L89" s="27"/>
      <c r="M89" s="27"/>
      <c r="N89" s="27"/>
      <c r="O89" s="27"/>
      <c r="P89" s="27"/>
      <c r="Q89" s="27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</row>
    <row r="90" spans="1:38" ht="15" x14ac:dyDescent="0.2">
      <c r="A90" s="24">
        <v>82</v>
      </c>
      <c r="B90" s="25">
        <v>20.149999999999999</v>
      </c>
      <c r="C90" s="25">
        <v>20.3</v>
      </c>
      <c r="D90" s="118">
        <f t="shared" si="1"/>
        <v>1200</v>
      </c>
      <c r="E90" s="26">
        <v>4.6500000000000004</v>
      </c>
      <c r="F90" s="25">
        <v>1000</v>
      </c>
      <c r="G90" s="25">
        <v>200</v>
      </c>
      <c r="H90" s="27">
        <v>0</v>
      </c>
      <c r="I90" s="27"/>
      <c r="J90" s="27"/>
      <c r="K90" s="27"/>
      <c r="L90" s="27"/>
      <c r="M90" s="27"/>
      <c r="N90" s="27"/>
      <c r="O90" s="27"/>
      <c r="P90" s="27"/>
      <c r="Q90" s="27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</row>
    <row r="91" spans="1:38" ht="15" x14ac:dyDescent="0.2">
      <c r="A91" s="24">
        <v>83</v>
      </c>
      <c r="B91" s="25">
        <v>20.3</v>
      </c>
      <c r="C91" s="25">
        <v>20.45</v>
      </c>
      <c r="D91" s="118">
        <f t="shared" si="1"/>
        <v>1200</v>
      </c>
      <c r="E91" s="26">
        <v>4.6500000000000004</v>
      </c>
      <c r="F91" s="25">
        <v>1000</v>
      </c>
      <c r="G91" s="25">
        <v>200</v>
      </c>
      <c r="H91" s="27">
        <v>0</v>
      </c>
      <c r="I91" s="27"/>
      <c r="J91" s="27"/>
      <c r="K91" s="27"/>
      <c r="L91" s="27"/>
      <c r="M91" s="27"/>
      <c r="N91" s="27"/>
      <c r="O91" s="27"/>
      <c r="P91" s="27"/>
      <c r="Q91" s="27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</row>
    <row r="92" spans="1:38" ht="15" x14ac:dyDescent="0.2">
      <c r="A92" s="24">
        <v>84</v>
      </c>
      <c r="B92" s="25">
        <v>20.45</v>
      </c>
      <c r="C92" s="25">
        <v>21</v>
      </c>
      <c r="D92" s="118">
        <f t="shared" si="1"/>
        <v>1200</v>
      </c>
      <c r="E92" s="26">
        <v>4.6500000000000004</v>
      </c>
      <c r="F92" s="25">
        <v>1000</v>
      </c>
      <c r="G92" s="25">
        <v>200</v>
      </c>
      <c r="H92" s="27">
        <v>0</v>
      </c>
      <c r="I92" s="27"/>
      <c r="J92" s="27"/>
      <c r="K92" s="27"/>
      <c r="L92" s="27"/>
      <c r="M92" s="27"/>
      <c r="N92" s="27"/>
      <c r="O92" s="27"/>
      <c r="P92" s="27"/>
      <c r="Q92" s="27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</row>
    <row r="93" spans="1:38" ht="15" x14ac:dyDescent="0.2">
      <c r="A93" s="24">
        <v>85</v>
      </c>
      <c r="B93" s="25">
        <v>21</v>
      </c>
      <c r="C93" s="25">
        <v>21.15</v>
      </c>
      <c r="D93" s="118">
        <f t="shared" si="1"/>
        <v>1200</v>
      </c>
      <c r="E93" s="26">
        <v>4.6500000000000004</v>
      </c>
      <c r="F93" s="25">
        <v>1000</v>
      </c>
      <c r="G93" s="25">
        <v>200</v>
      </c>
      <c r="H93" s="27">
        <v>0</v>
      </c>
      <c r="I93" s="27"/>
      <c r="J93" s="27"/>
      <c r="K93" s="27"/>
      <c r="L93" s="27"/>
      <c r="M93" s="27"/>
      <c r="N93" s="27"/>
      <c r="O93" s="27"/>
      <c r="P93" s="27"/>
      <c r="Q93" s="27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</row>
    <row r="94" spans="1:38" ht="15" x14ac:dyDescent="0.2">
      <c r="A94" s="24">
        <v>86</v>
      </c>
      <c r="B94" s="25">
        <v>21.15</v>
      </c>
      <c r="C94" s="25">
        <v>21.3</v>
      </c>
      <c r="D94" s="118">
        <f t="shared" si="1"/>
        <v>1200</v>
      </c>
      <c r="E94" s="26">
        <v>4.6500000000000004</v>
      </c>
      <c r="F94" s="25">
        <v>1000</v>
      </c>
      <c r="G94" s="25">
        <v>200</v>
      </c>
      <c r="H94" s="27">
        <v>0</v>
      </c>
      <c r="I94" s="27"/>
      <c r="J94" s="27"/>
      <c r="K94" s="27"/>
      <c r="L94" s="27"/>
      <c r="M94" s="27"/>
      <c r="N94" s="27"/>
      <c r="O94" s="27"/>
      <c r="P94" s="27"/>
      <c r="Q94" s="27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</row>
    <row r="95" spans="1:38" ht="15" x14ac:dyDescent="0.2">
      <c r="A95" s="24">
        <v>87</v>
      </c>
      <c r="B95" s="25">
        <v>21.3</v>
      </c>
      <c r="C95" s="25">
        <v>21.45</v>
      </c>
      <c r="D95" s="118">
        <f t="shared" si="1"/>
        <v>1200</v>
      </c>
      <c r="E95" s="26">
        <v>4.6500000000000004</v>
      </c>
      <c r="F95" s="25">
        <v>1000</v>
      </c>
      <c r="G95" s="25">
        <v>200</v>
      </c>
      <c r="H95" s="27">
        <v>0</v>
      </c>
      <c r="I95" s="27"/>
      <c r="J95" s="27"/>
      <c r="K95" s="27"/>
      <c r="L95" s="27"/>
      <c r="M95" s="27"/>
      <c r="N95" s="27"/>
      <c r="O95" s="27"/>
      <c r="P95" s="27"/>
      <c r="Q95" s="27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</row>
    <row r="96" spans="1:38" ht="15" x14ac:dyDescent="0.2">
      <c r="A96" s="24">
        <v>88</v>
      </c>
      <c r="B96" s="25">
        <v>21.45</v>
      </c>
      <c r="C96" s="25">
        <v>22</v>
      </c>
      <c r="D96" s="118">
        <f t="shared" si="1"/>
        <v>1200</v>
      </c>
      <c r="E96" s="26">
        <v>4.6500000000000004</v>
      </c>
      <c r="F96" s="25">
        <v>1000</v>
      </c>
      <c r="G96" s="25">
        <v>200</v>
      </c>
      <c r="H96" s="27">
        <v>0</v>
      </c>
      <c r="I96" s="27"/>
      <c r="J96" s="27"/>
      <c r="K96" s="27"/>
      <c r="L96" s="27"/>
      <c r="M96" s="27"/>
      <c r="N96" s="27"/>
      <c r="O96" s="27"/>
      <c r="P96" s="27"/>
      <c r="Q96" s="27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</row>
    <row r="97" spans="1:38" ht="15" x14ac:dyDescent="0.2">
      <c r="A97" s="24">
        <v>89</v>
      </c>
      <c r="B97" s="25">
        <v>22</v>
      </c>
      <c r="C97" s="25">
        <v>22.15</v>
      </c>
      <c r="D97" s="118">
        <f t="shared" si="1"/>
        <v>1200</v>
      </c>
      <c r="E97" s="26">
        <v>4.6500000000000004</v>
      </c>
      <c r="F97" s="25">
        <v>1000</v>
      </c>
      <c r="G97" s="25">
        <v>200</v>
      </c>
      <c r="H97" s="27">
        <v>0</v>
      </c>
      <c r="I97" s="27"/>
      <c r="J97" s="27"/>
      <c r="K97" s="27"/>
      <c r="L97" s="27"/>
      <c r="M97" s="27"/>
      <c r="N97" s="27"/>
      <c r="O97" s="27"/>
      <c r="P97" s="27"/>
      <c r="Q97" s="27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</row>
    <row r="98" spans="1:38" ht="15" x14ac:dyDescent="0.2">
      <c r="A98" s="24">
        <v>90</v>
      </c>
      <c r="B98" s="25">
        <v>22.15</v>
      </c>
      <c r="C98" s="25">
        <v>22.3</v>
      </c>
      <c r="D98" s="118">
        <f t="shared" si="1"/>
        <v>1200</v>
      </c>
      <c r="E98" s="26">
        <v>4.6500000000000004</v>
      </c>
      <c r="F98" s="25">
        <v>1000</v>
      </c>
      <c r="G98" s="25">
        <v>200</v>
      </c>
      <c r="H98" s="27">
        <v>0</v>
      </c>
      <c r="I98" s="27"/>
      <c r="J98" s="27"/>
      <c r="K98" s="27"/>
      <c r="L98" s="27"/>
      <c r="M98" s="27"/>
      <c r="N98" s="27"/>
      <c r="O98" s="27"/>
      <c r="P98" s="27"/>
      <c r="Q98" s="27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</row>
    <row r="99" spans="1:38" ht="15" x14ac:dyDescent="0.2">
      <c r="A99" s="24">
        <v>91</v>
      </c>
      <c r="B99" s="25">
        <v>22.3</v>
      </c>
      <c r="C99" s="25">
        <v>22.45</v>
      </c>
      <c r="D99" s="118">
        <f t="shared" si="1"/>
        <v>1200</v>
      </c>
      <c r="E99" s="26">
        <v>4.6500000000000004</v>
      </c>
      <c r="F99" s="25">
        <v>1000</v>
      </c>
      <c r="G99" s="25">
        <v>200</v>
      </c>
      <c r="H99" s="27">
        <v>0</v>
      </c>
      <c r="I99" s="27"/>
      <c r="J99" s="27"/>
      <c r="K99" s="27"/>
      <c r="L99" s="27"/>
      <c r="M99" s="27"/>
      <c r="N99" s="27"/>
      <c r="O99" s="27"/>
      <c r="P99" s="27"/>
      <c r="Q99" s="27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</row>
    <row r="100" spans="1:38" ht="15" x14ac:dyDescent="0.2">
      <c r="A100" s="24">
        <v>92</v>
      </c>
      <c r="B100" s="25">
        <v>22.45</v>
      </c>
      <c r="C100" s="25">
        <v>23</v>
      </c>
      <c r="D100" s="118">
        <f t="shared" si="1"/>
        <v>1200</v>
      </c>
      <c r="E100" s="26">
        <v>4.6500000000000004</v>
      </c>
      <c r="F100" s="25">
        <v>1000</v>
      </c>
      <c r="G100" s="25">
        <v>200</v>
      </c>
      <c r="H100" s="27">
        <v>0</v>
      </c>
      <c r="I100" s="27"/>
      <c r="J100" s="27"/>
      <c r="K100" s="27"/>
      <c r="L100" s="27"/>
      <c r="M100" s="27"/>
      <c r="N100" s="27"/>
      <c r="O100" s="27"/>
      <c r="P100" s="27"/>
      <c r="Q100" s="27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</row>
    <row r="101" spans="1:38" ht="15" x14ac:dyDescent="0.2">
      <c r="A101" s="24">
        <v>93</v>
      </c>
      <c r="B101" s="25">
        <v>23</v>
      </c>
      <c r="C101" s="25">
        <v>23.15</v>
      </c>
      <c r="D101" s="118">
        <f t="shared" si="1"/>
        <v>1200</v>
      </c>
      <c r="E101" s="26">
        <v>4.6500000000000004</v>
      </c>
      <c r="F101" s="25">
        <v>1000</v>
      </c>
      <c r="G101" s="25">
        <v>200</v>
      </c>
      <c r="H101" s="27">
        <v>0</v>
      </c>
      <c r="I101" s="27"/>
      <c r="J101" s="27"/>
      <c r="K101" s="27"/>
      <c r="L101" s="27"/>
      <c r="M101" s="27"/>
      <c r="N101" s="27"/>
      <c r="O101" s="27"/>
      <c r="P101" s="27"/>
      <c r="Q101" s="27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</row>
    <row r="102" spans="1:38" ht="15" x14ac:dyDescent="0.2">
      <c r="A102" s="24">
        <v>94</v>
      </c>
      <c r="B102" s="25">
        <v>23.15</v>
      </c>
      <c r="C102" s="25">
        <v>23.3</v>
      </c>
      <c r="D102" s="118">
        <f t="shared" si="1"/>
        <v>1200</v>
      </c>
      <c r="E102" s="26">
        <v>4.6500000000000004</v>
      </c>
      <c r="F102" s="25">
        <v>1000</v>
      </c>
      <c r="G102" s="25">
        <v>200</v>
      </c>
      <c r="H102" s="27">
        <v>0</v>
      </c>
      <c r="I102" s="27"/>
      <c r="J102" s="27"/>
      <c r="K102" s="27"/>
      <c r="L102" s="27"/>
      <c r="M102" s="27"/>
      <c r="N102" s="27"/>
      <c r="O102" s="27"/>
      <c r="P102" s="27"/>
      <c r="Q102" s="27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</row>
    <row r="103" spans="1:38" ht="15" x14ac:dyDescent="0.2">
      <c r="A103" s="24">
        <v>95</v>
      </c>
      <c r="B103" s="25">
        <v>23.3</v>
      </c>
      <c r="C103" s="25">
        <v>23.45</v>
      </c>
      <c r="D103" s="118">
        <f t="shared" si="1"/>
        <v>1200</v>
      </c>
      <c r="E103" s="26">
        <v>4.6500000000000004</v>
      </c>
      <c r="F103" s="25">
        <v>1000</v>
      </c>
      <c r="G103" s="25">
        <v>200</v>
      </c>
      <c r="H103" s="27">
        <v>0</v>
      </c>
      <c r="I103" s="27"/>
      <c r="J103" s="27"/>
      <c r="K103" s="27"/>
      <c r="L103" s="27"/>
      <c r="M103" s="27"/>
      <c r="N103" s="27"/>
      <c r="O103" s="27"/>
      <c r="P103" s="27"/>
      <c r="Q103" s="27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</row>
    <row r="104" spans="1:38" ht="15" x14ac:dyDescent="0.2">
      <c r="A104" s="29">
        <v>96</v>
      </c>
      <c r="B104" s="30">
        <v>23.45</v>
      </c>
      <c r="C104" s="30">
        <v>24</v>
      </c>
      <c r="D104" s="118">
        <f t="shared" si="1"/>
        <v>1200</v>
      </c>
      <c r="E104" s="26">
        <v>4.6500000000000004</v>
      </c>
      <c r="F104" s="25">
        <v>1000</v>
      </c>
      <c r="G104" s="25">
        <v>200</v>
      </c>
      <c r="H104" s="27">
        <v>0</v>
      </c>
      <c r="I104" s="27"/>
      <c r="J104" s="27"/>
      <c r="K104" s="27"/>
      <c r="L104" s="27"/>
      <c r="M104" s="27"/>
      <c r="N104" s="27"/>
      <c r="O104" s="27"/>
      <c r="P104" s="27"/>
      <c r="Q104" s="27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</row>
    <row r="105" spans="1:38" s="62" customFormat="1" x14ac:dyDescent="0.2"/>
    <row r="106" spans="1:38" s="62" customFormat="1" x14ac:dyDescent="0.2"/>
    <row r="107" spans="1:38" s="62" customFormat="1" x14ac:dyDescent="0.2"/>
    <row r="108" spans="1:38" x14ac:dyDescent="0.2">
      <c r="H108" s="62"/>
    </row>
    <row r="109" spans="1:38" x14ac:dyDescent="0.2">
      <c r="H109" s="62"/>
    </row>
    <row r="124" spans="8:8" x14ac:dyDescent="0.2">
      <c r="H124" s="5" t="s">
        <v>72</v>
      </c>
    </row>
    <row r="285" spans="2:14" s="31" customFormat="1" x14ac:dyDescent="0.2"/>
    <row r="286" spans="2:14" x14ac:dyDescent="0.2">
      <c r="B286" s="32"/>
      <c r="C286" s="32"/>
      <c r="D286" s="32"/>
      <c r="E286" s="32"/>
      <c r="F286" s="32"/>
      <c r="G286" s="32"/>
      <c r="H286" s="32"/>
      <c r="I286" s="32"/>
      <c r="J286" s="32"/>
      <c r="K286" s="32"/>
      <c r="L286" s="32"/>
      <c r="M286" s="32"/>
      <c r="N286" s="32"/>
    </row>
    <row r="287" spans="2:14" x14ac:dyDescent="0.2">
      <c r="B287" s="32"/>
      <c r="C287" s="32"/>
      <c r="D287" s="32"/>
      <c r="E287" s="32"/>
      <c r="F287" s="32"/>
      <c r="G287" s="32"/>
      <c r="H287" s="32"/>
      <c r="I287" s="32"/>
      <c r="J287" s="32"/>
      <c r="K287" s="32"/>
      <c r="L287" s="32"/>
      <c r="M287" s="32"/>
      <c r="N287" s="32"/>
    </row>
    <row r="288" spans="2:14" x14ac:dyDescent="0.2">
      <c r="B288" s="32"/>
      <c r="C288" s="32"/>
      <c r="D288" s="32"/>
      <c r="E288" s="32"/>
      <c r="F288" s="32"/>
      <c r="G288" s="32"/>
      <c r="H288" s="32"/>
      <c r="I288" s="32"/>
      <c r="J288" s="32"/>
      <c r="K288" s="32"/>
      <c r="L288" s="32"/>
      <c r="M288" s="32"/>
      <c r="N288" s="32"/>
    </row>
    <row r="289" spans="2:14" x14ac:dyDescent="0.2">
      <c r="B289" s="32"/>
      <c r="C289" s="32"/>
      <c r="D289" s="32"/>
      <c r="E289" s="32"/>
      <c r="F289" s="32"/>
      <c r="G289" s="32"/>
      <c r="H289" s="32"/>
      <c r="I289" s="32"/>
      <c r="J289" s="32"/>
      <c r="K289" s="32"/>
      <c r="L289" s="32"/>
      <c r="M289" s="32"/>
      <c r="N289" s="32"/>
    </row>
    <row r="290" spans="2:14" x14ac:dyDescent="0.2">
      <c r="B290" s="32"/>
      <c r="C290" s="32"/>
      <c r="D290" s="32"/>
      <c r="E290" s="32"/>
      <c r="F290" s="32"/>
      <c r="G290" s="32"/>
      <c r="H290" s="32"/>
      <c r="I290" s="32"/>
      <c r="J290" s="32"/>
      <c r="K290" s="32"/>
      <c r="L290" s="32"/>
      <c r="M290" s="32"/>
      <c r="N290" s="32"/>
    </row>
    <row r="291" spans="2:14" x14ac:dyDescent="0.2"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</row>
    <row r="292" spans="2:14" x14ac:dyDescent="0.2">
      <c r="B292" s="32"/>
      <c r="C292" s="32"/>
      <c r="D292" s="32"/>
      <c r="E292" s="32"/>
      <c r="F292" s="32"/>
      <c r="G292" s="32"/>
      <c r="H292" s="32"/>
      <c r="I292" s="32"/>
      <c r="J292" s="32"/>
      <c r="K292" s="32"/>
      <c r="L292" s="32"/>
      <c r="M292" s="32"/>
      <c r="N292" s="32"/>
    </row>
    <row r="293" spans="2:14" x14ac:dyDescent="0.2"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</row>
    <row r="294" spans="2:14" x14ac:dyDescent="0.2">
      <c r="B294" s="32"/>
      <c r="C294" s="32"/>
      <c r="D294" s="32"/>
      <c r="E294" s="32"/>
      <c r="F294" s="32"/>
      <c r="G294" s="32"/>
      <c r="H294" s="32"/>
      <c r="I294" s="32"/>
      <c r="J294" s="32"/>
      <c r="K294" s="32"/>
      <c r="L294" s="32"/>
      <c r="M294" s="32"/>
      <c r="N294" s="32"/>
    </row>
    <row r="295" spans="2:14" x14ac:dyDescent="0.2">
      <c r="B295" s="32"/>
      <c r="C295" s="32"/>
      <c r="D295" s="32"/>
      <c r="E295" s="32"/>
      <c r="F295" s="32"/>
      <c r="G295" s="32"/>
      <c r="H295" s="32"/>
      <c r="I295" s="32"/>
      <c r="J295" s="32"/>
      <c r="K295" s="32"/>
      <c r="L295" s="32"/>
      <c r="M295" s="32"/>
      <c r="N295" s="32"/>
    </row>
    <row r="296" spans="2:14" x14ac:dyDescent="0.2">
      <c r="B296" s="32"/>
      <c r="C296" s="32"/>
      <c r="D296" s="32"/>
      <c r="E296" s="32"/>
      <c r="F296" s="32"/>
      <c r="G296" s="32"/>
      <c r="H296" s="32"/>
      <c r="I296" s="32"/>
      <c r="J296" s="32"/>
      <c r="K296" s="32"/>
      <c r="L296" s="32"/>
      <c r="M296" s="32"/>
      <c r="N296" s="32"/>
    </row>
    <row r="297" spans="2:14" x14ac:dyDescent="0.2">
      <c r="B297" s="32"/>
      <c r="C297" s="32"/>
      <c r="D297" s="32"/>
      <c r="E297" s="32"/>
      <c r="F297" s="32"/>
      <c r="G297" s="32"/>
      <c r="H297" s="32"/>
      <c r="I297" s="32"/>
      <c r="J297" s="32"/>
      <c r="K297" s="32"/>
      <c r="L297" s="32"/>
      <c r="M297" s="32"/>
      <c r="N297" s="32"/>
    </row>
    <row r="298" spans="2:14" x14ac:dyDescent="0.2">
      <c r="B298" s="32"/>
      <c r="C298" s="32"/>
      <c r="D298" s="32"/>
      <c r="E298" s="32"/>
      <c r="F298" s="32"/>
      <c r="G298" s="32"/>
      <c r="H298" s="32"/>
      <c r="I298" s="32"/>
      <c r="J298" s="32"/>
      <c r="K298" s="32"/>
      <c r="L298" s="32"/>
      <c r="M298" s="32"/>
      <c r="N298" s="32"/>
    </row>
    <row r="299" spans="2:14" x14ac:dyDescent="0.2">
      <c r="B299" s="32"/>
      <c r="C299" s="32"/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</row>
    <row r="300" spans="2:14" x14ac:dyDescent="0.2">
      <c r="B300" s="32"/>
      <c r="C300" s="32"/>
      <c r="D300" s="32"/>
      <c r="E300" s="32"/>
      <c r="F300" s="32"/>
      <c r="G300" s="32"/>
      <c r="H300" s="32"/>
      <c r="I300" s="32"/>
      <c r="J300" s="32"/>
      <c r="K300" s="32"/>
      <c r="L300" s="32"/>
      <c r="M300" s="32"/>
      <c r="N300" s="32"/>
    </row>
    <row r="301" spans="2:14" x14ac:dyDescent="0.2"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2"/>
      <c r="M301" s="32"/>
      <c r="N301" s="32"/>
    </row>
    <row r="302" spans="2:14" x14ac:dyDescent="0.2">
      <c r="B302" s="32"/>
      <c r="C302" s="32"/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</row>
    <row r="303" spans="2:14" x14ac:dyDescent="0.2"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</row>
    <row r="304" spans="2:14" x14ac:dyDescent="0.2">
      <c r="B304" s="32"/>
      <c r="C304" s="32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</row>
    <row r="305" spans="2:14" x14ac:dyDescent="0.2"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/>
      <c r="M305" s="32"/>
      <c r="N305" s="32"/>
    </row>
    <row r="306" spans="2:14" x14ac:dyDescent="0.2">
      <c r="B306" s="32"/>
      <c r="C306" s="32"/>
      <c r="D306" s="32"/>
      <c r="E306" s="32"/>
      <c r="F306" s="32"/>
      <c r="G306" s="32"/>
      <c r="H306" s="32"/>
      <c r="I306" s="32"/>
      <c r="J306" s="32"/>
      <c r="K306" s="32"/>
      <c r="L306" s="32"/>
      <c r="M306" s="32"/>
      <c r="N306" s="32"/>
    </row>
    <row r="307" spans="2:14" x14ac:dyDescent="0.2"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/>
      <c r="M307" s="32"/>
      <c r="N307" s="32"/>
    </row>
    <row r="308" spans="2:14" x14ac:dyDescent="0.2">
      <c r="B308" s="32"/>
      <c r="C308" s="32"/>
      <c r="D308" s="32"/>
      <c r="E308" s="32"/>
      <c r="F308" s="32"/>
      <c r="G308" s="32"/>
      <c r="H308" s="32"/>
      <c r="I308" s="32"/>
      <c r="J308" s="32"/>
      <c r="K308" s="32"/>
      <c r="L308" s="32"/>
      <c r="M308" s="32"/>
      <c r="N308" s="32"/>
    </row>
    <row r="309" spans="2:14" x14ac:dyDescent="0.2">
      <c r="B309" s="32"/>
      <c r="C309" s="32"/>
      <c r="D309" s="32"/>
      <c r="E309" s="32"/>
      <c r="F309" s="32"/>
      <c r="G309" s="32"/>
      <c r="H309" s="32"/>
      <c r="I309" s="32"/>
      <c r="J309" s="32"/>
      <c r="K309" s="32"/>
      <c r="L309" s="32"/>
      <c r="M309" s="32"/>
      <c r="N309" s="32"/>
    </row>
    <row r="310" spans="2:14" x14ac:dyDescent="0.2">
      <c r="B310" s="32"/>
      <c r="C310" s="32"/>
      <c r="D310" s="32"/>
      <c r="E310" s="32"/>
      <c r="F310" s="32"/>
      <c r="G310" s="32"/>
      <c r="H310" s="32"/>
      <c r="I310" s="32"/>
      <c r="J310" s="32"/>
      <c r="K310" s="32"/>
      <c r="L310" s="32"/>
      <c r="M310" s="32"/>
      <c r="N310" s="32"/>
    </row>
    <row r="311" spans="2:14" x14ac:dyDescent="0.2"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</row>
    <row r="312" spans="2:14" x14ac:dyDescent="0.2"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</row>
    <row r="313" spans="2:14" x14ac:dyDescent="0.2"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</row>
    <row r="314" spans="2:14" x14ac:dyDescent="0.2"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</row>
    <row r="315" spans="2:14" x14ac:dyDescent="0.2"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</row>
    <row r="316" spans="2:14" x14ac:dyDescent="0.2"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</row>
    <row r="317" spans="2:14" x14ac:dyDescent="0.2"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</row>
    <row r="318" spans="2:14" x14ac:dyDescent="0.2"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</row>
    <row r="319" spans="2:14" x14ac:dyDescent="0.2"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</row>
    <row r="320" spans="2:14" x14ac:dyDescent="0.2"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</row>
    <row r="321" spans="2:14" x14ac:dyDescent="0.2"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</row>
    <row r="322" spans="2:14" x14ac:dyDescent="0.2"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</row>
    <row r="323" spans="2:14" x14ac:dyDescent="0.2"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</row>
    <row r="324" spans="2:14" x14ac:dyDescent="0.2"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</row>
    <row r="325" spans="2:14" x14ac:dyDescent="0.2"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</row>
    <row r="326" spans="2:14" x14ac:dyDescent="0.2"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</row>
    <row r="327" spans="2:14" x14ac:dyDescent="0.2"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</row>
    <row r="328" spans="2:14" x14ac:dyDescent="0.2"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</row>
    <row r="329" spans="2:14" x14ac:dyDescent="0.2"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</row>
    <row r="330" spans="2:14" x14ac:dyDescent="0.2"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</row>
    <row r="331" spans="2:14" x14ac:dyDescent="0.2"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</row>
    <row r="332" spans="2:14" x14ac:dyDescent="0.2"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</row>
    <row r="333" spans="2:14" x14ac:dyDescent="0.2"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</row>
    <row r="334" spans="2:14" x14ac:dyDescent="0.2"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</row>
    <row r="335" spans="2:14" x14ac:dyDescent="0.2"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</row>
    <row r="336" spans="2:14" x14ac:dyDescent="0.2"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</row>
    <row r="337" spans="2:14" x14ac:dyDescent="0.2"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</row>
    <row r="338" spans="2:14" x14ac:dyDescent="0.2"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</row>
    <row r="339" spans="2:14" x14ac:dyDescent="0.2"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</row>
    <row r="340" spans="2:14" x14ac:dyDescent="0.2"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</row>
    <row r="341" spans="2:14" x14ac:dyDescent="0.2"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</row>
    <row r="342" spans="2:14" x14ac:dyDescent="0.2"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</row>
    <row r="343" spans="2:14" x14ac:dyDescent="0.2"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</row>
    <row r="344" spans="2:14" x14ac:dyDescent="0.2"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</row>
    <row r="345" spans="2:14" x14ac:dyDescent="0.2"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</row>
    <row r="346" spans="2:14" x14ac:dyDescent="0.2"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</row>
    <row r="347" spans="2:14" x14ac:dyDescent="0.2"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</row>
    <row r="348" spans="2:14" x14ac:dyDescent="0.2"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</row>
    <row r="349" spans="2:14" x14ac:dyDescent="0.2"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</row>
    <row r="350" spans="2:14" x14ac:dyDescent="0.2"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</row>
    <row r="351" spans="2:14" x14ac:dyDescent="0.2"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</row>
    <row r="352" spans="2:14" x14ac:dyDescent="0.2"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</row>
    <row r="353" spans="2:14" x14ac:dyDescent="0.2"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</row>
    <row r="354" spans="2:14" x14ac:dyDescent="0.2"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</row>
    <row r="355" spans="2:14" x14ac:dyDescent="0.2"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</row>
    <row r="356" spans="2:14" x14ac:dyDescent="0.2"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</row>
    <row r="357" spans="2:14" x14ac:dyDescent="0.2"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</row>
    <row r="358" spans="2:14" x14ac:dyDescent="0.2"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</row>
    <row r="359" spans="2:14" x14ac:dyDescent="0.2"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</row>
    <row r="360" spans="2:14" x14ac:dyDescent="0.2"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</row>
    <row r="361" spans="2:14" x14ac:dyDescent="0.2"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</row>
    <row r="362" spans="2:14" x14ac:dyDescent="0.2"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</row>
    <row r="363" spans="2:14" x14ac:dyDescent="0.2"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</row>
    <row r="364" spans="2:14" x14ac:dyDescent="0.2"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</row>
    <row r="365" spans="2:14" x14ac:dyDescent="0.2"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</row>
    <row r="366" spans="2:14" x14ac:dyDescent="0.2"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</row>
    <row r="367" spans="2:14" x14ac:dyDescent="0.2"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</row>
    <row r="368" spans="2:14" x14ac:dyDescent="0.2"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</row>
    <row r="369" spans="2:14" x14ac:dyDescent="0.2"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</row>
    <row r="370" spans="2:14" x14ac:dyDescent="0.2"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</row>
    <row r="371" spans="2:14" x14ac:dyDescent="0.2"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</row>
    <row r="372" spans="2:14" x14ac:dyDescent="0.2"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</row>
    <row r="373" spans="2:14" x14ac:dyDescent="0.2"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</row>
    <row r="374" spans="2:14" x14ac:dyDescent="0.2"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</row>
    <row r="375" spans="2:14" x14ac:dyDescent="0.2"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</row>
    <row r="376" spans="2:14" x14ac:dyDescent="0.2"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</row>
    <row r="377" spans="2:14" x14ac:dyDescent="0.2"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</row>
    <row r="378" spans="2:14" x14ac:dyDescent="0.2"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</row>
    <row r="379" spans="2:14" x14ac:dyDescent="0.2"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</row>
    <row r="380" spans="2:14" x14ac:dyDescent="0.2"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</row>
    <row r="381" spans="2:14" x14ac:dyDescent="0.2"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</row>
    <row r="485" spans="1:1" x14ac:dyDescent="0.2">
      <c r="A485" s="5" t="s">
        <v>23</v>
      </c>
    </row>
    <row r="486" spans="1:1" x14ac:dyDescent="0.2">
      <c r="A486" s="5" t="s">
        <v>24</v>
      </c>
    </row>
    <row r="487" spans="1:1" x14ac:dyDescent="0.2">
      <c r="A487" s="5" t="s">
        <v>25</v>
      </c>
    </row>
    <row r="488" spans="1:1" x14ac:dyDescent="0.2">
      <c r="A488" s="5" t="s">
        <v>26</v>
      </c>
    </row>
    <row r="489" spans="1:1" x14ac:dyDescent="0.2">
      <c r="A489" s="5" t="s">
        <v>27</v>
      </c>
    </row>
    <row r="490" spans="1:1" x14ac:dyDescent="0.2">
      <c r="A490" s="5" t="s">
        <v>28</v>
      </c>
    </row>
    <row r="491" spans="1:1" x14ac:dyDescent="0.2">
      <c r="A491" s="5" t="s">
        <v>29</v>
      </c>
    </row>
    <row r="492" spans="1:1" x14ac:dyDescent="0.2">
      <c r="A492" s="5" t="s">
        <v>30</v>
      </c>
    </row>
    <row r="493" spans="1:1" x14ac:dyDescent="0.2">
      <c r="A493" s="5" t="s">
        <v>31</v>
      </c>
    </row>
    <row r="494" spans="1:1" x14ac:dyDescent="0.2">
      <c r="A494" s="5" t="s">
        <v>32</v>
      </c>
    </row>
  </sheetData>
  <protectedRanges>
    <protectedRange algorithmName="SHA-512" hashValue="qQYn+m+b4UVdjF94fJY26EWyaL6NXSlMR0hjQ5/xNDkmthaz1VvGWbh/7nGtIdkgRT6aNUF0IIZNQcadTKpO7g==" saltValue="2NnoMCglf5tG+69kK64QMw==" spinCount="100000" sqref="H105:H107 F105:G105 F9:AL104" name="Range3"/>
    <protectedRange algorithmName="SHA-512" hashValue="CuSudXHW9P7CBQkrs8AwohLW+eqtBB1GgPvOQKTdoYabZsh7qeQNmlih2szINLu/Iv371wYh7iyn/B9fW+VuJQ==" saltValue="3apz8eMp+e3RXrdw+Rtnhw==" spinCount="100000" sqref="B6" name="Range1"/>
    <protectedRange algorithmName="SHA-512" hashValue="1jJWfUXWRRT08/cshb+Zq/RAMTya5nSG8yWpGVBg0Dfqhe3vup+3W9p/IBZi/Wrrv1DDhqG9wt/eD6EO1fnNvQ==" saltValue="VWP5arczVApFJ9oxlz3YOA==" spinCount="100000" sqref="D8:E8 AF8:AL8" name="Range2"/>
    <protectedRange algorithmName="SHA-512" hashValue="1jJWfUXWRRT08/cshb+Zq/RAMTya5nSG8yWpGVBg0Dfqhe3vup+3W9p/IBZi/Wrrv1DDhqG9wt/eD6EO1fnNvQ==" saltValue="VWP5arczVApFJ9oxlz3YOA==" spinCount="100000" sqref="S8:T8 V8:AE8" name="Range2_1"/>
    <protectedRange algorithmName="SHA-512" hashValue="1jJWfUXWRRT08/cshb+Zq/RAMTya5nSG8yWpGVBg0Dfqhe3vup+3W9p/IBZi/Wrrv1DDhqG9wt/eD6EO1fnNvQ==" saltValue="VWP5arczVApFJ9oxlz3YOA==" spinCount="100000" sqref="U8 F8:G8 I8:R8" name="Range2_3"/>
    <protectedRange algorithmName="SHA-512" hashValue="1jJWfUXWRRT08/cshb+Zq/RAMTya5nSG8yWpGVBg0Dfqhe3vup+3W9p/IBZi/Wrrv1DDhqG9wt/eD6EO1fnNvQ==" saltValue="VWP5arczVApFJ9oxlz3YOA==" spinCount="100000" sqref="H8" name="Range2_3_2"/>
  </protectedRanges>
  <mergeCells count="7">
    <mergeCell ref="A1:P1"/>
    <mergeCell ref="A2:P2"/>
    <mergeCell ref="A3:A4"/>
    <mergeCell ref="B3:D4"/>
    <mergeCell ref="E3:E4"/>
    <mergeCell ref="F3:G4"/>
    <mergeCell ref="H3:K4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CustomerData!$B$1:$B$483</xm:f>
          </x14:formula1>
          <xm:sqref>F8:AL8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4" tint="0.39997558519241921"/>
  </sheetPr>
  <dimension ref="A1:AI978"/>
  <sheetViews>
    <sheetView tabSelected="1" zoomScale="90" zoomScaleNormal="90" workbookViewId="0">
      <pane ySplit="8" topLeftCell="A54" activePane="bottomLeft" state="frozen"/>
      <selection pane="bottomLeft" activeCell="E9" sqref="E9:F104"/>
    </sheetView>
  </sheetViews>
  <sheetFormatPr defaultColWidth="9.140625" defaultRowHeight="12.75" x14ac:dyDescent="0.25"/>
  <cols>
    <col min="1" max="2" width="9.140625" style="34" customWidth="1"/>
    <col min="3" max="3" width="11.140625" style="34" customWidth="1"/>
    <col min="4" max="4" width="10.85546875" style="34" customWidth="1"/>
    <col min="5" max="5" width="13.5703125" style="34" customWidth="1"/>
    <col min="6" max="6" width="10.85546875" style="34" bestFit="1" customWidth="1"/>
    <col min="7" max="8" width="10.140625" style="34" bestFit="1" customWidth="1"/>
    <col min="9" max="9" width="10.7109375" style="34" bestFit="1" customWidth="1"/>
    <col min="10" max="10" width="11.85546875" style="34" bestFit="1" customWidth="1"/>
    <col min="11" max="11" width="11.85546875" style="34" customWidth="1"/>
    <col min="12" max="12" width="10.85546875" style="34" customWidth="1"/>
    <col min="13" max="16" width="9.140625" style="34" customWidth="1"/>
    <col min="17" max="17" width="15.7109375" style="34" customWidth="1"/>
    <col min="18" max="16384" width="9.140625" style="34"/>
  </cols>
  <sheetData>
    <row r="1" spans="1:35" ht="28.5" customHeight="1" x14ac:dyDescent="0.25">
      <c r="A1" s="156" t="s">
        <v>33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1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</row>
    <row r="2" spans="1:35" x14ac:dyDescent="0.25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14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</row>
    <row r="3" spans="1:35" s="38" customFormat="1" ht="13.5" customHeight="1" x14ac:dyDescent="0.25">
      <c r="A3" s="158" t="s">
        <v>10</v>
      </c>
      <c r="B3" s="159"/>
      <c r="C3" s="160"/>
      <c r="D3" s="160"/>
      <c r="E3" s="161">
        <f ca="1">TODAY()</f>
        <v>45398</v>
      </c>
      <c r="F3" s="160" t="s">
        <v>11</v>
      </c>
      <c r="G3" s="160"/>
      <c r="H3" s="162" t="s">
        <v>12</v>
      </c>
      <c r="I3" s="163"/>
      <c r="J3" s="163"/>
      <c r="K3" s="163"/>
      <c r="L3" s="163"/>
      <c r="M3" s="8" t="s">
        <v>116</v>
      </c>
      <c r="N3" s="36"/>
      <c r="O3" s="37"/>
      <c r="P3" s="36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3"/>
      <c r="AC3" s="151"/>
      <c r="AD3" s="151"/>
      <c r="AE3" s="151"/>
      <c r="AF3" s="151"/>
      <c r="AG3" s="151"/>
      <c r="AH3" s="151"/>
      <c r="AI3" s="151"/>
    </row>
    <row r="4" spans="1:35" s="38" customFormat="1" ht="13.5" customHeight="1" x14ac:dyDescent="0.25">
      <c r="A4" s="158"/>
      <c r="B4" s="159"/>
      <c r="C4" s="160"/>
      <c r="D4" s="160"/>
      <c r="E4" s="161"/>
      <c r="F4" s="160"/>
      <c r="G4" s="160"/>
      <c r="H4" s="164"/>
      <c r="I4" s="165"/>
      <c r="J4" s="165"/>
      <c r="K4" s="165"/>
      <c r="L4" s="165"/>
      <c r="M4" s="39"/>
      <c r="N4" s="39"/>
      <c r="O4" s="40"/>
      <c r="P4" s="39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5"/>
      <c r="AC4" s="151"/>
      <c r="AD4" s="151"/>
      <c r="AE4" s="151"/>
      <c r="AF4" s="151"/>
      <c r="AG4" s="151"/>
      <c r="AH4" s="151"/>
      <c r="AI4" s="151"/>
    </row>
    <row r="5" spans="1:35" s="38" customFormat="1" ht="15.75" x14ac:dyDescent="0.25">
      <c r="A5" s="41" t="s">
        <v>13</v>
      </c>
      <c r="B5" s="41" t="s">
        <v>14</v>
      </c>
      <c r="C5" s="41" t="s">
        <v>15</v>
      </c>
      <c r="D5" s="42">
        <v>1</v>
      </c>
      <c r="E5" s="43" t="s">
        <v>16</v>
      </c>
      <c r="F5" s="42">
        <v>96</v>
      </c>
      <c r="G5" s="44" t="s">
        <v>34</v>
      </c>
      <c r="H5" s="45">
        <v>1200</v>
      </c>
      <c r="I5" s="46" t="s">
        <v>17</v>
      </c>
      <c r="J5" s="47">
        <v>12</v>
      </c>
      <c r="K5" s="47"/>
      <c r="L5" s="48"/>
    </row>
    <row r="6" spans="1:35" s="38" customFormat="1" ht="15" x14ac:dyDescent="0.25">
      <c r="A6" s="145"/>
      <c r="B6" s="146"/>
      <c r="C6" s="147"/>
      <c r="D6" s="64" t="s">
        <v>18</v>
      </c>
      <c r="E6" s="49">
        <f>VLOOKUP(E8,CustomerData!$B:$I,4,FALSE)</f>
        <v>1009</v>
      </c>
      <c r="F6" s="49">
        <f>VLOOKUP(F8,CustomerData!$B:$I,4,FALSE)</f>
        <v>4</v>
      </c>
      <c r="G6" s="49">
        <f>VLOOKUP(G8,CustomerData!$B:$I,4,FALSE)</f>
        <v>1392</v>
      </c>
      <c r="H6" s="49" t="e">
        <f>VLOOKUP(H8,CustomerData!$B:$I,4,FALSE)</f>
        <v>#N/A</v>
      </c>
      <c r="I6" s="49" t="e">
        <f>VLOOKUP(I8,CustomerData!$B:$I,4,FALSE)</f>
        <v>#N/A</v>
      </c>
      <c r="J6" s="49" t="e">
        <f>VLOOKUP(J8,CustomerData!$B:$I,4,FALSE)</f>
        <v>#N/A</v>
      </c>
      <c r="K6" s="49" t="e">
        <f>VLOOKUP(K8,CustomerData!$B:$I,4,FALSE)</f>
        <v>#N/A</v>
      </c>
      <c r="L6" s="49" t="e">
        <f>VLOOKUP(L8,CustomerData!$B:$I,4,FALSE)</f>
        <v>#N/A</v>
      </c>
      <c r="M6" s="49" t="e">
        <f>VLOOKUP(M8,CustomerData!$B:$I,4,FALSE)</f>
        <v>#N/A</v>
      </c>
      <c r="N6" s="49" t="e">
        <f>VLOOKUP(N8,CustomerData!$B:$I,4,FALSE)</f>
        <v>#N/A</v>
      </c>
      <c r="O6" s="49" t="e">
        <f>VLOOKUP(O8,CustomerData!$B:$I,4,FALSE)</f>
        <v>#N/A</v>
      </c>
      <c r="P6" s="49"/>
      <c r="Q6" s="49" t="e">
        <f>VLOOKUP(Q8,CustomerData!$B:$I,4,FALSE)</f>
        <v>#N/A</v>
      </c>
      <c r="R6" s="49" t="e">
        <f>VLOOKUP(R8,CustomerData!$B:$I,4,FALSE)</f>
        <v>#N/A</v>
      </c>
      <c r="S6" s="49" t="e">
        <f>VLOOKUP(S8,CustomerData!$B:$I,4,FALSE)</f>
        <v>#N/A</v>
      </c>
      <c r="T6" s="49" t="e">
        <f>VLOOKUP(T8,CustomerData!$B:$I,4,FALSE)</f>
        <v>#N/A</v>
      </c>
      <c r="U6" s="49" t="e">
        <f>VLOOKUP(U8,CustomerData!$B:$I,4,FALSE)</f>
        <v>#N/A</v>
      </c>
      <c r="V6" s="49" t="e">
        <f>VLOOKUP(V8,CustomerData!$B:$I,4,FALSE)</f>
        <v>#N/A</v>
      </c>
      <c r="W6" s="49" t="e">
        <f>VLOOKUP(W8,CustomerData!$B:$I,4,FALSE)</f>
        <v>#N/A</v>
      </c>
      <c r="X6" s="49" t="e">
        <f>VLOOKUP(X8,CustomerData!$B:$I,4,FALSE)</f>
        <v>#N/A</v>
      </c>
      <c r="Y6" s="49" t="e">
        <f>VLOOKUP(Y8,CustomerData!$B:$I,4,FALSE)</f>
        <v>#N/A</v>
      </c>
      <c r="Z6" s="49" t="e">
        <f>VLOOKUP(Z8,CustomerData!$B:$I,4,FALSE)</f>
        <v>#N/A</v>
      </c>
      <c r="AA6" s="49" t="e">
        <f>VLOOKUP(AA8,CustomerData!$B:$I,4,FALSE)</f>
        <v>#N/A</v>
      </c>
      <c r="AB6" s="49" t="e">
        <f>VLOOKUP(AB8,CustomerData!$B:$I,4,FALSE)</f>
        <v>#N/A</v>
      </c>
      <c r="AC6" s="49" t="e">
        <f>VLOOKUP(AC8,CustomerData!$B:$I,4,FALSE)</f>
        <v>#N/A</v>
      </c>
      <c r="AD6" s="49" t="e">
        <f>VLOOKUP(AD8,CustomerData!$B:$I,4,FALSE)</f>
        <v>#N/A</v>
      </c>
      <c r="AE6" s="49" t="e">
        <f>VLOOKUP(AE8,CustomerData!$B:$I,4,FALSE)</f>
        <v>#N/A</v>
      </c>
      <c r="AF6" s="49" t="e">
        <f>VLOOKUP(AF8,CustomerData!$B:$I,4,FALSE)</f>
        <v>#N/A</v>
      </c>
      <c r="AG6" s="49" t="e">
        <f>VLOOKUP(AG8,CustomerData!$B:$I,4,FALSE)</f>
        <v>#N/A</v>
      </c>
      <c r="AH6" s="49" t="e">
        <f>VLOOKUP(AH8,CustomerData!$B:$I,4,FALSE)</f>
        <v>#N/A</v>
      </c>
      <c r="AI6" s="49" t="e">
        <f>VLOOKUP(AI8,CustomerData!$B:$I,4,FALSE)</f>
        <v>#N/A</v>
      </c>
    </row>
    <row r="7" spans="1:35" s="38" customFormat="1" ht="18.75" x14ac:dyDescent="0.25">
      <c r="A7" s="148"/>
      <c r="B7" s="149"/>
      <c r="C7" s="150"/>
      <c r="D7" s="64" t="s">
        <v>19</v>
      </c>
      <c r="E7" s="50" t="str">
        <f>VLOOKUP(E8,CustomerData!$B:$I,8,FALSE)</f>
        <v xml:space="preserve">LT        </v>
      </c>
      <c r="F7" s="50" t="str">
        <f>VLOOKUP(F8,CustomerData!$B:$I,8,FALSE)</f>
        <v xml:space="preserve">LT        </v>
      </c>
      <c r="G7" s="50" t="str">
        <f>VLOOKUP(G8,CustomerData!$B:$I,8,FALSE)</f>
        <v xml:space="preserve">ST        </v>
      </c>
      <c r="H7" s="50" t="e">
        <f>VLOOKUP(H8,CustomerData!$B:$I,8,FALSE)</f>
        <v>#N/A</v>
      </c>
      <c r="I7" s="50" t="e">
        <f>VLOOKUP(I8,CustomerData!$B:$I,8,FALSE)</f>
        <v>#N/A</v>
      </c>
      <c r="J7" s="50" t="e">
        <f>VLOOKUP(J8,CustomerData!$B:$I,8,FALSE)</f>
        <v>#N/A</v>
      </c>
      <c r="K7" s="50" t="e">
        <f>VLOOKUP(K8,CustomerData!$B:$I,8,FALSE)</f>
        <v>#N/A</v>
      </c>
      <c r="L7" s="50" t="e">
        <f>VLOOKUP(L8,CustomerData!$B:$I,8,FALSE)</f>
        <v>#N/A</v>
      </c>
      <c r="M7" s="50" t="e">
        <f>VLOOKUP(M8,CustomerData!$B:$I,8,FALSE)</f>
        <v>#N/A</v>
      </c>
      <c r="N7" s="50" t="e">
        <f>VLOOKUP(N8,CustomerData!$B:$I,8,FALSE)</f>
        <v>#N/A</v>
      </c>
      <c r="O7" s="50" t="e">
        <f>VLOOKUP(O8,CustomerData!$B:$I,8,FALSE)</f>
        <v>#N/A</v>
      </c>
      <c r="P7" s="50"/>
      <c r="Q7" s="50" t="e">
        <f>VLOOKUP(Q8,CustomerData!$B:$I,8,FALSE)</f>
        <v>#N/A</v>
      </c>
      <c r="R7" s="50" t="e">
        <f>VLOOKUP(R8,CustomerData!$B:$I,8,FALSE)</f>
        <v>#N/A</v>
      </c>
      <c r="S7" s="50" t="e">
        <f>VLOOKUP(S8,CustomerData!$B:$I,8,FALSE)</f>
        <v>#N/A</v>
      </c>
      <c r="T7" s="50" t="e">
        <f>VLOOKUP(T8,CustomerData!$B:$I,8,FALSE)</f>
        <v>#N/A</v>
      </c>
      <c r="U7" s="50" t="e">
        <f>VLOOKUP(U8,CustomerData!$B:$I,8,FALSE)</f>
        <v>#N/A</v>
      </c>
      <c r="V7" s="50" t="e">
        <f>VLOOKUP(V8,CustomerData!$B:$I,8,FALSE)</f>
        <v>#N/A</v>
      </c>
      <c r="W7" s="50" t="e">
        <f>VLOOKUP(W8,CustomerData!$B:$I,8,FALSE)</f>
        <v>#N/A</v>
      </c>
      <c r="X7" s="50" t="e">
        <f>VLOOKUP(X8,CustomerData!$B:$I,8,FALSE)</f>
        <v>#N/A</v>
      </c>
      <c r="Y7" s="50" t="e">
        <f>VLOOKUP(Y8,CustomerData!$B:$I,8,FALSE)</f>
        <v>#N/A</v>
      </c>
      <c r="Z7" s="50" t="e">
        <f>VLOOKUP(Z8,CustomerData!$B:$I,8,FALSE)</f>
        <v>#N/A</v>
      </c>
      <c r="AA7" s="50" t="e">
        <f>VLOOKUP(AA8,CustomerData!$B:$I,8,FALSE)</f>
        <v>#N/A</v>
      </c>
      <c r="AB7" s="50" t="e">
        <f>VLOOKUP(AB8,CustomerData!$B:$I,8,FALSE)</f>
        <v>#N/A</v>
      </c>
      <c r="AC7" s="50" t="e">
        <f>VLOOKUP(AC8,CustomerData!$B:$I,8,FALSE)</f>
        <v>#N/A</v>
      </c>
      <c r="AD7" s="50" t="e">
        <f>VLOOKUP(AD8,CustomerData!$B:$I,8,FALSE)</f>
        <v>#N/A</v>
      </c>
      <c r="AE7" s="50" t="e">
        <f>VLOOKUP(AE8,CustomerData!$B:$I,8,FALSE)</f>
        <v>#N/A</v>
      </c>
      <c r="AF7" s="50" t="e">
        <f>VLOOKUP(AF8,CustomerData!$B:$I,8,FALSE)</f>
        <v>#N/A</v>
      </c>
      <c r="AG7" s="50" t="e">
        <f>VLOOKUP(AG8,CustomerData!$B:$I,8,FALSE)</f>
        <v>#N/A</v>
      </c>
      <c r="AH7" s="50" t="e">
        <f>VLOOKUP(AH8,CustomerData!$B:$I,8,FALSE)</f>
        <v>#N/A</v>
      </c>
      <c r="AI7" s="50" t="e">
        <f>VLOOKUP(AI8,CustomerData!$B:$I,8,FALSE)</f>
        <v>#N/A</v>
      </c>
    </row>
    <row r="8" spans="1:35" s="38" customFormat="1" ht="30" customHeight="1" x14ac:dyDescent="0.25">
      <c r="A8" s="51" t="s">
        <v>20</v>
      </c>
      <c r="B8" s="52" t="s">
        <v>14</v>
      </c>
      <c r="C8" s="52" t="s">
        <v>16</v>
      </c>
      <c r="D8" s="52" t="s">
        <v>35</v>
      </c>
      <c r="E8" s="132" t="s">
        <v>550</v>
      </c>
      <c r="F8" s="132" t="s">
        <v>132</v>
      </c>
      <c r="G8" s="132" t="s">
        <v>613</v>
      </c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</row>
    <row r="9" spans="1:35" s="38" customFormat="1" ht="15" x14ac:dyDescent="0.25">
      <c r="A9" s="53">
        <v>1</v>
      </c>
      <c r="B9" s="54">
        <v>0</v>
      </c>
      <c r="C9" s="54">
        <v>0.15</v>
      </c>
      <c r="D9" s="117">
        <f t="shared" ref="D9:D72" si="0">SUM(E9:AI9)</f>
        <v>1200</v>
      </c>
      <c r="E9" s="77">
        <v>1000</v>
      </c>
      <c r="F9" s="27">
        <v>200</v>
      </c>
      <c r="G9" s="27"/>
      <c r="H9" s="27"/>
      <c r="I9" s="27"/>
      <c r="J9" s="27"/>
      <c r="K9" s="27"/>
      <c r="L9" s="27"/>
      <c r="M9" s="27"/>
      <c r="N9" s="27"/>
      <c r="O9" s="27"/>
      <c r="P9" s="27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</row>
    <row r="10" spans="1:35" s="38" customFormat="1" ht="15" x14ac:dyDescent="0.25">
      <c r="A10" s="53">
        <v>2</v>
      </c>
      <c r="B10" s="54">
        <v>0.15</v>
      </c>
      <c r="C10" s="54">
        <v>0.3</v>
      </c>
      <c r="D10" s="117">
        <f t="shared" si="0"/>
        <v>1200</v>
      </c>
      <c r="E10" s="77">
        <v>1000</v>
      </c>
      <c r="F10" s="27">
        <v>200</v>
      </c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</row>
    <row r="11" spans="1:35" s="38" customFormat="1" ht="15" x14ac:dyDescent="0.25">
      <c r="A11" s="53">
        <v>3</v>
      </c>
      <c r="B11" s="54">
        <v>0.3</v>
      </c>
      <c r="C11" s="54">
        <v>0.45</v>
      </c>
      <c r="D11" s="117">
        <f t="shared" si="0"/>
        <v>1150</v>
      </c>
      <c r="E11" s="77">
        <v>1000</v>
      </c>
      <c r="F11" s="27">
        <v>150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</row>
    <row r="12" spans="1:35" s="38" customFormat="1" ht="15" x14ac:dyDescent="0.25">
      <c r="A12" s="53">
        <v>4</v>
      </c>
      <c r="B12" s="54">
        <v>0.45</v>
      </c>
      <c r="C12" s="54">
        <v>1</v>
      </c>
      <c r="D12" s="117">
        <f t="shared" si="0"/>
        <v>1100</v>
      </c>
      <c r="E12" s="77">
        <v>1000</v>
      </c>
      <c r="F12" s="27">
        <v>100</v>
      </c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</row>
    <row r="13" spans="1:35" s="38" customFormat="1" ht="15" x14ac:dyDescent="0.25">
      <c r="A13" s="53">
        <v>5</v>
      </c>
      <c r="B13" s="54">
        <v>1</v>
      </c>
      <c r="C13" s="54">
        <v>1.1499999999999999</v>
      </c>
      <c r="D13" s="117">
        <f t="shared" si="0"/>
        <v>1100</v>
      </c>
      <c r="E13" s="77">
        <v>1000</v>
      </c>
      <c r="F13" s="27">
        <v>100</v>
      </c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</row>
    <row r="14" spans="1:35" s="38" customFormat="1" ht="15" x14ac:dyDescent="0.25">
      <c r="A14" s="53">
        <v>6</v>
      </c>
      <c r="B14" s="54">
        <v>1.1499999999999999</v>
      </c>
      <c r="C14" s="54">
        <v>1.3</v>
      </c>
      <c r="D14" s="117">
        <f t="shared" si="0"/>
        <v>1100</v>
      </c>
      <c r="E14" s="77">
        <v>1000</v>
      </c>
      <c r="F14" s="27">
        <v>100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</row>
    <row r="15" spans="1:35" s="38" customFormat="1" ht="15" x14ac:dyDescent="0.25">
      <c r="A15" s="53">
        <v>7</v>
      </c>
      <c r="B15" s="54">
        <v>1.3</v>
      </c>
      <c r="C15" s="54">
        <v>1.45</v>
      </c>
      <c r="D15" s="117">
        <f t="shared" si="0"/>
        <v>1100</v>
      </c>
      <c r="E15" s="77">
        <v>1000</v>
      </c>
      <c r="F15" s="27">
        <v>100</v>
      </c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</row>
    <row r="16" spans="1:35" s="38" customFormat="1" ht="15" x14ac:dyDescent="0.25">
      <c r="A16" s="53">
        <v>8</v>
      </c>
      <c r="B16" s="54">
        <v>1.45</v>
      </c>
      <c r="C16" s="54">
        <v>2</v>
      </c>
      <c r="D16" s="117">
        <f t="shared" si="0"/>
        <v>1100</v>
      </c>
      <c r="E16" s="77">
        <v>1000</v>
      </c>
      <c r="F16" s="27">
        <v>100</v>
      </c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</row>
    <row r="17" spans="1:35" s="38" customFormat="1" ht="15" x14ac:dyDescent="0.25">
      <c r="A17" s="53">
        <v>9</v>
      </c>
      <c r="B17" s="54">
        <v>2</v>
      </c>
      <c r="C17" s="54">
        <v>2.15</v>
      </c>
      <c r="D17" s="117">
        <f t="shared" si="0"/>
        <v>1100</v>
      </c>
      <c r="E17" s="77">
        <v>1000</v>
      </c>
      <c r="F17" s="27">
        <v>100</v>
      </c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</row>
    <row r="18" spans="1:35" s="38" customFormat="1" ht="15" x14ac:dyDescent="0.25">
      <c r="A18" s="53">
        <v>10</v>
      </c>
      <c r="B18" s="54">
        <v>2.15</v>
      </c>
      <c r="C18" s="54">
        <v>2.2999999999999998</v>
      </c>
      <c r="D18" s="117">
        <f t="shared" si="0"/>
        <v>1150</v>
      </c>
      <c r="E18" s="77">
        <v>1000</v>
      </c>
      <c r="F18" s="27">
        <v>150</v>
      </c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</row>
    <row r="19" spans="1:35" s="38" customFormat="1" ht="15" x14ac:dyDescent="0.25">
      <c r="A19" s="53">
        <v>11</v>
      </c>
      <c r="B19" s="54">
        <v>2.2999999999999998</v>
      </c>
      <c r="C19" s="54">
        <v>2.4500000000000002</v>
      </c>
      <c r="D19" s="117">
        <f t="shared" si="0"/>
        <v>1200</v>
      </c>
      <c r="E19" s="77">
        <v>1000</v>
      </c>
      <c r="F19" s="27">
        <v>200</v>
      </c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</row>
    <row r="20" spans="1:35" s="38" customFormat="1" ht="15" x14ac:dyDescent="0.25">
      <c r="A20" s="53">
        <v>12</v>
      </c>
      <c r="B20" s="54">
        <v>2.4500000000000002</v>
      </c>
      <c r="C20" s="54">
        <v>3</v>
      </c>
      <c r="D20" s="117">
        <f t="shared" si="0"/>
        <v>1200</v>
      </c>
      <c r="E20" s="77">
        <v>1000</v>
      </c>
      <c r="F20" s="27">
        <v>200</v>
      </c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</row>
    <row r="21" spans="1:35" s="38" customFormat="1" ht="15" x14ac:dyDescent="0.25">
      <c r="A21" s="53">
        <v>13</v>
      </c>
      <c r="B21" s="54">
        <v>3</v>
      </c>
      <c r="C21" s="54">
        <v>3.15</v>
      </c>
      <c r="D21" s="117">
        <f t="shared" si="0"/>
        <v>1200</v>
      </c>
      <c r="E21" s="77">
        <v>1000</v>
      </c>
      <c r="F21" s="27">
        <v>200</v>
      </c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</row>
    <row r="22" spans="1:35" s="38" customFormat="1" ht="15" x14ac:dyDescent="0.25">
      <c r="A22" s="53">
        <v>14</v>
      </c>
      <c r="B22" s="54">
        <v>3.15</v>
      </c>
      <c r="C22" s="54">
        <v>3.3</v>
      </c>
      <c r="D22" s="117">
        <f t="shared" si="0"/>
        <v>1200</v>
      </c>
      <c r="E22" s="77">
        <v>1000</v>
      </c>
      <c r="F22" s="27">
        <v>200</v>
      </c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</row>
    <row r="23" spans="1:35" s="38" customFormat="1" ht="15" x14ac:dyDescent="0.25">
      <c r="A23" s="53">
        <v>15</v>
      </c>
      <c r="B23" s="54">
        <v>3.3</v>
      </c>
      <c r="C23" s="54">
        <v>3.45</v>
      </c>
      <c r="D23" s="117">
        <f t="shared" si="0"/>
        <v>1200</v>
      </c>
      <c r="E23" s="77">
        <v>1000</v>
      </c>
      <c r="F23" s="27">
        <v>200</v>
      </c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</row>
    <row r="24" spans="1:35" s="38" customFormat="1" ht="15" x14ac:dyDescent="0.25">
      <c r="A24" s="53">
        <v>16</v>
      </c>
      <c r="B24" s="54">
        <v>3.45</v>
      </c>
      <c r="C24" s="54">
        <v>4</v>
      </c>
      <c r="D24" s="117">
        <f t="shared" si="0"/>
        <v>1200</v>
      </c>
      <c r="E24" s="77">
        <v>1000</v>
      </c>
      <c r="F24" s="27">
        <v>200</v>
      </c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</row>
    <row r="25" spans="1:35" s="38" customFormat="1" ht="15" x14ac:dyDescent="0.25">
      <c r="A25" s="53">
        <v>17</v>
      </c>
      <c r="B25" s="54">
        <v>4</v>
      </c>
      <c r="C25" s="54">
        <v>4.1500000000000004</v>
      </c>
      <c r="D25" s="117">
        <f t="shared" si="0"/>
        <v>1200</v>
      </c>
      <c r="E25" s="77">
        <v>1000</v>
      </c>
      <c r="F25" s="27">
        <v>200</v>
      </c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</row>
    <row r="26" spans="1:35" s="38" customFormat="1" ht="15" x14ac:dyDescent="0.25">
      <c r="A26" s="53">
        <v>18</v>
      </c>
      <c r="B26" s="54">
        <v>4.1500000000000004</v>
      </c>
      <c r="C26" s="54">
        <v>4.3</v>
      </c>
      <c r="D26" s="117">
        <f t="shared" si="0"/>
        <v>1200</v>
      </c>
      <c r="E26" s="77">
        <v>1000</v>
      </c>
      <c r="F26" s="27">
        <v>200</v>
      </c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</row>
    <row r="27" spans="1:35" s="38" customFormat="1" ht="15" x14ac:dyDescent="0.25">
      <c r="A27" s="53">
        <v>19</v>
      </c>
      <c r="B27" s="54">
        <v>4.3</v>
      </c>
      <c r="C27" s="54">
        <v>4.45</v>
      </c>
      <c r="D27" s="117">
        <f t="shared" si="0"/>
        <v>1200</v>
      </c>
      <c r="E27" s="77">
        <v>1000</v>
      </c>
      <c r="F27" s="27">
        <v>200</v>
      </c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</row>
    <row r="28" spans="1:35" s="38" customFormat="1" ht="15" x14ac:dyDescent="0.25">
      <c r="A28" s="53">
        <v>20</v>
      </c>
      <c r="B28" s="54">
        <v>4.45</v>
      </c>
      <c r="C28" s="54">
        <v>5</v>
      </c>
      <c r="D28" s="117">
        <f t="shared" si="0"/>
        <v>1200</v>
      </c>
      <c r="E28" s="77">
        <v>1000</v>
      </c>
      <c r="F28" s="27">
        <v>200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</row>
    <row r="29" spans="1:35" s="38" customFormat="1" ht="15" x14ac:dyDescent="0.25">
      <c r="A29" s="53">
        <v>21</v>
      </c>
      <c r="B29" s="54">
        <v>5</v>
      </c>
      <c r="C29" s="54">
        <v>5.15</v>
      </c>
      <c r="D29" s="117">
        <f t="shared" si="0"/>
        <v>1200</v>
      </c>
      <c r="E29" s="77">
        <v>1000</v>
      </c>
      <c r="F29" s="27">
        <v>200</v>
      </c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</row>
    <row r="30" spans="1:35" s="38" customFormat="1" ht="15" x14ac:dyDescent="0.25">
      <c r="A30" s="53">
        <v>22</v>
      </c>
      <c r="B30" s="54">
        <v>5.15</v>
      </c>
      <c r="C30" s="54">
        <v>5.3</v>
      </c>
      <c r="D30" s="117">
        <f t="shared" si="0"/>
        <v>1200</v>
      </c>
      <c r="E30" s="77">
        <v>1000</v>
      </c>
      <c r="F30" s="27">
        <v>200</v>
      </c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</row>
    <row r="31" spans="1:35" s="38" customFormat="1" ht="15" x14ac:dyDescent="0.25">
      <c r="A31" s="53">
        <v>23</v>
      </c>
      <c r="B31" s="54">
        <v>5.3</v>
      </c>
      <c r="C31" s="54">
        <v>5.45</v>
      </c>
      <c r="D31" s="117">
        <f t="shared" si="0"/>
        <v>1200</v>
      </c>
      <c r="E31" s="77">
        <v>1000</v>
      </c>
      <c r="F31" s="27">
        <v>200</v>
      </c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</row>
    <row r="32" spans="1:35" s="38" customFormat="1" ht="15" x14ac:dyDescent="0.25">
      <c r="A32" s="53">
        <v>24</v>
      </c>
      <c r="B32" s="54">
        <v>5.45</v>
      </c>
      <c r="C32" s="54">
        <v>6</v>
      </c>
      <c r="D32" s="117">
        <f t="shared" si="0"/>
        <v>1200</v>
      </c>
      <c r="E32" s="77">
        <v>1000</v>
      </c>
      <c r="F32" s="27">
        <v>200</v>
      </c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</row>
    <row r="33" spans="1:35" s="38" customFormat="1" ht="15" x14ac:dyDescent="0.25">
      <c r="A33" s="53">
        <v>25</v>
      </c>
      <c r="B33" s="54">
        <v>6</v>
      </c>
      <c r="C33" s="54">
        <v>6.15</v>
      </c>
      <c r="D33" s="117">
        <f t="shared" si="0"/>
        <v>1200</v>
      </c>
      <c r="E33" s="77">
        <v>1000</v>
      </c>
      <c r="F33" s="27">
        <v>200</v>
      </c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</row>
    <row r="34" spans="1:35" s="38" customFormat="1" ht="15" x14ac:dyDescent="0.25">
      <c r="A34" s="53">
        <v>26</v>
      </c>
      <c r="B34" s="54">
        <v>6.15</v>
      </c>
      <c r="C34" s="54">
        <v>6.3</v>
      </c>
      <c r="D34" s="117">
        <f t="shared" si="0"/>
        <v>1200</v>
      </c>
      <c r="E34" s="77">
        <v>1000</v>
      </c>
      <c r="F34" s="27">
        <v>200</v>
      </c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</row>
    <row r="35" spans="1:35" s="38" customFormat="1" ht="18" customHeight="1" x14ac:dyDescent="0.25">
      <c r="A35" s="53">
        <v>27</v>
      </c>
      <c r="B35" s="54">
        <v>6.3</v>
      </c>
      <c r="C35" s="54">
        <v>6.45</v>
      </c>
      <c r="D35" s="117">
        <f t="shared" si="0"/>
        <v>1200</v>
      </c>
      <c r="E35" s="77">
        <v>1000</v>
      </c>
      <c r="F35" s="27">
        <v>200</v>
      </c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</row>
    <row r="36" spans="1:35" s="38" customFormat="1" ht="15" x14ac:dyDescent="0.25">
      <c r="A36" s="53">
        <v>28</v>
      </c>
      <c r="B36" s="54">
        <v>6.45</v>
      </c>
      <c r="C36" s="54">
        <v>7</v>
      </c>
      <c r="D36" s="117">
        <f t="shared" si="0"/>
        <v>1200</v>
      </c>
      <c r="E36" s="77">
        <v>1000</v>
      </c>
      <c r="F36" s="27">
        <v>200</v>
      </c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</row>
    <row r="37" spans="1:35" s="38" customFormat="1" ht="15" x14ac:dyDescent="0.25">
      <c r="A37" s="53">
        <v>29</v>
      </c>
      <c r="B37" s="54">
        <v>7</v>
      </c>
      <c r="C37" s="54">
        <v>7.15</v>
      </c>
      <c r="D37" s="117">
        <f t="shared" si="0"/>
        <v>1200</v>
      </c>
      <c r="E37" s="77">
        <v>1000</v>
      </c>
      <c r="F37" s="27">
        <v>200</v>
      </c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</row>
    <row r="38" spans="1:35" s="38" customFormat="1" ht="15" x14ac:dyDescent="0.25">
      <c r="A38" s="53">
        <v>30</v>
      </c>
      <c r="B38" s="54">
        <v>7.15</v>
      </c>
      <c r="C38" s="54">
        <v>7.3</v>
      </c>
      <c r="D38" s="117">
        <f t="shared" si="0"/>
        <v>1200</v>
      </c>
      <c r="E38" s="77">
        <v>1000</v>
      </c>
      <c r="F38" s="27">
        <v>200</v>
      </c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</row>
    <row r="39" spans="1:35" s="38" customFormat="1" ht="15" x14ac:dyDescent="0.25">
      <c r="A39" s="53">
        <v>31</v>
      </c>
      <c r="B39" s="54">
        <v>7.3</v>
      </c>
      <c r="C39" s="54">
        <v>7.45</v>
      </c>
      <c r="D39" s="117">
        <f t="shared" si="0"/>
        <v>1200</v>
      </c>
      <c r="E39" s="77">
        <v>1000</v>
      </c>
      <c r="F39" s="27">
        <v>200</v>
      </c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</row>
    <row r="40" spans="1:35" s="38" customFormat="1" ht="15" x14ac:dyDescent="0.25">
      <c r="A40" s="53">
        <v>32</v>
      </c>
      <c r="B40" s="54">
        <v>7.45</v>
      </c>
      <c r="C40" s="54">
        <v>8</v>
      </c>
      <c r="D40" s="117">
        <f t="shared" si="0"/>
        <v>1200</v>
      </c>
      <c r="E40" s="77">
        <v>1000</v>
      </c>
      <c r="F40" s="27">
        <v>200</v>
      </c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</row>
    <row r="41" spans="1:35" ht="15" x14ac:dyDescent="0.25">
      <c r="A41" s="53">
        <v>33</v>
      </c>
      <c r="B41" s="54">
        <v>8</v>
      </c>
      <c r="C41" s="54">
        <v>8.15</v>
      </c>
      <c r="D41" s="117">
        <f t="shared" si="0"/>
        <v>1100</v>
      </c>
      <c r="E41" s="77">
        <v>1000</v>
      </c>
      <c r="F41" s="27">
        <v>100</v>
      </c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</row>
    <row r="42" spans="1:35" ht="15" x14ac:dyDescent="0.25">
      <c r="A42" s="53">
        <v>34</v>
      </c>
      <c r="B42" s="54">
        <v>8.15</v>
      </c>
      <c r="C42" s="56">
        <v>8.3000000000000007</v>
      </c>
      <c r="D42" s="117">
        <f t="shared" si="0"/>
        <v>1100</v>
      </c>
      <c r="E42" s="77">
        <v>1000</v>
      </c>
      <c r="F42" s="27">
        <v>100</v>
      </c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</row>
    <row r="43" spans="1:35" ht="15" x14ac:dyDescent="0.25">
      <c r="A43" s="53">
        <v>35</v>
      </c>
      <c r="B43" s="54">
        <v>8.3000000000000007</v>
      </c>
      <c r="C43" s="54">
        <v>8.4499999999999993</v>
      </c>
      <c r="D43" s="117">
        <f t="shared" si="0"/>
        <v>1000</v>
      </c>
      <c r="E43" s="77">
        <v>1000</v>
      </c>
      <c r="F43" s="27">
        <v>0</v>
      </c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</row>
    <row r="44" spans="1:35" ht="15" x14ac:dyDescent="0.25">
      <c r="A44" s="53">
        <v>36</v>
      </c>
      <c r="B44" s="54">
        <v>8.4499999999999993</v>
      </c>
      <c r="C44" s="54">
        <v>9</v>
      </c>
      <c r="D44" s="117">
        <f t="shared" si="0"/>
        <v>900</v>
      </c>
      <c r="E44" s="77">
        <v>900</v>
      </c>
      <c r="F44" s="27">
        <v>0</v>
      </c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</row>
    <row r="45" spans="1:35" ht="15" x14ac:dyDescent="0.25">
      <c r="A45" s="53">
        <v>37</v>
      </c>
      <c r="B45" s="54">
        <v>9</v>
      </c>
      <c r="C45" s="54">
        <v>9.15</v>
      </c>
      <c r="D45" s="117">
        <f t="shared" si="0"/>
        <v>800</v>
      </c>
      <c r="E45" s="77">
        <v>800</v>
      </c>
      <c r="F45" s="27">
        <v>0</v>
      </c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</row>
    <row r="46" spans="1:35" ht="15" x14ac:dyDescent="0.25">
      <c r="A46" s="53">
        <v>38</v>
      </c>
      <c r="B46" s="56">
        <v>9.15</v>
      </c>
      <c r="C46" s="56">
        <v>9.3000000000000007</v>
      </c>
      <c r="D46" s="117">
        <f t="shared" si="0"/>
        <v>800</v>
      </c>
      <c r="E46" s="77">
        <v>800</v>
      </c>
      <c r="F46" s="27">
        <v>0</v>
      </c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</row>
    <row r="47" spans="1:35" ht="15" x14ac:dyDescent="0.25">
      <c r="A47" s="53">
        <v>39</v>
      </c>
      <c r="B47" s="54">
        <v>9.3000000000000007</v>
      </c>
      <c r="C47" s="54">
        <v>9.4499999999999993</v>
      </c>
      <c r="D47" s="117">
        <f t="shared" si="0"/>
        <v>850</v>
      </c>
      <c r="E47" s="77">
        <v>850</v>
      </c>
      <c r="F47" s="27">
        <v>0</v>
      </c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</row>
    <row r="48" spans="1:35" ht="15" x14ac:dyDescent="0.25">
      <c r="A48" s="53">
        <v>40</v>
      </c>
      <c r="B48" s="54">
        <v>9.4499999999999993</v>
      </c>
      <c r="C48" s="54">
        <v>10</v>
      </c>
      <c r="D48" s="117">
        <f t="shared" si="0"/>
        <v>850</v>
      </c>
      <c r="E48" s="77">
        <v>850</v>
      </c>
      <c r="F48" s="27">
        <v>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</row>
    <row r="49" spans="1:35" ht="15" x14ac:dyDescent="0.25">
      <c r="A49" s="53">
        <v>41</v>
      </c>
      <c r="B49" s="54">
        <v>10</v>
      </c>
      <c r="C49" s="54">
        <v>10.15</v>
      </c>
      <c r="D49" s="117">
        <f t="shared" si="0"/>
        <v>950</v>
      </c>
      <c r="E49" s="77">
        <v>950</v>
      </c>
      <c r="F49" s="27">
        <v>0</v>
      </c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</row>
    <row r="50" spans="1:35" ht="15" x14ac:dyDescent="0.25">
      <c r="A50" s="53">
        <v>42</v>
      </c>
      <c r="B50" s="54">
        <v>10.15</v>
      </c>
      <c r="C50" s="54">
        <v>10.3</v>
      </c>
      <c r="D50" s="117">
        <f t="shared" si="0"/>
        <v>1000</v>
      </c>
      <c r="E50" s="77">
        <v>1000</v>
      </c>
      <c r="F50" s="27">
        <v>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</row>
    <row r="51" spans="1:35" ht="15" x14ac:dyDescent="0.25">
      <c r="A51" s="53">
        <v>43</v>
      </c>
      <c r="B51" s="54">
        <v>10.3</v>
      </c>
      <c r="C51" s="54">
        <v>10.45</v>
      </c>
      <c r="D51" s="117">
        <f t="shared" si="0"/>
        <v>950</v>
      </c>
      <c r="E51" s="77">
        <v>950</v>
      </c>
      <c r="F51" s="27">
        <v>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</row>
    <row r="52" spans="1:35" ht="15" x14ac:dyDescent="0.25">
      <c r="A52" s="53">
        <v>44</v>
      </c>
      <c r="B52" s="54">
        <v>10.45</v>
      </c>
      <c r="C52" s="54">
        <v>11</v>
      </c>
      <c r="D52" s="117">
        <f t="shared" si="0"/>
        <v>900</v>
      </c>
      <c r="E52" s="77">
        <v>900</v>
      </c>
      <c r="F52" s="27">
        <v>0</v>
      </c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</row>
    <row r="53" spans="1:35" ht="15" x14ac:dyDescent="0.25">
      <c r="A53" s="53">
        <v>45</v>
      </c>
      <c r="B53" s="54">
        <v>11</v>
      </c>
      <c r="C53" s="54">
        <v>11.15</v>
      </c>
      <c r="D53" s="117">
        <f t="shared" si="0"/>
        <v>900</v>
      </c>
      <c r="E53" s="77">
        <v>900</v>
      </c>
      <c r="F53" s="27">
        <v>0</v>
      </c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</row>
    <row r="54" spans="1:35" ht="15" x14ac:dyDescent="0.25">
      <c r="A54" s="53">
        <v>46</v>
      </c>
      <c r="B54" s="54">
        <v>11.15</v>
      </c>
      <c r="C54" s="54">
        <v>11.3</v>
      </c>
      <c r="D54" s="117">
        <f t="shared" si="0"/>
        <v>900</v>
      </c>
      <c r="E54" s="77">
        <v>900</v>
      </c>
      <c r="F54" s="27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</row>
    <row r="55" spans="1:35" ht="15" x14ac:dyDescent="0.25">
      <c r="A55" s="53">
        <v>47</v>
      </c>
      <c r="B55" s="54">
        <v>11.3</v>
      </c>
      <c r="C55" s="54">
        <v>11.45</v>
      </c>
      <c r="D55" s="117">
        <f t="shared" si="0"/>
        <v>900</v>
      </c>
      <c r="E55" s="77">
        <v>900</v>
      </c>
      <c r="F55" s="27">
        <v>0</v>
      </c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</row>
    <row r="56" spans="1:35" ht="15" x14ac:dyDescent="0.25">
      <c r="A56" s="53">
        <v>48</v>
      </c>
      <c r="B56" s="54">
        <v>11.45</v>
      </c>
      <c r="C56" s="54">
        <v>12</v>
      </c>
      <c r="D56" s="117">
        <f t="shared" si="0"/>
        <v>950</v>
      </c>
      <c r="E56" s="77">
        <v>950</v>
      </c>
      <c r="F56" s="27">
        <v>0</v>
      </c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</row>
    <row r="57" spans="1:35" ht="15" x14ac:dyDescent="0.25">
      <c r="A57" s="53">
        <v>49</v>
      </c>
      <c r="B57" s="54">
        <v>12</v>
      </c>
      <c r="C57" s="54">
        <v>12.15</v>
      </c>
      <c r="D57" s="117">
        <f t="shared" si="0"/>
        <v>1000</v>
      </c>
      <c r="E57" s="77">
        <v>1000</v>
      </c>
      <c r="F57" s="27">
        <v>0</v>
      </c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</row>
    <row r="58" spans="1:35" ht="15" x14ac:dyDescent="0.25">
      <c r="A58" s="53">
        <v>50</v>
      </c>
      <c r="B58" s="54">
        <v>12.15</v>
      </c>
      <c r="C58" s="54">
        <v>12.3</v>
      </c>
      <c r="D58" s="117">
        <f t="shared" si="0"/>
        <v>1000</v>
      </c>
      <c r="E58" s="77">
        <v>1000</v>
      </c>
      <c r="F58" s="27">
        <v>0</v>
      </c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</row>
    <row r="59" spans="1:35" ht="15" x14ac:dyDescent="0.25">
      <c r="A59" s="53">
        <v>51</v>
      </c>
      <c r="B59" s="54">
        <v>12.3</v>
      </c>
      <c r="C59" s="54">
        <v>12.45</v>
      </c>
      <c r="D59" s="117">
        <f t="shared" si="0"/>
        <v>1000</v>
      </c>
      <c r="E59" s="77">
        <v>1000</v>
      </c>
      <c r="F59" s="27">
        <v>0</v>
      </c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</row>
    <row r="60" spans="1:35" ht="15" x14ac:dyDescent="0.25">
      <c r="A60" s="53">
        <v>52</v>
      </c>
      <c r="B60" s="54">
        <v>12.45</v>
      </c>
      <c r="C60" s="54">
        <v>13</v>
      </c>
      <c r="D60" s="117">
        <f t="shared" si="0"/>
        <v>1000</v>
      </c>
      <c r="E60" s="77">
        <v>1000</v>
      </c>
      <c r="F60" s="27">
        <v>0</v>
      </c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</row>
    <row r="61" spans="1:35" ht="14.25" customHeight="1" x14ac:dyDescent="0.25">
      <c r="A61" s="53">
        <v>53</v>
      </c>
      <c r="B61" s="54">
        <v>13</v>
      </c>
      <c r="C61" s="54">
        <v>13.15</v>
      </c>
      <c r="D61" s="117">
        <f t="shared" si="0"/>
        <v>950</v>
      </c>
      <c r="E61" s="77">
        <v>950</v>
      </c>
      <c r="F61" s="27">
        <v>0</v>
      </c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</row>
    <row r="62" spans="1:35" ht="15" x14ac:dyDescent="0.25">
      <c r="A62" s="53">
        <v>54</v>
      </c>
      <c r="B62" s="54">
        <v>13.15</v>
      </c>
      <c r="C62" s="54">
        <v>13.3</v>
      </c>
      <c r="D62" s="117">
        <f t="shared" si="0"/>
        <v>900</v>
      </c>
      <c r="E62" s="77">
        <v>900</v>
      </c>
      <c r="F62" s="27">
        <v>0</v>
      </c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</row>
    <row r="63" spans="1:35" ht="15" x14ac:dyDescent="0.25">
      <c r="A63" s="53">
        <v>55</v>
      </c>
      <c r="B63" s="54">
        <v>13.3</v>
      </c>
      <c r="C63" s="54">
        <v>13.45</v>
      </c>
      <c r="D63" s="117">
        <f t="shared" si="0"/>
        <v>850</v>
      </c>
      <c r="E63" s="77">
        <v>850</v>
      </c>
      <c r="F63" s="27">
        <v>0</v>
      </c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</row>
    <row r="64" spans="1:35" ht="15" x14ac:dyDescent="0.25">
      <c r="A64" s="53">
        <v>56</v>
      </c>
      <c r="B64" s="54">
        <v>13.45</v>
      </c>
      <c r="C64" s="54">
        <v>14</v>
      </c>
      <c r="D64" s="117">
        <f t="shared" si="0"/>
        <v>800</v>
      </c>
      <c r="E64" s="77">
        <v>800</v>
      </c>
      <c r="F64" s="27">
        <v>0</v>
      </c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</row>
    <row r="65" spans="1:35" ht="15" x14ac:dyDescent="0.25">
      <c r="A65" s="53">
        <v>57</v>
      </c>
      <c r="B65" s="54">
        <v>14</v>
      </c>
      <c r="C65" s="54">
        <v>14.15</v>
      </c>
      <c r="D65" s="117">
        <f t="shared" si="0"/>
        <v>800</v>
      </c>
      <c r="E65" s="77">
        <v>800</v>
      </c>
      <c r="F65" s="27">
        <v>0</v>
      </c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</row>
    <row r="66" spans="1:35" ht="15" x14ac:dyDescent="0.25">
      <c r="A66" s="53">
        <v>58</v>
      </c>
      <c r="B66" s="54">
        <v>14.15</v>
      </c>
      <c r="C66" s="54">
        <v>14.3</v>
      </c>
      <c r="D66" s="117">
        <f t="shared" si="0"/>
        <v>800</v>
      </c>
      <c r="E66" s="77">
        <v>800</v>
      </c>
      <c r="F66" s="27">
        <v>0</v>
      </c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</row>
    <row r="67" spans="1:35" ht="15" x14ac:dyDescent="0.25">
      <c r="A67" s="53">
        <v>59</v>
      </c>
      <c r="B67" s="54">
        <v>14.3</v>
      </c>
      <c r="C67" s="54">
        <v>14.45</v>
      </c>
      <c r="D67" s="117">
        <f t="shared" si="0"/>
        <v>800</v>
      </c>
      <c r="E67" s="77">
        <v>800</v>
      </c>
      <c r="F67" s="27">
        <v>0</v>
      </c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</row>
    <row r="68" spans="1:35" ht="15" x14ac:dyDescent="0.25">
      <c r="A68" s="53">
        <v>60</v>
      </c>
      <c r="B68" s="54">
        <v>14.45</v>
      </c>
      <c r="C68" s="54">
        <v>15</v>
      </c>
      <c r="D68" s="117">
        <f t="shared" si="0"/>
        <v>800</v>
      </c>
      <c r="E68" s="77">
        <v>800</v>
      </c>
      <c r="F68" s="27">
        <v>0</v>
      </c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</row>
    <row r="69" spans="1:35" ht="15" x14ac:dyDescent="0.25">
      <c r="A69" s="53">
        <v>61</v>
      </c>
      <c r="B69" s="54">
        <v>15</v>
      </c>
      <c r="C69" s="54">
        <v>15.15</v>
      </c>
      <c r="D69" s="117">
        <f t="shared" si="0"/>
        <v>800</v>
      </c>
      <c r="E69" s="77">
        <v>800</v>
      </c>
      <c r="F69" s="27">
        <v>0</v>
      </c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</row>
    <row r="70" spans="1:35" ht="15" x14ac:dyDescent="0.25">
      <c r="A70" s="53">
        <v>62</v>
      </c>
      <c r="B70" s="54">
        <v>15.15</v>
      </c>
      <c r="C70" s="54">
        <v>15.3</v>
      </c>
      <c r="D70" s="117">
        <f t="shared" si="0"/>
        <v>800</v>
      </c>
      <c r="E70" s="77">
        <v>800</v>
      </c>
      <c r="F70" s="27">
        <v>0</v>
      </c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</row>
    <row r="71" spans="1:35" ht="15" x14ac:dyDescent="0.25">
      <c r="A71" s="53">
        <v>63</v>
      </c>
      <c r="B71" s="54">
        <v>15.3</v>
      </c>
      <c r="C71" s="54">
        <v>15.45</v>
      </c>
      <c r="D71" s="117">
        <f t="shared" si="0"/>
        <v>800</v>
      </c>
      <c r="E71" s="77">
        <v>800</v>
      </c>
      <c r="F71" s="27">
        <v>0</v>
      </c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</row>
    <row r="72" spans="1:35" ht="15" x14ac:dyDescent="0.25">
      <c r="A72" s="53">
        <v>64</v>
      </c>
      <c r="B72" s="54">
        <v>15.45</v>
      </c>
      <c r="C72" s="54">
        <v>16</v>
      </c>
      <c r="D72" s="117">
        <f t="shared" si="0"/>
        <v>800</v>
      </c>
      <c r="E72" s="77">
        <v>800</v>
      </c>
      <c r="F72" s="27">
        <v>0</v>
      </c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</row>
    <row r="73" spans="1:35" ht="15" x14ac:dyDescent="0.25">
      <c r="A73" s="53">
        <v>65</v>
      </c>
      <c r="B73" s="54">
        <v>16</v>
      </c>
      <c r="C73" s="54">
        <v>16.149999999999999</v>
      </c>
      <c r="D73" s="117">
        <f t="shared" ref="D73:D104" si="1">SUM(E73:AI73)</f>
        <v>800</v>
      </c>
      <c r="E73" s="77">
        <v>800</v>
      </c>
      <c r="F73" s="27">
        <v>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</row>
    <row r="74" spans="1:35" ht="15" x14ac:dyDescent="0.25">
      <c r="A74" s="53">
        <v>66</v>
      </c>
      <c r="B74" s="54">
        <v>16.149999999999999</v>
      </c>
      <c r="C74" s="54">
        <v>16.3</v>
      </c>
      <c r="D74" s="117">
        <f t="shared" si="1"/>
        <v>800</v>
      </c>
      <c r="E74" s="77">
        <v>800</v>
      </c>
      <c r="F74" s="27">
        <v>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</row>
    <row r="75" spans="1:35" ht="15" x14ac:dyDescent="0.25">
      <c r="A75" s="53">
        <v>67</v>
      </c>
      <c r="B75" s="54">
        <v>16.3</v>
      </c>
      <c r="C75" s="54">
        <v>16.45</v>
      </c>
      <c r="D75" s="117">
        <f t="shared" si="1"/>
        <v>800</v>
      </c>
      <c r="E75" s="77">
        <v>800</v>
      </c>
      <c r="F75" s="27">
        <v>0</v>
      </c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</row>
    <row r="76" spans="1:35" ht="15" x14ac:dyDescent="0.25">
      <c r="A76" s="53">
        <v>68</v>
      </c>
      <c r="B76" s="54">
        <v>16.45</v>
      </c>
      <c r="C76" s="54">
        <v>17</v>
      </c>
      <c r="D76" s="117">
        <f t="shared" si="1"/>
        <v>800</v>
      </c>
      <c r="E76" s="77">
        <v>800</v>
      </c>
      <c r="F76" s="27">
        <v>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</row>
    <row r="77" spans="1:35" ht="15" x14ac:dyDescent="0.25">
      <c r="A77" s="53">
        <v>69</v>
      </c>
      <c r="B77" s="54">
        <v>17</v>
      </c>
      <c r="C77" s="54">
        <v>17.149999999999999</v>
      </c>
      <c r="D77" s="117">
        <f t="shared" si="1"/>
        <v>800</v>
      </c>
      <c r="E77" s="77">
        <v>800</v>
      </c>
      <c r="F77" s="27">
        <v>0</v>
      </c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</row>
    <row r="78" spans="1:35" ht="15" x14ac:dyDescent="0.25">
      <c r="A78" s="53">
        <v>70</v>
      </c>
      <c r="B78" s="54">
        <v>17.149999999999999</v>
      </c>
      <c r="C78" s="54">
        <v>17.3</v>
      </c>
      <c r="D78" s="117">
        <f t="shared" si="1"/>
        <v>800</v>
      </c>
      <c r="E78" s="77">
        <v>800</v>
      </c>
      <c r="F78" s="27">
        <v>0</v>
      </c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</row>
    <row r="79" spans="1:35" ht="15" x14ac:dyDescent="0.25">
      <c r="A79" s="53">
        <v>71</v>
      </c>
      <c r="B79" s="54">
        <v>17.3</v>
      </c>
      <c r="C79" s="54">
        <v>17.45</v>
      </c>
      <c r="D79" s="117">
        <f t="shared" si="1"/>
        <v>800</v>
      </c>
      <c r="E79" s="77">
        <v>800</v>
      </c>
      <c r="F79" s="27">
        <v>0</v>
      </c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</row>
    <row r="80" spans="1:35" ht="15" x14ac:dyDescent="0.25">
      <c r="A80" s="53">
        <v>72</v>
      </c>
      <c r="B80" s="54">
        <v>17.45</v>
      </c>
      <c r="C80" s="54">
        <v>18</v>
      </c>
      <c r="D80" s="117">
        <f t="shared" si="1"/>
        <v>800</v>
      </c>
      <c r="E80" s="77">
        <v>800</v>
      </c>
      <c r="F80" s="27">
        <v>0</v>
      </c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</row>
    <row r="81" spans="1:35" ht="15" x14ac:dyDescent="0.25">
      <c r="A81" s="53">
        <v>73</v>
      </c>
      <c r="B81" s="54">
        <v>18</v>
      </c>
      <c r="C81" s="54">
        <v>18.149999999999999</v>
      </c>
      <c r="D81" s="117">
        <f t="shared" si="1"/>
        <v>800</v>
      </c>
      <c r="E81" s="77">
        <v>800</v>
      </c>
      <c r="F81" s="27">
        <v>0</v>
      </c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</row>
    <row r="82" spans="1:35" ht="15" x14ac:dyDescent="0.25">
      <c r="A82" s="53">
        <v>74</v>
      </c>
      <c r="B82" s="54">
        <v>18.149999999999999</v>
      </c>
      <c r="C82" s="54">
        <v>18.3</v>
      </c>
      <c r="D82" s="117">
        <f t="shared" si="1"/>
        <v>800</v>
      </c>
      <c r="E82" s="77">
        <v>800</v>
      </c>
      <c r="F82" s="27">
        <v>0</v>
      </c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</row>
    <row r="83" spans="1:35" ht="15" x14ac:dyDescent="0.25">
      <c r="A83" s="53">
        <v>75</v>
      </c>
      <c r="B83" s="54">
        <v>18.3</v>
      </c>
      <c r="C83" s="54">
        <v>18.45</v>
      </c>
      <c r="D83" s="117">
        <f t="shared" si="1"/>
        <v>800</v>
      </c>
      <c r="E83" s="77">
        <v>800</v>
      </c>
      <c r="F83" s="27">
        <v>0</v>
      </c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</row>
    <row r="84" spans="1:35" ht="15" x14ac:dyDescent="0.25">
      <c r="A84" s="53">
        <v>76</v>
      </c>
      <c r="B84" s="54">
        <v>18.45</v>
      </c>
      <c r="C84" s="54">
        <v>19</v>
      </c>
      <c r="D84" s="117">
        <f t="shared" si="1"/>
        <v>800</v>
      </c>
      <c r="E84" s="77">
        <v>800</v>
      </c>
      <c r="F84" s="27">
        <v>0</v>
      </c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</row>
    <row r="85" spans="1:35" ht="15" x14ac:dyDescent="0.25">
      <c r="A85" s="53">
        <v>77</v>
      </c>
      <c r="B85" s="54">
        <v>19</v>
      </c>
      <c r="C85" s="54">
        <v>19.149999999999999</v>
      </c>
      <c r="D85" s="117">
        <f t="shared" si="1"/>
        <v>800</v>
      </c>
      <c r="E85" s="77">
        <v>800</v>
      </c>
      <c r="F85" s="27">
        <v>0</v>
      </c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</row>
    <row r="86" spans="1:35" ht="15" x14ac:dyDescent="0.25">
      <c r="A86" s="53">
        <v>78</v>
      </c>
      <c r="B86" s="54">
        <v>19.149999999999999</v>
      </c>
      <c r="C86" s="54">
        <v>19.3</v>
      </c>
      <c r="D86" s="117">
        <f t="shared" si="1"/>
        <v>800</v>
      </c>
      <c r="E86" s="77">
        <v>800</v>
      </c>
      <c r="F86" s="27">
        <v>0</v>
      </c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</row>
    <row r="87" spans="1:35" ht="15" x14ac:dyDescent="0.25">
      <c r="A87" s="53">
        <v>79</v>
      </c>
      <c r="B87" s="54">
        <v>19.3</v>
      </c>
      <c r="C87" s="54">
        <v>19.45</v>
      </c>
      <c r="D87" s="117">
        <f t="shared" si="1"/>
        <v>800</v>
      </c>
      <c r="E87" s="77">
        <v>800</v>
      </c>
      <c r="F87" s="27">
        <v>0</v>
      </c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</row>
    <row r="88" spans="1:35" ht="15" x14ac:dyDescent="0.25">
      <c r="A88" s="53">
        <v>80</v>
      </c>
      <c r="B88" s="54">
        <v>19.45</v>
      </c>
      <c r="C88" s="54">
        <v>20</v>
      </c>
      <c r="D88" s="117">
        <f t="shared" si="1"/>
        <v>800</v>
      </c>
      <c r="E88" s="77">
        <v>800</v>
      </c>
      <c r="F88" s="27">
        <v>0</v>
      </c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</row>
    <row r="89" spans="1:35" ht="15" x14ac:dyDescent="0.25">
      <c r="A89" s="53">
        <v>81</v>
      </c>
      <c r="B89" s="54">
        <v>20</v>
      </c>
      <c r="C89" s="54">
        <v>20.149999999999999</v>
      </c>
      <c r="D89" s="117">
        <f t="shared" si="1"/>
        <v>800</v>
      </c>
      <c r="E89" s="77">
        <v>800</v>
      </c>
      <c r="F89" s="27">
        <v>0</v>
      </c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</row>
    <row r="90" spans="1:35" ht="15" x14ac:dyDescent="0.25">
      <c r="A90" s="53">
        <v>82</v>
      </c>
      <c r="B90" s="54">
        <v>20.149999999999999</v>
      </c>
      <c r="C90" s="54">
        <v>20.3</v>
      </c>
      <c r="D90" s="117">
        <f t="shared" si="1"/>
        <v>800</v>
      </c>
      <c r="E90" s="77">
        <v>800</v>
      </c>
      <c r="F90" s="27">
        <v>0</v>
      </c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</row>
    <row r="91" spans="1:35" ht="15" x14ac:dyDescent="0.25">
      <c r="A91" s="53">
        <v>83</v>
      </c>
      <c r="B91" s="54">
        <v>20.3</v>
      </c>
      <c r="C91" s="54">
        <v>20.45</v>
      </c>
      <c r="D91" s="117">
        <f t="shared" si="1"/>
        <v>800</v>
      </c>
      <c r="E91" s="77">
        <v>800</v>
      </c>
      <c r="F91" s="27">
        <v>0</v>
      </c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</row>
    <row r="92" spans="1:35" ht="15" x14ac:dyDescent="0.25">
      <c r="A92" s="53">
        <v>84</v>
      </c>
      <c r="B92" s="54">
        <v>20.45</v>
      </c>
      <c r="C92" s="54">
        <v>21</v>
      </c>
      <c r="D92" s="117">
        <f t="shared" si="1"/>
        <v>800</v>
      </c>
      <c r="E92" s="77">
        <v>800</v>
      </c>
      <c r="F92" s="27">
        <v>0</v>
      </c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</row>
    <row r="93" spans="1:35" ht="15" x14ac:dyDescent="0.25">
      <c r="A93" s="53">
        <v>85</v>
      </c>
      <c r="B93" s="54">
        <v>21</v>
      </c>
      <c r="C93" s="54">
        <v>21.15</v>
      </c>
      <c r="D93" s="117">
        <f t="shared" si="1"/>
        <v>800</v>
      </c>
      <c r="E93" s="77">
        <v>800</v>
      </c>
      <c r="F93" s="27">
        <v>0</v>
      </c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</row>
    <row r="94" spans="1:35" ht="15" x14ac:dyDescent="0.25">
      <c r="A94" s="53">
        <v>86</v>
      </c>
      <c r="B94" s="54">
        <v>21.15</v>
      </c>
      <c r="C94" s="54">
        <v>21.3</v>
      </c>
      <c r="D94" s="117">
        <f t="shared" si="1"/>
        <v>800</v>
      </c>
      <c r="E94" s="77">
        <v>800</v>
      </c>
      <c r="F94" s="27">
        <v>0</v>
      </c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</row>
    <row r="95" spans="1:35" ht="15" x14ac:dyDescent="0.25">
      <c r="A95" s="53">
        <v>87</v>
      </c>
      <c r="B95" s="54">
        <v>21.3</v>
      </c>
      <c r="C95" s="54">
        <v>21.45</v>
      </c>
      <c r="D95" s="117">
        <f t="shared" si="1"/>
        <v>800</v>
      </c>
      <c r="E95" s="77">
        <v>800</v>
      </c>
      <c r="F95" s="27">
        <v>0</v>
      </c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</row>
    <row r="96" spans="1:35" ht="15" x14ac:dyDescent="0.25">
      <c r="A96" s="53">
        <v>88</v>
      </c>
      <c r="B96" s="54">
        <v>21.45</v>
      </c>
      <c r="C96" s="54">
        <v>22</v>
      </c>
      <c r="D96" s="117">
        <f t="shared" si="1"/>
        <v>800</v>
      </c>
      <c r="E96" s="77">
        <v>800</v>
      </c>
      <c r="F96" s="27">
        <v>0</v>
      </c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</row>
    <row r="97" spans="1:35" ht="15" x14ac:dyDescent="0.25">
      <c r="A97" s="53">
        <v>89</v>
      </c>
      <c r="B97" s="54">
        <v>22</v>
      </c>
      <c r="C97" s="54">
        <v>22.15</v>
      </c>
      <c r="D97" s="117">
        <f t="shared" si="1"/>
        <v>800</v>
      </c>
      <c r="E97" s="77">
        <v>800</v>
      </c>
      <c r="F97" s="27">
        <v>0</v>
      </c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</row>
    <row r="98" spans="1:35" ht="15" x14ac:dyDescent="0.25">
      <c r="A98" s="53">
        <v>90</v>
      </c>
      <c r="B98" s="54">
        <v>22.15</v>
      </c>
      <c r="C98" s="54">
        <v>22.3</v>
      </c>
      <c r="D98" s="117">
        <f t="shared" si="1"/>
        <v>800</v>
      </c>
      <c r="E98" s="77">
        <v>800</v>
      </c>
      <c r="F98" s="27">
        <v>0</v>
      </c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</row>
    <row r="99" spans="1:35" ht="15" x14ac:dyDescent="0.25">
      <c r="A99" s="53">
        <v>91</v>
      </c>
      <c r="B99" s="54">
        <v>22.3</v>
      </c>
      <c r="C99" s="54">
        <v>22.45</v>
      </c>
      <c r="D99" s="117">
        <f t="shared" si="1"/>
        <v>800</v>
      </c>
      <c r="E99" s="77">
        <v>800</v>
      </c>
      <c r="F99" s="27">
        <v>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</row>
    <row r="100" spans="1:35" ht="15" x14ac:dyDescent="0.25">
      <c r="A100" s="53">
        <v>92</v>
      </c>
      <c r="B100" s="54">
        <v>22.45</v>
      </c>
      <c r="C100" s="54">
        <v>23</v>
      </c>
      <c r="D100" s="117">
        <f t="shared" si="1"/>
        <v>800</v>
      </c>
      <c r="E100" s="77">
        <v>800</v>
      </c>
      <c r="F100" s="27">
        <v>0</v>
      </c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</row>
    <row r="101" spans="1:35" ht="15" x14ac:dyDescent="0.25">
      <c r="A101" s="53">
        <v>93</v>
      </c>
      <c r="B101" s="54">
        <v>23</v>
      </c>
      <c r="C101" s="54">
        <v>23.15</v>
      </c>
      <c r="D101" s="117">
        <f t="shared" si="1"/>
        <v>800</v>
      </c>
      <c r="E101" s="77">
        <v>800</v>
      </c>
      <c r="F101" s="27">
        <v>0</v>
      </c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</row>
    <row r="102" spans="1:35" ht="15" x14ac:dyDescent="0.25">
      <c r="A102" s="53">
        <v>94</v>
      </c>
      <c r="B102" s="54">
        <v>23.15</v>
      </c>
      <c r="C102" s="54">
        <v>23.3</v>
      </c>
      <c r="D102" s="117">
        <f t="shared" si="1"/>
        <v>800</v>
      </c>
      <c r="E102" s="77">
        <v>800</v>
      </c>
      <c r="F102" s="27">
        <v>0</v>
      </c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</row>
    <row r="103" spans="1:35" ht="15" x14ac:dyDescent="0.25">
      <c r="A103" s="53">
        <v>95</v>
      </c>
      <c r="B103" s="54">
        <v>23.3</v>
      </c>
      <c r="C103" s="54">
        <v>23.45</v>
      </c>
      <c r="D103" s="117">
        <f t="shared" si="1"/>
        <v>800</v>
      </c>
      <c r="E103" s="77">
        <v>800</v>
      </c>
      <c r="F103" s="27">
        <v>0</v>
      </c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</row>
    <row r="104" spans="1:35" ht="15" x14ac:dyDescent="0.25">
      <c r="A104" s="53">
        <v>96</v>
      </c>
      <c r="B104" s="54">
        <v>23.45</v>
      </c>
      <c r="C104" s="54">
        <v>24</v>
      </c>
      <c r="D104" s="117">
        <f t="shared" si="1"/>
        <v>800</v>
      </c>
      <c r="E104" s="77">
        <v>800</v>
      </c>
      <c r="F104" s="27">
        <v>0</v>
      </c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</row>
    <row r="108" spans="1:35" x14ac:dyDescent="0.25">
      <c r="D108" s="63"/>
      <c r="E108" s="63"/>
    </row>
    <row r="290" spans="1:13" x14ac:dyDescent="0.25">
      <c r="A290" s="34">
        <f>SUM(E9:L104)</f>
        <v>92050</v>
      </c>
    </row>
    <row r="291" spans="1:13" x14ac:dyDescent="0.25">
      <c r="A291" s="34">
        <v>1</v>
      </c>
    </row>
    <row r="292" spans="1:13" x14ac:dyDescent="0.25">
      <c r="A292" s="34">
        <v>1</v>
      </c>
      <c r="B292" s="34">
        <v>521</v>
      </c>
      <c r="C292" s="34">
        <v>281</v>
      </c>
      <c r="D292" s="34">
        <v>3</v>
      </c>
      <c r="E292" s="34">
        <v>180</v>
      </c>
      <c r="F292" s="34">
        <v>0</v>
      </c>
      <c r="G292" s="34">
        <v>0</v>
      </c>
      <c r="H292" s="34">
        <v>45</v>
      </c>
      <c r="I292" s="34">
        <v>12</v>
      </c>
      <c r="J292" s="34">
        <v>0</v>
      </c>
    </row>
    <row r="293" spans="1:13" x14ac:dyDescent="0.25">
      <c r="A293" s="34">
        <v>0</v>
      </c>
      <c r="B293" s="57">
        <f>D9</f>
        <v>1200</v>
      </c>
      <c r="C293" s="57">
        <f>E9</f>
        <v>1000</v>
      </c>
      <c r="D293" s="57">
        <f>F9</f>
        <v>200</v>
      </c>
      <c r="E293" s="57">
        <f t="shared" ref="E293:M308" si="2">G9</f>
        <v>0</v>
      </c>
      <c r="F293" s="57">
        <f t="shared" si="2"/>
        <v>0</v>
      </c>
      <c r="G293" s="57">
        <f t="shared" si="2"/>
        <v>0</v>
      </c>
      <c r="H293" s="57">
        <f t="shared" si="2"/>
        <v>0</v>
      </c>
      <c r="I293" s="57">
        <f t="shared" ref="I293:I324" si="3">L9</f>
        <v>0</v>
      </c>
      <c r="J293" s="57">
        <f t="shared" ref="J293:J324" si="4">M9</f>
        <v>0</v>
      </c>
      <c r="K293" s="57"/>
      <c r="L293" s="57">
        <f t="shared" si="2"/>
        <v>0</v>
      </c>
      <c r="M293" s="57">
        <f t="shared" si="2"/>
        <v>0</v>
      </c>
    </row>
    <row r="294" spans="1:13" x14ac:dyDescent="0.25">
      <c r="A294" s="34">
        <v>0</v>
      </c>
      <c r="B294" s="57">
        <f t="shared" ref="B294:M330" si="5">D10</f>
        <v>1200</v>
      </c>
      <c r="C294" s="57">
        <f t="shared" ref="C294:C325" si="6">E10</f>
        <v>1000</v>
      </c>
      <c r="D294" s="57">
        <f t="shared" ref="D294:D325" si="7">F10</f>
        <v>200</v>
      </c>
      <c r="E294" s="57">
        <f t="shared" si="2"/>
        <v>0</v>
      </c>
      <c r="F294" s="57">
        <f t="shared" si="2"/>
        <v>0</v>
      </c>
      <c r="G294" s="57">
        <f t="shared" si="2"/>
        <v>0</v>
      </c>
      <c r="H294" s="57">
        <f t="shared" si="2"/>
        <v>0</v>
      </c>
      <c r="I294" s="57">
        <f t="shared" si="3"/>
        <v>0</v>
      </c>
      <c r="J294" s="57">
        <f t="shared" si="4"/>
        <v>0</v>
      </c>
      <c r="K294" s="57"/>
      <c r="L294" s="57">
        <f t="shared" si="2"/>
        <v>0</v>
      </c>
      <c r="M294" s="57">
        <f t="shared" si="2"/>
        <v>0</v>
      </c>
    </row>
    <row r="295" spans="1:13" x14ac:dyDescent="0.25">
      <c r="A295" s="34">
        <v>0</v>
      </c>
      <c r="B295" s="57">
        <f t="shared" si="5"/>
        <v>1150</v>
      </c>
      <c r="C295" s="57">
        <f t="shared" si="6"/>
        <v>1000</v>
      </c>
      <c r="D295" s="57">
        <f t="shared" si="7"/>
        <v>150</v>
      </c>
      <c r="E295" s="57">
        <f t="shared" si="2"/>
        <v>0</v>
      </c>
      <c r="F295" s="57">
        <f t="shared" si="2"/>
        <v>0</v>
      </c>
      <c r="G295" s="57">
        <f t="shared" si="2"/>
        <v>0</v>
      </c>
      <c r="H295" s="57">
        <f t="shared" si="2"/>
        <v>0</v>
      </c>
      <c r="I295" s="57">
        <f t="shared" si="3"/>
        <v>0</v>
      </c>
      <c r="J295" s="57">
        <f t="shared" si="4"/>
        <v>0</v>
      </c>
      <c r="K295" s="57"/>
      <c r="L295" s="57">
        <f t="shared" si="2"/>
        <v>0</v>
      </c>
      <c r="M295" s="57">
        <f t="shared" si="2"/>
        <v>0</v>
      </c>
    </row>
    <row r="296" spans="1:13" x14ac:dyDescent="0.25">
      <c r="A296" s="34">
        <v>0</v>
      </c>
      <c r="B296" s="57">
        <f t="shared" si="5"/>
        <v>1100</v>
      </c>
      <c r="C296" s="57">
        <f t="shared" si="6"/>
        <v>1000</v>
      </c>
      <c r="D296" s="57">
        <f t="shared" si="7"/>
        <v>100</v>
      </c>
      <c r="E296" s="57">
        <f t="shared" si="2"/>
        <v>0</v>
      </c>
      <c r="F296" s="57">
        <f t="shared" si="2"/>
        <v>0</v>
      </c>
      <c r="G296" s="57">
        <f t="shared" si="2"/>
        <v>0</v>
      </c>
      <c r="H296" s="57">
        <f t="shared" si="2"/>
        <v>0</v>
      </c>
      <c r="I296" s="57">
        <f t="shared" si="3"/>
        <v>0</v>
      </c>
      <c r="J296" s="57">
        <f t="shared" si="4"/>
        <v>0</v>
      </c>
      <c r="K296" s="57"/>
      <c r="L296" s="57">
        <f t="shared" si="2"/>
        <v>0</v>
      </c>
      <c r="M296" s="57">
        <f t="shared" si="2"/>
        <v>0</v>
      </c>
    </row>
    <row r="297" spans="1:13" x14ac:dyDescent="0.25">
      <c r="A297" s="34">
        <v>0</v>
      </c>
      <c r="B297" s="57">
        <f t="shared" si="5"/>
        <v>1100</v>
      </c>
      <c r="C297" s="57">
        <f t="shared" si="6"/>
        <v>1000</v>
      </c>
      <c r="D297" s="57">
        <f t="shared" si="7"/>
        <v>100</v>
      </c>
      <c r="E297" s="57">
        <f t="shared" si="2"/>
        <v>0</v>
      </c>
      <c r="F297" s="57">
        <f t="shared" si="2"/>
        <v>0</v>
      </c>
      <c r="G297" s="57">
        <f t="shared" si="2"/>
        <v>0</v>
      </c>
      <c r="H297" s="57">
        <f t="shared" si="2"/>
        <v>0</v>
      </c>
      <c r="I297" s="57">
        <f t="shared" si="3"/>
        <v>0</v>
      </c>
      <c r="J297" s="57">
        <f t="shared" si="4"/>
        <v>0</v>
      </c>
      <c r="K297" s="57"/>
      <c r="L297" s="57">
        <f t="shared" si="2"/>
        <v>0</v>
      </c>
      <c r="M297" s="57">
        <f t="shared" si="2"/>
        <v>0</v>
      </c>
    </row>
    <row r="298" spans="1:13" x14ac:dyDescent="0.25">
      <c r="A298" s="34">
        <v>0</v>
      </c>
      <c r="B298" s="57">
        <f t="shared" si="5"/>
        <v>1100</v>
      </c>
      <c r="C298" s="57">
        <f t="shared" si="6"/>
        <v>1000</v>
      </c>
      <c r="D298" s="57">
        <f t="shared" si="7"/>
        <v>100</v>
      </c>
      <c r="E298" s="57">
        <f t="shared" si="2"/>
        <v>0</v>
      </c>
      <c r="F298" s="57">
        <f t="shared" si="2"/>
        <v>0</v>
      </c>
      <c r="G298" s="57">
        <f t="shared" si="2"/>
        <v>0</v>
      </c>
      <c r="H298" s="57">
        <f t="shared" si="2"/>
        <v>0</v>
      </c>
      <c r="I298" s="57">
        <f t="shared" si="3"/>
        <v>0</v>
      </c>
      <c r="J298" s="57">
        <f t="shared" si="4"/>
        <v>0</v>
      </c>
      <c r="K298" s="57"/>
      <c r="L298" s="57">
        <f t="shared" si="2"/>
        <v>0</v>
      </c>
      <c r="M298" s="57">
        <f t="shared" si="2"/>
        <v>0</v>
      </c>
    </row>
    <row r="299" spans="1:13" x14ac:dyDescent="0.25">
      <c r="A299" s="34">
        <v>0</v>
      </c>
      <c r="B299" s="57">
        <f t="shared" si="5"/>
        <v>1100</v>
      </c>
      <c r="C299" s="57">
        <f t="shared" si="6"/>
        <v>1000</v>
      </c>
      <c r="D299" s="57">
        <f t="shared" si="7"/>
        <v>100</v>
      </c>
      <c r="E299" s="57">
        <f t="shared" si="2"/>
        <v>0</v>
      </c>
      <c r="F299" s="57">
        <f t="shared" si="2"/>
        <v>0</v>
      </c>
      <c r="G299" s="57">
        <f t="shared" si="2"/>
        <v>0</v>
      </c>
      <c r="H299" s="57">
        <f t="shared" si="2"/>
        <v>0</v>
      </c>
      <c r="I299" s="57">
        <f t="shared" si="3"/>
        <v>0</v>
      </c>
      <c r="J299" s="57">
        <f t="shared" si="4"/>
        <v>0</v>
      </c>
      <c r="K299" s="57"/>
      <c r="L299" s="57">
        <f t="shared" si="2"/>
        <v>0</v>
      </c>
      <c r="M299" s="57">
        <f t="shared" si="2"/>
        <v>0</v>
      </c>
    </row>
    <row r="300" spans="1:13" x14ac:dyDescent="0.25">
      <c r="A300" s="34">
        <v>0</v>
      </c>
      <c r="B300" s="57">
        <f t="shared" si="5"/>
        <v>1100</v>
      </c>
      <c r="C300" s="57">
        <f t="shared" si="6"/>
        <v>1000</v>
      </c>
      <c r="D300" s="57">
        <f t="shared" si="7"/>
        <v>100</v>
      </c>
      <c r="E300" s="57">
        <f t="shared" si="2"/>
        <v>0</v>
      </c>
      <c r="F300" s="57">
        <f t="shared" si="2"/>
        <v>0</v>
      </c>
      <c r="G300" s="57">
        <f t="shared" si="2"/>
        <v>0</v>
      </c>
      <c r="H300" s="57">
        <f t="shared" si="2"/>
        <v>0</v>
      </c>
      <c r="I300" s="57">
        <f t="shared" si="3"/>
        <v>0</v>
      </c>
      <c r="J300" s="57">
        <f t="shared" si="4"/>
        <v>0</v>
      </c>
      <c r="K300" s="57"/>
      <c r="L300" s="57">
        <f t="shared" si="2"/>
        <v>0</v>
      </c>
      <c r="M300" s="57">
        <f t="shared" si="2"/>
        <v>0</v>
      </c>
    </row>
    <row r="301" spans="1:13" x14ac:dyDescent="0.25">
      <c r="A301" s="34">
        <v>0</v>
      </c>
      <c r="B301" s="57">
        <f t="shared" si="5"/>
        <v>1100</v>
      </c>
      <c r="C301" s="57">
        <f t="shared" si="6"/>
        <v>1000</v>
      </c>
      <c r="D301" s="57">
        <f t="shared" si="7"/>
        <v>100</v>
      </c>
      <c r="E301" s="57">
        <f t="shared" si="2"/>
        <v>0</v>
      </c>
      <c r="F301" s="57">
        <f t="shared" si="2"/>
        <v>0</v>
      </c>
      <c r="G301" s="57">
        <f t="shared" si="2"/>
        <v>0</v>
      </c>
      <c r="H301" s="57">
        <f t="shared" si="2"/>
        <v>0</v>
      </c>
      <c r="I301" s="57">
        <f t="shared" si="3"/>
        <v>0</v>
      </c>
      <c r="J301" s="57">
        <f t="shared" si="4"/>
        <v>0</v>
      </c>
      <c r="K301" s="57"/>
      <c r="L301" s="57">
        <f t="shared" si="2"/>
        <v>0</v>
      </c>
      <c r="M301" s="57">
        <f t="shared" si="2"/>
        <v>0</v>
      </c>
    </row>
    <row r="302" spans="1:13" x14ac:dyDescent="0.25">
      <c r="A302" s="34">
        <v>0</v>
      </c>
      <c r="B302" s="57">
        <f t="shared" si="5"/>
        <v>1150</v>
      </c>
      <c r="C302" s="57">
        <f t="shared" si="6"/>
        <v>1000</v>
      </c>
      <c r="D302" s="57">
        <f t="shared" si="7"/>
        <v>150</v>
      </c>
      <c r="E302" s="57">
        <f t="shared" si="2"/>
        <v>0</v>
      </c>
      <c r="F302" s="57">
        <f t="shared" si="2"/>
        <v>0</v>
      </c>
      <c r="G302" s="57">
        <f t="shared" si="2"/>
        <v>0</v>
      </c>
      <c r="H302" s="57">
        <f t="shared" si="2"/>
        <v>0</v>
      </c>
      <c r="I302" s="57">
        <f t="shared" si="3"/>
        <v>0</v>
      </c>
      <c r="J302" s="57">
        <f t="shared" si="4"/>
        <v>0</v>
      </c>
      <c r="K302" s="57"/>
      <c r="L302" s="57">
        <f t="shared" si="2"/>
        <v>0</v>
      </c>
      <c r="M302" s="57">
        <f t="shared" si="2"/>
        <v>0</v>
      </c>
    </row>
    <row r="303" spans="1:13" x14ac:dyDescent="0.25">
      <c r="A303" s="34">
        <v>0</v>
      </c>
      <c r="B303" s="57">
        <f t="shared" si="5"/>
        <v>1200</v>
      </c>
      <c r="C303" s="57">
        <f t="shared" si="6"/>
        <v>1000</v>
      </c>
      <c r="D303" s="57">
        <f t="shared" si="7"/>
        <v>200</v>
      </c>
      <c r="E303" s="57">
        <f t="shared" si="2"/>
        <v>0</v>
      </c>
      <c r="F303" s="57">
        <f t="shared" si="2"/>
        <v>0</v>
      </c>
      <c r="G303" s="57">
        <f t="shared" si="2"/>
        <v>0</v>
      </c>
      <c r="H303" s="57">
        <f t="shared" si="2"/>
        <v>0</v>
      </c>
      <c r="I303" s="57">
        <f t="shared" si="3"/>
        <v>0</v>
      </c>
      <c r="J303" s="57">
        <f t="shared" si="4"/>
        <v>0</v>
      </c>
      <c r="K303" s="57"/>
      <c r="L303" s="57">
        <f t="shared" si="2"/>
        <v>0</v>
      </c>
      <c r="M303" s="57">
        <f t="shared" si="2"/>
        <v>0</v>
      </c>
    </row>
    <row r="304" spans="1:13" x14ac:dyDescent="0.25">
      <c r="A304" s="34">
        <v>0</v>
      </c>
      <c r="B304" s="57">
        <f t="shared" si="5"/>
        <v>1200</v>
      </c>
      <c r="C304" s="57">
        <f t="shared" si="6"/>
        <v>1000</v>
      </c>
      <c r="D304" s="57">
        <f t="shared" si="7"/>
        <v>200</v>
      </c>
      <c r="E304" s="57">
        <f t="shared" si="2"/>
        <v>0</v>
      </c>
      <c r="F304" s="57">
        <f t="shared" si="2"/>
        <v>0</v>
      </c>
      <c r="G304" s="57">
        <f t="shared" si="2"/>
        <v>0</v>
      </c>
      <c r="H304" s="57">
        <f t="shared" si="2"/>
        <v>0</v>
      </c>
      <c r="I304" s="57">
        <f t="shared" si="3"/>
        <v>0</v>
      </c>
      <c r="J304" s="57">
        <f t="shared" si="4"/>
        <v>0</v>
      </c>
      <c r="K304" s="57"/>
      <c r="L304" s="57">
        <f t="shared" si="2"/>
        <v>0</v>
      </c>
      <c r="M304" s="57">
        <f t="shared" si="2"/>
        <v>0</v>
      </c>
    </row>
    <row r="305" spans="1:13" x14ac:dyDescent="0.25">
      <c r="A305" s="34">
        <v>0</v>
      </c>
      <c r="B305" s="57">
        <f t="shared" si="5"/>
        <v>1200</v>
      </c>
      <c r="C305" s="57">
        <f t="shared" si="6"/>
        <v>1000</v>
      </c>
      <c r="D305" s="57">
        <f t="shared" si="7"/>
        <v>200</v>
      </c>
      <c r="E305" s="57">
        <f t="shared" si="2"/>
        <v>0</v>
      </c>
      <c r="F305" s="57">
        <f t="shared" si="2"/>
        <v>0</v>
      </c>
      <c r="G305" s="57">
        <f t="shared" si="2"/>
        <v>0</v>
      </c>
      <c r="H305" s="57">
        <f t="shared" si="2"/>
        <v>0</v>
      </c>
      <c r="I305" s="57">
        <f t="shared" si="3"/>
        <v>0</v>
      </c>
      <c r="J305" s="57">
        <f t="shared" si="4"/>
        <v>0</v>
      </c>
      <c r="K305" s="57"/>
      <c r="L305" s="57">
        <f t="shared" si="2"/>
        <v>0</v>
      </c>
      <c r="M305" s="57">
        <f t="shared" si="2"/>
        <v>0</v>
      </c>
    </row>
    <row r="306" spans="1:13" x14ac:dyDescent="0.25">
      <c r="A306" s="34">
        <v>0</v>
      </c>
      <c r="B306" s="57">
        <f t="shared" si="5"/>
        <v>1200</v>
      </c>
      <c r="C306" s="57">
        <f t="shared" si="6"/>
        <v>1000</v>
      </c>
      <c r="D306" s="57">
        <f t="shared" si="7"/>
        <v>200</v>
      </c>
      <c r="E306" s="57">
        <f t="shared" si="2"/>
        <v>0</v>
      </c>
      <c r="F306" s="57">
        <f t="shared" si="2"/>
        <v>0</v>
      </c>
      <c r="G306" s="57">
        <f t="shared" si="2"/>
        <v>0</v>
      </c>
      <c r="H306" s="57">
        <f t="shared" si="2"/>
        <v>0</v>
      </c>
      <c r="I306" s="57">
        <f t="shared" si="3"/>
        <v>0</v>
      </c>
      <c r="J306" s="57">
        <f t="shared" si="4"/>
        <v>0</v>
      </c>
      <c r="K306" s="57"/>
      <c r="L306" s="57">
        <f t="shared" si="2"/>
        <v>0</v>
      </c>
      <c r="M306" s="57">
        <f t="shared" si="2"/>
        <v>0</v>
      </c>
    </row>
    <row r="307" spans="1:13" x14ac:dyDescent="0.25">
      <c r="A307" s="34">
        <v>0</v>
      </c>
      <c r="B307" s="57">
        <f t="shared" si="5"/>
        <v>1200</v>
      </c>
      <c r="C307" s="57">
        <f t="shared" si="6"/>
        <v>1000</v>
      </c>
      <c r="D307" s="57">
        <f t="shared" si="7"/>
        <v>200</v>
      </c>
      <c r="E307" s="57">
        <f t="shared" si="2"/>
        <v>0</v>
      </c>
      <c r="F307" s="57">
        <f t="shared" si="2"/>
        <v>0</v>
      </c>
      <c r="G307" s="57">
        <f t="shared" si="2"/>
        <v>0</v>
      </c>
      <c r="H307" s="57">
        <f t="shared" si="2"/>
        <v>0</v>
      </c>
      <c r="I307" s="57">
        <f t="shared" si="3"/>
        <v>0</v>
      </c>
      <c r="J307" s="57">
        <f t="shared" si="4"/>
        <v>0</v>
      </c>
      <c r="K307" s="57"/>
      <c r="L307" s="57">
        <f t="shared" si="2"/>
        <v>0</v>
      </c>
      <c r="M307" s="57">
        <f t="shared" si="2"/>
        <v>0</v>
      </c>
    </row>
    <row r="308" spans="1:13" x14ac:dyDescent="0.25">
      <c r="A308" s="34">
        <v>0</v>
      </c>
      <c r="B308" s="57">
        <f t="shared" si="5"/>
        <v>1200</v>
      </c>
      <c r="C308" s="57">
        <f t="shared" si="6"/>
        <v>1000</v>
      </c>
      <c r="D308" s="57">
        <f t="shared" si="7"/>
        <v>200</v>
      </c>
      <c r="E308" s="57">
        <f t="shared" si="2"/>
        <v>0</v>
      </c>
      <c r="F308" s="57">
        <f t="shared" si="2"/>
        <v>0</v>
      </c>
      <c r="G308" s="57">
        <f t="shared" si="2"/>
        <v>0</v>
      </c>
      <c r="H308" s="57">
        <f t="shared" si="2"/>
        <v>0</v>
      </c>
      <c r="I308" s="57">
        <f t="shared" si="3"/>
        <v>0</v>
      </c>
      <c r="J308" s="57">
        <f t="shared" si="4"/>
        <v>0</v>
      </c>
      <c r="K308" s="57"/>
      <c r="L308" s="57">
        <f t="shared" si="2"/>
        <v>0</v>
      </c>
      <c r="M308" s="57">
        <f t="shared" si="2"/>
        <v>0</v>
      </c>
    </row>
    <row r="309" spans="1:13" x14ac:dyDescent="0.25">
      <c r="A309" s="34">
        <v>0</v>
      </c>
      <c r="B309" s="57">
        <f t="shared" si="5"/>
        <v>1200</v>
      </c>
      <c r="C309" s="57">
        <f t="shared" si="6"/>
        <v>1000</v>
      </c>
      <c r="D309" s="57">
        <f t="shared" si="7"/>
        <v>200</v>
      </c>
      <c r="E309" s="57">
        <f t="shared" si="5"/>
        <v>0</v>
      </c>
      <c r="F309" s="57">
        <f t="shared" si="5"/>
        <v>0</v>
      </c>
      <c r="G309" s="57">
        <f t="shared" si="5"/>
        <v>0</v>
      </c>
      <c r="H309" s="57">
        <f t="shared" si="5"/>
        <v>0</v>
      </c>
      <c r="I309" s="57">
        <f t="shared" si="3"/>
        <v>0</v>
      </c>
      <c r="J309" s="57">
        <f t="shared" si="4"/>
        <v>0</v>
      </c>
      <c r="K309" s="57"/>
      <c r="L309" s="57">
        <f t="shared" si="5"/>
        <v>0</v>
      </c>
      <c r="M309" s="57">
        <f t="shared" si="5"/>
        <v>0</v>
      </c>
    </row>
    <row r="310" spans="1:13" x14ac:dyDescent="0.25">
      <c r="A310" s="34">
        <v>0</v>
      </c>
      <c r="B310" s="57">
        <f t="shared" si="5"/>
        <v>1200</v>
      </c>
      <c r="C310" s="57">
        <f t="shared" si="6"/>
        <v>1000</v>
      </c>
      <c r="D310" s="57">
        <f t="shared" si="7"/>
        <v>200</v>
      </c>
      <c r="E310" s="57">
        <f t="shared" si="5"/>
        <v>0</v>
      </c>
      <c r="F310" s="57">
        <f t="shared" si="5"/>
        <v>0</v>
      </c>
      <c r="G310" s="57">
        <f t="shared" si="5"/>
        <v>0</v>
      </c>
      <c r="H310" s="57">
        <f t="shared" si="5"/>
        <v>0</v>
      </c>
      <c r="I310" s="57">
        <f t="shared" si="3"/>
        <v>0</v>
      </c>
      <c r="J310" s="57">
        <f t="shared" si="4"/>
        <v>0</v>
      </c>
      <c r="K310" s="57"/>
      <c r="L310" s="57">
        <f t="shared" si="5"/>
        <v>0</v>
      </c>
      <c r="M310" s="57">
        <f t="shared" si="5"/>
        <v>0</v>
      </c>
    </row>
    <row r="311" spans="1:13" x14ac:dyDescent="0.25">
      <c r="A311" s="34">
        <v>0</v>
      </c>
      <c r="B311" s="57">
        <f t="shared" si="5"/>
        <v>1200</v>
      </c>
      <c r="C311" s="57">
        <f t="shared" si="6"/>
        <v>1000</v>
      </c>
      <c r="D311" s="57">
        <f t="shared" si="7"/>
        <v>200</v>
      </c>
      <c r="E311" s="57">
        <f t="shared" si="5"/>
        <v>0</v>
      </c>
      <c r="F311" s="57">
        <f t="shared" si="5"/>
        <v>0</v>
      </c>
      <c r="G311" s="57">
        <f t="shared" si="5"/>
        <v>0</v>
      </c>
      <c r="H311" s="57">
        <f t="shared" si="5"/>
        <v>0</v>
      </c>
      <c r="I311" s="57">
        <f t="shared" si="3"/>
        <v>0</v>
      </c>
      <c r="J311" s="57">
        <f t="shared" si="4"/>
        <v>0</v>
      </c>
      <c r="K311" s="57"/>
      <c r="L311" s="57">
        <f t="shared" si="5"/>
        <v>0</v>
      </c>
      <c r="M311" s="57">
        <f t="shared" si="5"/>
        <v>0</v>
      </c>
    </row>
    <row r="312" spans="1:13" x14ac:dyDescent="0.25">
      <c r="A312" s="34">
        <v>0</v>
      </c>
      <c r="B312" s="57">
        <f t="shared" si="5"/>
        <v>1200</v>
      </c>
      <c r="C312" s="57">
        <f t="shared" si="6"/>
        <v>1000</v>
      </c>
      <c r="D312" s="57">
        <f t="shared" si="7"/>
        <v>200</v>
      </c>
      <c r="E312" s="57">
        <f t="shared" si="5"/>
        <v>0</v>
      </c>
      <c r="F312" s="57">
        <f t="shared" si="5"/>
        <v>0</v>
      </c>
      <c r="G312" s="57">
        <f t="shared" si="5"/>
        <v>0</v>
      </c>
      <c r="H312" s="57">
        <f t="shared" si="5"/>
        <v>0</v>
      </c>
      <c r="I312" s="57">
        <f t="shared" si="3"/>
        <v>0</v>
      </c>
      <c r="J312" s="57">
        <f t="shared" si="4"/>
        <v>0</v>
      </c>
      <c r="K312" s="57"/>
      <c r="L312" s="57">
        <f t="shared" si="5"/>
        <v>0</v>
      </c>
      <c r="M312" s="57">
        <f t="shared" si="5"/>
        <v>0</v>
      </c>
    </row>
    <row r="313" spans="1:13" x14ac:dyDescent="0.25">
      <c r="A313" s="34">
        <v>0</v>
      </c>
      <c r="B313" s="57">
        <f t="shared" si="5"/>
        <v>1200</v>
      </c>
      <c r="C313" s="57">
        <f t="shared" si="6"/>
        <v>1000</v>
      </c>
      <c r="D313" s="57">
        <f t="shared" si="7"/>
        <v>200</v>
      </c>
      <c r="E313" s="57">
        <f t="shared" si="5"/>
        <v>0</v>
      </c>
      <c r="F313" s="57">
        <f t="shared" si="5"/>
        <v>0</v>
      </c>
      <c r="G313" s="57">
        <f t="shared" si="5"/>
        <v>0</v>
      </c>
      <c r="H313" s="57">
        <f t="shared" si="5"/>
        <v>0</v>
      </c>
      <c r="I313" s="57">
        <f t="shared" si="3"/>
        <v>0</v>
      </c>
      <c r="J313" s="57">
        <f t="shared" si="4"/>
        <v>0</v>
      </c>
      <c r="K313" s="57"/>
      <c r="L313" s="57">
        <f t="shared" si="5"/>
        <v>0</v>
      </c>
      <c r="M313" s="57">
        <f t="shared" si="5"/>
        <v>0</v>
      </c>
    </row>
    <row r="314" spans="1:13" x14ac:dyDescent="0.25">
      <c r="A314" s="34">
        <v>0</v>
      </c>
      <c r="B314" s="57">
        <f t="shared" si="5"/>
        <v>1200</v>
      </c>
      <c r="C314" s="57">
        <f t="shared" si="6"/>
        <v>1000</v>
      </c>
      <c r="D314" s="57">
        <f t="shared" si="7"/>
        <v>200</v>
      </c>
      <c r="E314" s="57">
        <f t="shared" si="5"/>
        <v>0</v>
      </c>
      <c r="F314" s="57">
        <f t="shared" si="5"/>
        <v>0</v>
      </c>
      <c r="G314" s="57">
        <f t="shared" si="5"/>
        <v>0</v>
      </c>
      <c r="H314" s="57">
        <f t="shared" si="5"/>
        <v>0</v>
      </c>
      <c r="I314" s="57">
        <f t="shared" si="3"/>
        <v>0</v>
      </c>
      <c r="J314" s="57">
        <f t="shared" si="4"/>
        <v>0</v>
      </c>
      <c r="K314" s="57"/>
      <c r="L314" s="57">
        <f t="shared" si="5"/>
        <v>0</v>
      </c>
      <c r="M314" s="57">
        <f t="shared" si="5"/>
        <v>0</v>
      </c>
    </row>
    <row r="315" spans="1:13" x14ac:dyDescent="0.25">
      <c r="A315" s="34">
        <v>0</v>
      </c>
      <c r="B315" s="57">
        <f t="shared" si="5"/>
        <v>1200</v>
      </c>
      <c r="C315" s="57">
        <f t="shared" si="6"/>
        <v>1000</v>
      </c>
      <c r="D315" s="57">
        <f t="shared" si="7"/>
        <v>200</v>
      </c>
      <c r="E315" s="57">
        <f t="shared" si="5"/>
        <v>0</v>
      </c>
      <c r="F315" s="57">
        <f t="shared" si="5"/>
        <v>0</v>
      </c>
      <c r="G315" s="57">
        <f t="shared" si="5"/>
        <v>0</v>
      </c>
      <c r="H315" s="57">
        <f t="shared" si="5"/>
        <v>0</v>
      </c>
      <c r="I315" s="57">
        <f t="shared" si="3"/>
        <v>0</v>
      </c>
      <c r="J315" s="57">
        <f t="shared" si="4"/>
        <v>0</v>
      </c>
      <c r="K315" s="57"/>
      <c r="L315" s="57">
        <f t="shared" si="5"/>
        <v>0</v>
      </c>
      <c r="M315" s="57">
        <f t="shared" si="5"/>
        <v>0</v>
      </c>
    </row>
    <row r="316" spans="1:13" x14ac:dyDescent="0.25">
      <c r="A316" s="34">
        <v>0</v>
      </c>
      <c r="B316" s="57">
        <f t="shared" si="5"/>
        <v>1200</v>
      </c>
      <c r="C316" s="57">
        <f t="shared" si="6"/>
        <v>1000</v>
      </c>
      <c r="D316" s="57">
        <f t="shared" si="7"/>
        <v>200</v>
      </c>
      <c r="E316" s="57">
        <f t="shared" si="5"/>
        <v>0</v>
      </c>
      <c r="F316" s="57">
        <f t="shared" si="5"/>
        <v>0</v>
      </c>
      <c r="G316" s="57">
        <f t="shared" si="5"/>
        <v>0</v>
      </c>
      <c r="H316" s="57">
        <f t="shared" si="5"/>
        <v>0</v>
      </c>
      <c r="I316" s="57">
        <f t="shared" si="3"/>
        <v>0</v>
      </c>
      <c r="J316" s="57">
        <f t="shared" si="4"/>
        <v>0</v>
      </c>
      <c r="K316" s="57"/>
      <c r="L316" s="57">
        <f t="shared" si="5"/>
        <v>0</v>
      </c>
      <c r="M316" s="57">
        <f t="shared" si="5"/>
        <v>0</v>
      </c>
    </row>
    <row r="317" spans="1:13" x14ac:dyDescent="0.25">
      <c r="A317" s="34">
        <v>0</v>
      </c>
      <c r="B317" s="57">
        <f t="shared" si="5"/>
        <v>1200</v>
      </c>
      <c r="C317" s="57">
        <f t="shared" si="6"/>
        <v>1000</v>
      </c>
      <c r="D317" s="57">
        <f t="shared" si="7"/>
        <v>200</v>
      </c>
      <c r="E317" s="57">
        <f t="shared" si="5"/>
        <v>0</v>
      </c>
      <c r="F317" s="57">
        <f t="shared" si="5"/>
        <v>0</v>
      </c>
      <c r="G317" s="57">
        <f t="shared" si="5"/>
        <v>0</v>
      </c>
      <c r="H317" s="57">
        <f t="shared" si="5"/>
        <v>0</v>
      </c>
      <c r="I317" s="57">
        <f t="shared" si="3"/>
        <v>0</v>
      </c>
      <c r="J317" s="57">
        <f t="shared" si="4"/>
        <v>0</v>
      </c>
      <c r="K317" s="57"/>
      <c r="L317" s="57">
        <f t="shared" si="5"/>
        <v>0</v>
      </c>
      <c r="M317" s="57">
        <f t="shared" si="5"/>
        <v>0</v>
      </c>
    </row>
    <row r="318" spans="1:13" x14ac:dyDescent="0.25">
      <c r="A318" s="34">
        <v>0</v>
      </c>
      <c r="B318" s="57">
        <f t="shared" si="5"/>
        <v>1200</v>
      </c>
      <c r="C318" s="57">
        <f t="shared" si="6"/>
        <v>1000</v>
      </c>
      <c r="D318" s="57">
        <f t="shared" si="7"/>
        <v>200</v>
      </c>
      <c r="E318" s="57">
        <f t="shared" si="5"/>
        <v>0</v>
      </c>
      <c r="F318" s="57">
        <f t="shared" si="5"/>
        <v>0</v>
      </c>
      <c r="G318" s="57">
        <f t="shared" si="5"/>
        <v>0</v>
      </c>
      <c r="H318" s="57">
        <f t="shared" si="5"/>
        <v>0</v>
      </c>
      <c r="I318" s="57">
        <f t="shared" si="3"/>
        <v>0</v>
      </c>
      <c r="J318" s="57">
        <f t="shared" si="4"/>
        <v>0</v>
      </c>
      <c r="K318" s="57"/>
      <c r="L318" s="57">
        <f t="shared" si="5"/>
        <v>0</v>
      </c>
      <c r="M318" s="57">
        <f t="shared" si="5"/>
        <v>0</v>
      </c>
    </row>
    <row r="319" spans="1:13" x14ac:dyDescent="0.25">
      <c r="A319" s="34">
        <v>0</v>
      </c>
      <c r="B319" s="57">
        <f t="shared" si="5"/>
        <v>1200</v>
      </c>
      <c r="C319" s="57">
        <f t="shared" si="6"/>
        <v>1000</v>
      </c>
      <c r="D319" s="57">
        <f t="shared" si="7"/>
        <v>200</v>
      </c>
      <c r="E319" s="57">
        <f t="shared" si="5"/>
        <v>0</v>
      </c>
      <c r="F319" s="57">
        <f t="shared" si="5"/>
        <v>0</v>
      </c>
      <c r="G319" s="57">
        <f t="shared" si="5"/>
        <v>0</v>
      </c>
      <c r="H319" s="57">
        <f t="shared" si="5"/>
        <v>0</v>
      </c>
      <c r="I319" s="57">
        <f t="shared" si="3"/>
        <v>0</v>
      </c>
      <c r="J319" s="57">
        <f t="shared" si="4"/>
        <v>0</v>
      </c>
      <c r="K319" s="57"/>
      <c r="L319" s="57">
        <f t="shared" si="5"/>
        <v>0</v>
      </c>
      <c r="M319" s="57">
        <f t="shared" si="5"/>
        <v>0</v>
      </c>
    </row>
    <row r="320" spans="1:13" x14ac:dyDescent="0.25">
      <c r="A320" s="34">
        <v>0</v>
      </c>
      <c r="B320" s="57">
        <f t="shared" si="5"/>
        <v>1200</v>
      </c>
      <c r="C320" s="57">
        <f t="shared" si="6"/>
        <v>1000</v>
      </c>
      <c r="D320" s="57">
        <f t="shared" si="7"/>
        <v>200</v>
      </c>
      <c r="E320" s="57">
        <f t="shared" si="5"/>
        <v>0</v>
      </c>
      <c r="F320" s="57">
        <f t="shared" si="5"/>
        <v>0</v>
      </c>
      <c r="G320" s="57">
        <f t="shared" si="5"/>
        <v>0</v>
      </c>
      <c r="H320" s="57">
        <f t="shared" si="5"/>
        <v>0</v>
      </c>
      <c r="I320" s="57">
        <f t="shared" si="3"/>
        <v>0</v>
      </c>
      <c r="J320" s="57">
        <f t="shared" si="4"/>
        <v>0</v>
      </c>
      <c r="K320" s="57"/>
      <c r="L320" s="57">
        <f t="shared" si="5"/>
        <v>0</v>
      </c>
      <c r="M320" s="57">
        <f t="shared" si="5"/>
        <v>0</v>
      </c>
    </row>
    <row r="321" spans="1:13" x14ac:dyDescent="0.25">
      <c r="A321" s="34">
        <v>0</v>
      </c>
      <c r="B321" s="57">
        <f t="shared" si="5"/>
        <v>1200</v>
      </c>
      <c r="C321" s="57">
        <f t="shared" si="6"/>
        <v>1000</v>
      </c>
      <c r="D321" s="57">
        <f t="shared" si="7"/>
        <v>200</v>
      </c>
      <c r="E321" s="57">
        <f t="shared" si="5"/>
        <v>0</v>
      </c>
      <c r="F321" s="57">
        <f t="shared" si="5"/>
        <v>0</v>
      </c>
      <c r="G321" s="57">
        <f t="shared" si="5"/>
        <v>0</v>
      </c>
      <c r="H321" s="57">
        <f t="shared" si="5"/>
        <v>0</v>
      </c>
      <c r="I321" s="57">
        <f t="shared" si="3"/>
        <v>0</v>
      </c>
      <c r="J321" s="57">
        <f t="shared" si="4"/>
        <v>0</v>
      </c>
      <c r="K321" s="57"/>
      <c r="L321" s="57">
        <f t="shared" si="5"/>
        <v>0</v>
      </c>
      <c r="M321" s="57">
        <f t="shared" si="5"/>
        <v>0</v>
      </c>
    </row>
    <row r="322" spans="1:13" x14ac:dyDescent="0.25">
      <c r="A322" s="34">
        <v>0</v>
      </c>
      <c r="B322" s="57">
        <f t="shared" si="5"/>
        <v>1200</v>
      </c>
      <c r="C322" s="57">
        <f t="shared" si="6"/>
        <v>1000</v>
      </c>
      <c r="D322" s="57">
        <f t="shared" si="7"/>
        <v>200</v>
      </c>
      <c r="E322" s="57">
        <f t="shared" si="5"/>
        <v>0</v>
      </c>
      <c r="F322" s="57">
        <f t="shared" si="5"/>
        <v>0</v>
      </c>
      <c r="G322" s="57">
        <f t="shared" si="5"/>
        <v>0</v>
      </c>
      <c r="H322" s="57">
        <f t="shared" si="5"/>
        <v>0</v>
      </c>
      <c r="I322" s="57">
        <f t="shared" si="3"/>
        <v>0</v>
      </c>
      <c r="J322" s="57">
        <f t="shared" si="4"/>
        <v>0</v>
      </c>
      <c r="K322" s="57"/>
      <c r="L322" s="57">
        <f t="shared" si="5"/>
        <v>0</v>
      </c>
      <c r="M322" s="57">
        <f t="shared" si="5"/>
        <v>0</v>
      </c>
    </row>
    <row r="323" spans="1:13" x14ac:dyDescent="0.25">
      <c r="A323" s="34">
        <v>0</v>
      </c>
      <c r="B323" s="57">
        <f t="shared" si="5"/>
        <v>1200</v>
      </c>
      <c r="C323" s="57">
        <f t="shared" si="6"/>
        <v>1000</v>
      </c>
      <c r="D323" s="57">
        <f t="shared" si="7"/>
        <v>200</v>
      </c>
      <c r="E323" s="57">
        <f t="shared" si="5"/>
        <v>0</v>
      </c>
      <c r="F323" s="57">
        <f t="shared" si="5"/>
        <v>0</v>
      </c>
      <c r="G323" s="57">
        <f t="shared" si="5"/>
        <v>0</v>
      </c>
      <c r="H323" s="57">
        <f t="shared" si="5"/>
        <v>0</v>
      </c>
      <c r="I323" s="57">
        <f t="shared" si="3"/>
        <v>0</v>
      </c>
      <c r="J323" s="57">
        <f t="shared" si="4"/>
        <v>0</v>
      </c>
      <c r="K323" s="57"/>
      <c r="L323" s="57">
        <f t="shared" si="5"/>
        <v>0</v>
      </c>
      <c r="M323" s="57">
        <f t="shared" si="5"/>
        <v>0</v>
      </c>
    </row>
    <row r="324" spans="1:13" x14ac:dyDescent="0.25">
      <c r="A324" s="34">
        <v>0</v>
      </c>
      <c r="B324" s="57">
        <f t="shared" si="5"/>
        <v>1200</v>
      </c>
      <c r="C324" s="57">
        <f t="shared" si="6"/>
        <v>1000</v>
      </c>
      <c r="D324" s="57">
        <f t="shared" si="7"/>
        <v>200</v>
      </c>
      <c r="E324" s="57">
        <f t="shared" si="5"/>
        <v>0</v>
      </c>
      <c r="F324" s="57">
        <f t="shared" si="5"/>
        <v>0</v>
      </c>
      <c r="G324" s="57">
        <f t="shared" si="5"/>
        <v>0</v>
      </c>
      <c r="H324" s="57">
        <f t="shared" si="5"/>
        <v>0</v>
      </c>
      <c r="I324" s="57">
        <f t="shared" si="3"/>
        <v>0</v>
      </c>
      <c r="J324" s="57">
        <f t="shared" si="4"/>
        <v>0</v>
      </c>
      <c r="K324" s="57"/>
      <c r="L324" s="57">
        <f t="shared" si="5"/>
        <v>0</v>
      </c>
      <c r="M324" s="57">
        <f t="shared" si="5"/>
        <v>0</v>
      </c>
    </row>
    <row r="325" spans="1:13" x14ac:dyDescent="0.25">
      <c r="A325" s="34">
        <v>0</v>
      </c>
      <c r="B325" s="57">
        <f t="shared" si="5"/>
        <v>1100</v>
      </c>
      <c r="C325" s="57">
        <f t="shared" si="6"/>
        <v>1000</v>
      </c>
      <c r="D325" s="57">
        <f t="shared" si="7"/>
        <v>100</v>
      </c>
      <c r="E325" s="57">
        <f t="shared" si="5"/>
        <v>0</v>
      </c>
      <c r="F325" s="57">
        <f t="shared" si="5"/>
        <v>0</v>
      </c>
      <c r="G325" s="57">
        <f t="shared" si="5"/>
        <v>0</v>
      </c>
      <c r="H325" s="57">
        <f t="shared" si="5"/>
        <v>0</v>
      </c>
      <c r="I325" s="57">
        <f t="shared" ref="I325:I356" si="8">L41</f>
        <v>0</v>
      </c>
      <c r="J325" s="57">
        <f t="shared" ref="J325:J356" si="9">M41</f>
        <v>0</v>
      </c>
      <c r="K325" s="57"/>
      <c r="L325" s="57">
        <f t="shared" si="5"/>
        <v>0</v>
      </c>
      <c r="M325" s="57">
        <f t="shared" si="5"/>
        <v>0</v>
      </c>
    </row>
    <row r="326" spans="1:13" x14ac:dyDescent="0.25">
      <c r="A326" s="34">
        <v>0</v>
      </c>
      <c r="B326" s="57">
        <f t="shared" si="5"/>
        <v>1100</v>
      </c>
      <c r="C326" s="57">
        <f t="shared" si="5"/>
        <v>1000</v>
      </c>
      <c r="D326" s="57">
        <f t="shared" si="5"/>
        <v>100</v>
      </c>
      <c r="E326" s="57">
        <f t="shared" si="5"/>
        <v>0</v>
      </c>
      <c r="F326" s="57">
        <f t="shared" si="5"/>
        <v>0</v>
      </c>
      <c r="G326" s="57">
        <f t="shared" si="5"/>
        <v>0</v>
      </c>
      <c r="H326" s="57">
        <f t="shared" si="5"/>
        <v>0</v>
      </c>
      <c r="I326" s="57">
        <f t="shared" si="8"/>
        <v>0</v>
      </c>
      <c r="J326" s="57">
        <f t="shared" si="9"/>
        <v>0</v>
      </c>
      <c r="K326" s="57"/>
      <c r="L326" s="57">
        <f t="shared" si="5"/>
        <v>0</v>
      </c>
      <c r="M326" s="57">
        <f t="shared" si="5"/>
        <v>0</v>
      </c>
    </row>
    <row r="327" spans="1:13" x14ac:dyDescent="0.25">
      <c r="A327" s="34">
        <v>0</v>
      </c>
      <c r="B327" s="57">
        <f t="shared" si="5"/>
        <v>1000</v>
      </c>
      <c r="C327" s="57">
        <f t="shared" si="5"/>
        <v>1000</v>
      </c>
      <c r="D327" s="57">
        <f t="shared" si="5"/>
        <v>0</v>
      </c>
      <c r="E327" s="57">
        <f t="shared" si="5"/>
        <v>0</v>
      </c>
      <c r="F327" s="57">
        <f t="shared" si="5"/>
        <v>0</v>
      </c>
      <c r="G327" s="57">
        <f t="shared" si="5"/>
        <v>0</v>
      </c>
      <c r="H327" s="57">
        <f t="shared" si="5"/>
        <v>0</v>
      </c>
      <c r="I327" s="57">
        <f t="shared" si="8"/>
        <v>0</v>
      </c>
      <c r="J327" s="57">
        <f t="shared" si="9"/>
        <v>0</v>
      </c>
      <c r="K327" s="57"/>
      <c r="L327" s="57">
        <f t="shared" si="5"/>
        <v>0</v>
      </c>
      <c r="M327" s="57">
        <f t="shared" si="5"/>
        <v>0</v>
      </c>
    </row>
    <row r="328" spans="1:13" x14ac:dyDescent="0.25">
      <c r="A328" s="34">
        <v>0</v>
      </c>
      <c r="B328" s="57">
        <f t="shared" si="5"/>
        <v>900</v>
      </c>
      <c r="C328" s="57">
        <f t="shared" si="5"/>
        <v>900</v>
      </c>
      <c r="D328" s="57">
        <f t="shared" si="5"/>
        <v>0</v>
      </c>
      <c r="E328" s="57">
        <f t="shared" si="5"/>
        <v>0</v>
      </c>
      <c r="F328" s="57">
        <f t="shared" si="5"/>
        <v>0</v>
      </c>
      <c r="G328" s="57">
        <f t="shared" si="5"/>
        <v>0</v>
      </c>
      <c r="H328" s="57">
        <f t="shared" si="5"/>
        <v>0</v>
      </c>
      <c r="I328" s="57">
        <f t="shared" si="8"/>
        <v>0</v>
      </c>
      <c r="J328" s="57">
        <f t="shared" si="9"/>
        <v>0</v>
      </c>
      <c r="K328" s="57"/>
      <c r="L328" s="57">
        <f t="shared" si="5"/>
        <v>0</v>
      </c>
      <c r="M328" s="57">
        <f t="shared" si="5"/>
        <v>0</v>
      </c>
    </row>
    <row r="329" spans="1:13" x14ac:dyDescent="0.25">
      <c r="A329" s="34">
        <v>0</v>
      </c>
      <c r="B329" s="57">
        <f t="shared" si="5"/>
        <v>800</v>
      </c>
      <c r="C329" s="57">
        <f t="shared" si="5"/>
        <v>800</v>
      </c>
      <c r="D329" s="57">
        <f t="shared" si="5"/>
        <v>0</v>
      </c>
      <c r="E329" s="57">
        <f t="shared" si="5"/>
        <v>0</v>
      </c>
      <c r="F329" s="57">
        <f t="shared" si="5"/>
        <v>0</v>
      </c>
      <c r="G329" s="57">
        <f t="shared" si="5"/>
        <v>0</v>
      </c>
      <c r="H329" s="57">
        <f t="shared" si="5"/>
        <v>0</v>
      </c>
      <c r="I329" s="57">
        <f t="shared" si="8"/>
        <v>0</v>
      </c>
      <c r="J329" s="57">
        <f t="shared" si="9"/>
        <v>0</v>
      </c>
      <c r="K329" s="57"/>
      <c r="L329" s="57">
        <f t="shared" si="5"/>
        <v>0</v>
      </c>
      <c r="M329" s="57">
        <f t="shared" si="5"/>
        <v>0</v>
      </c>
    </row>
    <row r="330" spans="1:13" x14ac:dyDescent="0.25">
      <c r="A330" s="34">
        <v>0</v>
      </c>
      <c r="B330" s="57">
        <f t="shared" si="5"/>
        <v>800</v>
      </c>
      <c r="C330" s="57">
        <f t="shared" si="5"/>
        <v>800</v>
      </c>
      <c r="D330" s="57">
        <f t="shared" si="5"/>
        <v>0</v>
      </c>
      <c r="E330" s="57">
        <f t="shared" si="5"/>
        <v>0</v>
      </c>
      <c r="F330" s="57">
        <f t="shared" si="5"/>
        <v>0</v>
      </c>
      <c r="G330" s="57">
        <f t="shared" si="5"/>
        <v>0</v>
      </c>
      <c r="H330" s="57">
        <f t="shared" si="5"/>
        <v>0</v>
      </c>
      <c r="I330" s="57">
        <f t="shared" si="8"/>
        <v>0</v>
      </c>
      <c r="J330" s="57">
        <f t="shared" si="9"/>
        <v>0</v>
      </c>
      <c r="K330" s="57"/>
      <c r="L330" s="57">
        <f t="shared" ref="L330:M388" si="10">N46</f>
        <v>0</v>
      </c>
      <c r="M330" s="57">
        <f t="shared" si="10"/>
        <v>0</v>
      </c>
    </row>
    <row r="331" spans="1:13" x14ac:dyDescent="0.25">
      <c r="A331" s="34">
        <v>0</v>
      </c>
      <c r="B331" s="57">
        <f t="shared" ref="B331:H359" si="11">D47</f>
        <v>850</v>
      </c>
      <c r="C331" s="57">
        <f t="shared" si="11"/>
        <v>850</v>
      </c>
      <c r="D331" s="57">
        <f t="shared" si="11"/>
        <v>0</v>
      </c>
      <c r="E331" s="57">
        <f t="shared" si="11"/>
        <v>0</v>
      </c>
      <c r="F331" s="57">
        <f t="shared" si="11"/>
        <v>0</v>
      </c>
      <c r="G331" s="57">
        <f t="shared" si="11"/>
        <v>0</v>
      </c>
      <c r="H331" s="57">
        <f t="shared" si="11"/>
        <v>0</v>
      </c>
      <c r="I331" s="57">
        <f t="shared" si="8"/>
        <v>0</v>
      </c>
      <c r="J331" s="57">
        <f t="shared" si="9"/>
        <v>0</v>
      </c>
      <c r="K331" s="57"/>
      <c r="L331" s="57">
        <f t="shared" si="10"/>
        <v>0</v>
      </c>
      <c r="M331" s="57">
        <f t="shared" si="10"/>
        <v>0</v>
      </c>
    </row>
    <row r="332" spans="1:13" x14ac:dyDescent="0.25">
      <c r="A332" s="34">
        <v>0</v>
      </c>
      <c r="B332" s="57">
        <f t="shared" si="11"/>
        <v>850</v>
      </c>
      <c r="C332" s="57">
        <f t="shared" si="11"/>
        <v>850</v>
      </c>
      <c r="D332" s="57">
        <f t="shared" si="11"/>
        <v>0</v>
      </c>
      <c r="E332" s="57">
        <f t="shared" si="11"/>
        <v>0</v>
      </c>
      <c r="F332" s="57">
        <f t="shared" si="11"/>
        <v>0</v>
      </c>
      <c r="G332" s="57">
        <f t="shared" si="11"/>
        <v>0</v>
      </c>
      <c r="H332" s="57">
        <f t="shared" si="11"/>
        <v>0</v>
      </c>
      <c r="I332" s="57">
        <f t="shared" si="8"/>
        <v>0</v>
      </c>
      <c r="J332" s="57">
        <f t="shared" si="9"/>
        <v>0</v>
      </c>
      <c r="K332" s="57"/>
      <c r="L332" s="57">
        <f t="shared" si="10"/>
        <v>0</v>
      </c>
      <c r="M332" s="57">
        <f t="shared" si="10"/>
        <v>0</v>
      </c>
    </row>
    <row r="333" spans="1:13" x14ac:dyDescent="0.25">
      <c r="A333" s="34">
        <v>0</v>
      </c>
      <c r="B333" s="57">
        <f t="shared" si="11"/>
        <v>950</v>
      </c>
      <c r="C333" s="57">
        <f t="shared" si="11"/>
        <v>950</v>
      </c>
      <c r="D333" s="57">
        <f t="shared" si="11"/>
        <v>0</v>
      </c>
      <c r="E333" s="57">
        <f t="shared" si="11"/>
        <v>0</v>
      </c>
      <c r="F333" s="57">
        <f t="shared" si="11"/>
        <v>0</v>
      </c>
      <c r="G333" s="57">
        <f t="shared" si="11"/>
        <v>0</v>
      </c>
      <c r="H333" s="57">
        <f t="shared" si="11"/>
        <v>0</v>
      </c>
      <c r="I333" s="57">
        <f t="shared" si="8"/>
        <v>0</v>
      </c>
      <c r="J333" s="57">
        <f t="shared" si="9"/>
        <v>0</v>
      </c>
      <c r="K333" s="57"/>
      <c r="L333" s="57">
        <f t="shared" si="10"/>
        <v>0</v>
      </c>
      <c r="M333" s="57">
        <f t="shared" si="10"/>
        <v>0</v>
      </c>
    </row>
    <row r="334" spans="1:13" x14ac:dyDescent="0.25">
      <c r="A334" s="34">
        <v>0</v>
      </c>
      <c r="B334" s="57">
        <f t="shared" si="11"/>
        <v>1000</v>
      </c>
      <c r="C334" s="57">
        <f t="shared" si="11"/>
        <v>1000</v>
      </c>
      <c r="D334" s="57">
        <f t="shared" si="11"/>
        <v>0</v>
      </c>
      <c r="E334" s="57">
        <f t="shared" si="11"/>
        <v>0</v>
      </c>
      <c r="F334" s="57">
        <f t="shared" si="11"/>
        <v>0</v>
      </c>
      <c r="G334" s="57">
        <f t="shared" si="11"/>
        <v>0</v>
      </c>
      <c r="H334" s="57">
        <f t="shared" si="11"/>
        <v>0</v>
      </c>
      <c r="I334" s="57">
        <f t="shared" si="8"/>
        <v>0</v>
      </c>
      <c r="J334" s="57">
        <f t="shared" si="9"/>
        <v>0</v>
      </c>
      <c r="K334" s="57"/>
      <c r="L334" s="57">
        <f t="shared" si="10"/>
        <v>0</v>
      </c>
      <c r="M334" s="57">
        <f t="shared" si="10"/>
        <v>0</v>
      </c>
    </row>
    <row r="335" spans="1:13" x14ac:dyDescent="0.25">
      <c r="A335" s="34">
        <v>0</v>
      </c>
      <c r="B335" s="57">
        <f t="shared" si="11"/>
        <v>950</v>
      </c>
      <c r="C335" s="57">
        <f t="shared" si="11"/>
        <v>950</v>
      </c>
      <c r="D335" s="57">
        <f t="shared" si="11"/>
        <v>0</v>
      </c>
      <c r="E335" s="57">
        <f t="shared" si="11"/>
        <v>0</v>
      </c>
      <c r="F335" s="57">
        <f t="shared" si="11"/>
        <v>0</v>
      </c>
      <c r="G335" s="57">
        <f t="shared" si="11"/>
        <v>0</v>
      </c>
      <c r="H335" s="57">
        <f t="shared" si="11"/>
        <v>0</v>
      </c>
      <c r="I335" s="57">
        <f t="shared" si="8"/>
        <v>0</v>
      </c>
      <c r="J335" s="57">
        <f t="shared" si="9"/>
        <v>0</v>
      </c>
      <c r="K335" s="57"/>
      <c r="L335" s="57">
        <f t="shared" si="10"/>
        <v>0</v>
      </c>
      <c r="M335" s="57">
        <f t="shared" si="10"/>
        <v>0</v>
      </c>
    </row>
    <row r="336" spans="1:13" x14ac:dyDescent="0.25">
      <c r="A336" s="34">
        <v>0</v>
      </c>
      <c r="B336" s="57">
        <f t="shared" si="11"/>
        <v>900</v>
      </c>
      <c r="C336" s="57">
        <f t="shared" si="11"/>
        <v>900</v>
      </c>
      <c r="D336" s="57">
        <f t="shared" si="11"/>
        <v>0</v>
      </c>
      <c r="E336" s="57">
        <f t="shared" si="11"/>
        <v>0</v>
      </c>
      <c r="F336" s="57">
        <f t="shared" si="11"/>
        <v>0</v>
      </c>
      <c r="G336" s="57">
        <f t="shared" si="11"/>
        <v>0</v>
      </c>
      <c r="H336" s="57">
        <f t="shared" si="11"/>
        <v>0</v>
      </c>
      <c r="I336" s="57">
        <f t="shared" si="8"/>
        <v>0</v>
      </c>
      <c r="J336" s="57">
        <f t="shared" si="9"/>
        <v>0</v>
      </c>
      <c r="K336" s="57"/>
      <c r="L336" s="57">
        <f t="shared" si="10"/>
        <v>0</v>
      </c>
      <c r="M336" s="57">
        <f t="shared" si="10"/>
        <v>0</v>
      </c>
    </row>
    <row r="337" spans="1:13" x14ac:dyDescent="0.25">
      <c r="A337" s="34">
        <v>0</v>
      </c>
      <c r="B337" s="57">
        <f t="shared" si="11"/>
        <v>900</v>
      </c>
      <c r="C337" s="57">
        <f t="shared" si="11"/>
        <v>900</v>
      </c>
      <c r="D337" s="57">
        <f t="shared" si="11"/>
        <v>0</v>
      </c>
      <c r="E337" s="57">
        <f t="shared" si="11"/>
        <v>0</v>
      </c>
      <c r="F337" s="57">
        <f t="shared" si="11"/>
        <v>0</v>
      </c>
      <c r="G337" s="57">
        <f t="shared" si="11"/>
        <v>0</v>
      </c>
      <c r="H337" s="57">
        <f t="shared" si="11"/>
        <v>0</v>
      </c>
      <c r="I337" s="57">
        <f t="shared" si="8"/>
        <v>0</v>
      </c>
      <c r="J337" s="57">
        <f t="shared" si="9"/>
        <v>0</v>
      </c>
      <c r="K337" s="57"/>
      <c r="L337" s="57">
        <f t="shared" si="10"/>
        <v>0</v>
      </c>
      <c r="M337" s="57">
        <f t="shared" si="10"/>
        <v>0</v>
      </c>
    </row>
    <row r="338" spans="1:13" x14ac:dyDescent="0.25">
      <c r="A338" s="34">
        <v>0</v>
      </c>
      <c r="B338" s="57">
        <f t="shared" si="11"/>
        <v>900</v>
      </c>
      <c r="C338" s="57">
        <f t="shared" si="11"/>
        <v>900</v>
      </c>
      <c r="D338" s="57">
        <f t="shared" si="11"/>
        <v>0</v>
      </c>
      <c r="E338" s="57">
        <f t="shared" si="11"/>
        <v>0</v>
      </c>
      <c r="F338" s="57">
        <f t="shared" si="11"/>
        <v>0</v>
      </c>
      <c r="G338" s="57">
        <f t="shared" si="11"/>
        <v>0</v>
      </c>
      <c r="H338" s="57">
        <f t="shared" si="11"/>
        <v>0</v>
      </c>
      <c r="I338" s="57">
        <f t="shared" si="8"/>
        <v>0</v>
      </c>
      <c r="J338" s="57">
        <f t="shared" si="9"/>
        <v>0</v>
      </c>
      <c r="K338" s="57"/>
      <c r="L338" s="57">
        <f t="shared" si="10"/>
        <v>0</v>
      </c>
      <c r="M338" s="57">
        <f t="shared" si="10"/>
        <v>0</v>
      </c>
    </row>
    <row r="339" spans="1:13" x14ac:dyDescent="0.25">
      <c r="A339" s="34">
        <v>0</v>
      </c>
      <c r="B339" s="57">
        <f t="shared" si="11"/>
        <v>900</v>
      </c>
      <c r="C339" s="57">
        <f t="shared" si="11"/>
        <v>900</v>
      </c>
      <c r="D339" s="57">
        <f t="shared" si="11"/>
        <v>0</v>
      </c>
      <c r="E339" s="57">
        <f t="shared" si="11"/>
        <v>0</v>
      </c>
      <c r="F339" s="57">
        <f t="shared" si="11"/>
        <v>0</v>
      </c>
      <c r="G339" s="57">
        <f t="shared" si="11"/>
        <v>0</v>
      </c>
      <c r="H339" s="57">
        <f t="shared" si="11"/>
        <v>0</v>
      </c>
      <c r="I339" s="57">
        <f t="shared" si="8"/>
        <v>0</v>
      </c>
      <c r="J339" s="57">
        <f t="shared" si="9"/>
        <v>0</v>
      </c>
      <c r="K339" s="57"/>
      <c r="L339" s="57">
        <f t="shared" si="10"/>
        <v>0</v>
      </c>
      <c r="M339" s="57">
        <f t="shared" si="10"/>
        <v>0</v>
      </c>
    </row>
    <row r="340" spans="1:13" x14ac:dyDescent="0.25">
      <c r="A340" s="34">
        <v>0</v>
      </c>
      <c r="B340" s="57">
        <f t="shared" si="11"/>
        <v>950</v>
      </c>
      <c r="C340" s="57">
        <f t="shared" si="11"/>
        <v>950</v>
      </c>
      <c r="D340" s="57">
        <f t="shared" si="11"/>
        <v>0</v>
      </c>
      <c r="E340" s="57">
        <f t="shared" si="11"/>
        <v>0</v>
      </c>
      <c r="F340" s="57">
        <f t="shared" si="11"/>
        <v>0</v>
      </c>
      <c r="G340" s="57">
        <f t="shared" si="11"/>
        <v>0</v>
      </c>
      <c r="H340" s="57">
        <f t="shared" si="11"/>
        <v>0</v>
      </c>
      <c r="I340" s="57">
        <f t="shared" si="8"/>
        <v>0</v>
      </c>
      <c r="J340" s="57">
        <f t="shared" si="9"/>
        <v>0</v>
      </c>
      <c r="K340" s="57"/>
      <c r="L340" s="57">
        <f t="shared" si="10"/>
        <v>0</v>
      </c>
      <c r="M340" s="57">
        <f t="shared" si="10"/>
        <v>0</v>
      </c>
    </row>
    <row r="341" spans="1:13" x14ac:dyDescent="0.25">
      <c r="A341" s="34">
        <v>0</v>
      </c>
      <c r="B341" s="57">
        <f t="shared" si="11"/>
        <v>1000</v>
      </c>
      <c r="C341" s="57">
        <f t="shared" si="11"/>
        <v>1000</v>
      </c>
      <c r="D341" s="57">
        <f t="shared" si="11"/>
        <v>0</v>
      </c>
      <c r="E341" s="57">
        <f t="shared" si="11"/>
        <v>0</v>
      </c>
      <c r="F341" s="57">
        <f t="shared" si="11"/>
        <v>0</v>
      </c>
      <c r="G341" s="57">
        <f t="shared" si="11"/>
        <v>0</v>
      </c>
      <c r="H341" s="57">
        <f t="shared" si="11"/>
        <v>0</v>
      </c>
      <c r="I341" s="57">
        <f t="shared" si="8"/>
        <v>0</v>
      </c>
      <c r="J341" s="57">
        <f t="shared" si="9"/>
        <v>0</v>
      </c>
      <c r="K341" s="57"/>
      <c r="L341" s="57">
        <f t="shared" si="10"/>
        <v>0</v>
      </c>
      <c r="M341" s="57">
        <f t="shared" si="10"/>
        <v>0</v>
      </c>
    </row>
    <row r="342" spans="1:13" x14ac:dyDescent="0.25">
      <c r="A342" s="34">
        <v>0</v>
      </c>
      <c r="B342" s="57">
        <f t="shared" si="11"/>
        <v>1000</v>
      </c>
      <c r="C342" s="57">
        <f t="shared" si="11"/>
        <v>1000</v>
      </c>
      <c r="D342" s="57">
        <f t="shared" si="11"/>
        <v>0</v>
      </c>
      <c r="E342" s="57">
        <f t="shared" si="11"/>
        <v>0</v>
      </c>
      <c r="F342" s="57">
        <f t="shared" si="11"/>
        <v>0</v>
      </c>
      <c r="G342" s="57">
        <f t="shared" si="11"/>
        <v>0</v>
      </c>
      <c r="H342" s="57">
        <f t="shared" si="11"/>
        <v>0</v>
      </c>
      <c r="I342" s="57">
        <f t="shared" si="8"/>
        <v>0</v>
      </c>
      <c r="J342" s="57">
        <f t="shared" si="9"/>
        <v>0</v>
      </c>
      <c r="K342" s="57"/>
      <c r="L342" s="57">
        <f t="shared" si="10"/>
        <v>0</v>
      </c>
      <c r="M342" s="57">
        <f t="shared" si="10"/>
        <v>0</v>
      </c>
    </row>
    <row r="343" spans="1:13" x14ac:dyDescent="0.25">
      <c r="A343" s="34">
        <v>0</v>
      </c>
      <c r="B343" s="57">
        <f t="shared" si="11"/>
        <v>1000</v>
      </c>
      <c r="C343" s="57">
        <f t="shared" si="11"/>
        <v>1000</v>
      </c>
      <c r="D343" s="57">
        <f t="shared" si="11"/>
        <v>0</v>
      </c>
      <c r="E343" s="57">
        <f t="shared" si="11"/>
        <v>0</v>
      </c>
      <c r="F343" s="57">
        <f t="shared" si="11"/>
        <v>0</v>
      </c>
      <c r="G343" s="57">
        <f t="shared" si="11"/>
        <v>0</v>
      </c>
      <c r="H343" s="57">
        <f t="shared" si="11"/>
        <v>0</v>
      </c>
      <c r="I343" s="57">
        <f t="shared" si="8"/>
        <v>0</v>
      </c>
      <c r="J343" s="57">
        <f t="shared" si="9"/>
        <v>0</v>
      </c>
      <c r="K343" s="57"/>
      <c r="L343" s="57">
        <f t="shared" si="10"/>
        <v>0</v>
      </c>
      <c r="M343" s="57">
        <f t="shared" si="10"/>
        <v>0</v>
      </c>
    </row>
    <row r="344" spans="1:13" x14ac:dyDescent="0.25">
      <c r="A344" s="34">
        <v>0</v>
      </c>
      <c r="B344" s="57">
        <f t="shared" si="11"/>
        <v>1000</v>
      </c>
      <c r="C344" s="57">
        <f t="shared" si="11"/>
        <v>1000</v>
      </c>
      <c r="D344" s="57">
        <f t="shared" si="11"/>
        <v>0</v>
      </c>
      <c r="E344" s="57">
        <f t="shared" si="11"/>
        <v>0</v>
      </c>
      <c r="F344" s="57">
        <f t="shared" si="11"/>
        <v>0</v>
      </c>
      <c r="G344" s="57">
        <f t="shared" si="11"/>
        <v>0</v>
      </c>
      <c r="H344" s="57">
        <f t="shared" si="11"/>
        <v>0</v>
      </c>
      <c r="I344" s="57">
        <f t="shared" si="8"/>
        <v>0</v>
      </c>
      <c r="J344" s="57">
        <f t="shared" si="9"/>
        <v>0</v>
      </c>
      <c r="K344" s="57"/>
      <c r="L344" s="57">
        <f t="shared" si="10"/>
        <v>0</v>
      </c>
      <c r="M344" s="57">
        <f t="shared" si="10"/>
        <v>0</v>
      </c>
    </row>
    <row r="345" spans="1:13" x14ac:dyDescent="0.25">
      <c r="A345" s="34">
        <v>0</v>
      </c>
      <c r="B345" s="57">
        <f t="shared" si="11"/>
        <v>950</v>
      </c>
      <c r="C345" s="57">
        <f t="shared" si="11"/>
        <v>950</v>
      </c>
      <c r="D345" s="57">
        <f t="shared" si="11"/>
        <v>0</v>
      </c>
      <c r="E345" s="57">
        <f t="shared" si="11"/>
        <v>0</v>
      </c>
      <c r="F345" s="57">
        <f t="shared" si="11"/>
        <v>0</v>
      </c>
      <c r="G345" s="57">
        <f t="shared" si="11"/>
        <v>0</v>
      </c>
      <c r="H345" s="57">
        <f t="shared" si="11"/>
        <v>0</v>
      </c>
      <c r="I345" s="57">
        <f t="shared" si="8"/>
        <v>0</v>
      </c>
      <c r="J345" s="57">
        <f t="shared" si="9"/>
        <v>0</v>
      </c>
      <c r="K345" s="57"/>
      <c r="L345" s="57">
        <f t="shared" si="10"/>
        <v>0</v>
      </c>
      <c r="M345" s="57">
        <f t="shared" si="10"/>
        <v>0</v>
      </c>
    </row>
    <row r="346" spans="1:13" x14ac:dyDescent="0.25">
      <c r="A346" s="34">
        <v>0</v>
      </c>
      <c r="B346" s="57">
        <f t="shared" si="11"/>
        <v>900</v>
      </c>
      <c r="C346" s="57">
        <f t="shared" si="11"/>
        <v>900</v>
      </c>
      <c r="D346" s="57">
        <f t="shared" si="11"/>
        <v>0</v>
      </c>
      <c r="E346" s="57">
        <f t="shared" si="11"/>
        <v>0</v>
      </c>
      <c r="F346" s="57">
        <f t="shared" si="11"/>
        <v>0</v>
      </c>
      <c r="G346" s="57">
        <f t="shared" si="11"/>
        <v>0</v>
      </c>
      <c r="H346" s="57">
        <f t="shared" si="11"/>
        <v>0</v>
      </c>
      <c r="I346" s="57">
        <f t="shared" si="8"/>
        <v>0</v>
      </c>
      <c r="J346" s="57">
        <f t="shared" si="9"/>
        <v>0</v>
      </c>
      <c r="K346" s="57"/>
      <c r="L346" s="57">
        <f t="shared" si="10"/>
        <v>0</v>
      </c>
      <c r="M346" s="57">
        <f t="shared" si="10"/>
        <v>0</v>
      </c>
    </row>
    <row r="347" spans="1:13" x14ac:dyDescent="0.25">
      <c r="A347" s="34">
        <v>0</v>
      </c>
      <c r="B347" s="57">
        <f t="shared" si="11"/>
        <v>850</v>
      </c>
      <c r="C347" s="57">
        <f t="shared" si="11"/>
        <v>850</v>
      </c>
      <c r="D347" s="57">
        <f t="shared" si="11"/>
        <v>0</v>
      </c>
      <c r="E347" s="57">
        <f t="shared" si="11"/>
        <v>0</v>
      </c>
      <c r="F347" s="57">
        <f t="shared" si="11"/>
        <v>0</v>
      </c>
      <c r="G347" s="57">
        <f t="shared" si="11"/>
        <v>0</v>
      </c>
      <c r="H347" s="57">
        <f t="shared" si="11"/>
        <v>0</v>
      </c>
      <c r="I347" s="57">
        <f t="shared" si="8"/>
        <v>0</v>
      </c>
      <c r="J347" s="57">
        <f t="shared" si="9"/>
        <v>0</v>
      </c>
      <c r="K347" s="57"/>
      <c r="L347" s="57">
        <f t="shared" si="10"/>
        <v>0</v>
      </c>
      <c r="M347" s="57">
        <f t="shared" si="10"/>
        <v>0</v>
      </c>
    </row>
    <row r="348" spans="1:13" x14ac:dyDescent="0.25">
      <c r="A348" s="34">
        <v>0</v>
      </c>
      <c r="B348" s="57">
        <f t="shared" si="11"/>
        <v>800</v>
      </c>
      <c r="C348" s="57">
        <f t="shared" si="11"/>
        <v>800</v>
      </c>
      <c r="D348" s="57">
        <f t="shared" si="11"/>
        <v>0</v>
      </c>
      <c r="E348" s="57">
        <f t="shared" si="11"/>
        <v>0</v>
      </c>
      <c r="F348" s="57">
        <f t="shared" si="11"/>
        <v>0</v>
      </c>
      <c r="G348" s="57">
        <f t="shared" si="11"/>
        <v>0</v>
      </c>
      <c r="H348" s="57">
        <f t="shared" si="11"/>
        <v>0</v>
      </c>
      <c r="I348" s="57">
        <f t="shared" si="8"/>
        <v>0</v>
      </c>
      <c r="J348" s="57">
        <f t="shared" si="9"/>
        <v>0</v>
      </c>
      <c r="K348" s="57"/>
      <c r="L348" s="57">
        <f t="shared" si="10"/>
        <v>0</v>
      </c>
      <c r="M348" s="57">
        <f t="shared" si="10"/>
        <v>0</v>
      </c>
    </row>
    <row r="349" spans="1:13" x14ac:dyDescent="0.25">
      <c r="A349" s="34">
        <v>0</v>
      </c>
      <c r="B349" s="57">
        <f t="shared" si="11"/>
        <v>800</v>
      </c>
      <c r="C349" s="57">
        <f t="shared" si="11"/>
        <v>800</v>
      </c>
      <c r="D349" s="57">
        <f t="shared" si="11"/>
        <v>0</v>
      </c>
      <c r="E349" s="57">
        <f t="shared" si="11"/>
        <v>0</v>
      </c>
      <c r="F349" s="57">
        <f t="shared" si="11"/>
        <v>0</v>
      </c>
      <c r="G349" s="57">
        <f t="shared" si="11"/>
        <v>0</v>
      </c>
      <c r="H349" s="57">
        <f t="shared" si="11"/>
        <v>0</v>
      </c>
      <c r="I349" s="57">
        <f t="shared" si="8"/>
        <v>0</v>
      </c>
      <c r="J349" s="57">
        <f t="shared" si="9"/>
        <v>0</v>
      </c>
      <c r="K349" s="57"/>
      <c r="L349" s="57">
        <f t="shared" si="10"/>
        <v>0</v>
      </c>
      <c r="M349" s="57">
        <f t="shared" si="10"/>
        <v>0</v>
      </c>
    </row>
    <row r="350" spans="1:13" x14ac:dyDescent="0.25">
      <c r="A350" s="34">
        <v>0</v>
      </c>
      <c r="B350" s="57">
        <f t="shared" si="11"/>
        <v>800</v>
      </c>
      <c r="C350" s="57">
        <f t="shared" si="11"/>
        <v>800</v>
      </c>
      <c r="D350" s="57">
        <f t="shared" si="11"/>
        <v>0</v>
      </c>
      <c r="E350" s="57">
        <f t="shared" si="11"/>
        <v>0</v>
      </c>
      <c r="F350" s="57">
        <f t="shared" si="11"/>
        <v>0</v>
      </c>
      <c r="G350" s="57">
        <f t="shared" si="11"/>
        <v>0</v>
      </c>
      <c r="H350" s="57">
        <f t="shared" si="11"/>
        <v>0</v>
      </c>
      <c r="I350" s="57">
        <f t="shared" si="8"/>
        <v>0</v>
      </c>
      <c r="J350" s="57">
        <f t="shared" si="9"/>
        <v>0</v>
      </c>
      <c r="K350" s="57"/>
      <c r="L350" s="57">
        <f t="shared" si="10"/>
        <v>0</v>
      </c>
      <c r="M350" s="57">
        <f t="shared" si="10"/>
        <v>0</v>
      </c>
    </row>
    <row r="351" spans="1:13" x14ac:dyDescent="0.25">
      <c r="A351" s="34">
        <v>0</v>
      </c>
      <c r="B351" s="57">
        <f t="shared" si="11"/>
        <v>800</v>
      </c>
      <c r="C351" s="57">
        <f t="shared" si="11"/>
        <v>800</v>
      </c>
      <c r="D351" s="57">
        <f t="shared" si="11"/>
        <v>0</v>
      </c>
      <c r="E351" s="57">
        <f t="shared" si="11"/>
        <v>0</v>
      </c>
      <c r="F351" s="57">
        <f t="shared" si="11"/>
        <v>0</v>
      </c>
      <c r="G351" s="57">
        <f t="shared" si="11"/>
        <v>0</v>
      </c>
      <c r="H351" s="57">
        <f t="shared" si="11"/>
        <v>0</v>
      </c>
      <c r="I351" s="57">
        <f t="shared" si="8"/>
        <v>0</v>
      </c>
      <c r="J351" s="57">
        <f t="shared" si="9"/>
        <v>0</v>
      </c>
      <c r="K351" s="57"/>
      <c r="L351" s="57">
        <f t="shared" si="10"/>
        <v>0</v>
      </c>
      <c r="M351" s="57">
        <f t="shared" si="10"/>
        <v>0</v>
      </c>
    </row>
    <row r="352" spans="1:13" x14ac:dyDescent="0.25">
      <c r="A352" s="34">
        <v>0</v>
      </c>
      <c r="B352" s="57">
        <f t="shared" si="11"/>
        <v>800</v>
      </c>
      <c r="C352" s="57">
        <f t="shared" si="11"/>
        <v>800</v>
      </c>
      <c r="D352" s="57">
        <f t="shared" si="11"/>
        <v>0</v>
      </c>
      <c r="E352" s="57">
        <f t="shared" si="11"/>
        <v>0</v>
      </c>
      <c r="F352" s="57">
        <f t="shared" si="11"/>
        <v>0</v>
      </c>
      <c r="G352" s="57">
        <f t="shared" si="11"/>
        <v>0</v>
      </c>
      <c r="H352" s="57">
        <f t="shared" si="11"/>
        <v>0</v>
      </c>
      <c r="I352" s="57">
        <f t="shared" si="8"/>
        <v>0</v>
      </c>
      <c r="J352" s="57">
        <f t="shared" si="9"/>
        <v>0</v>
      </c>
      <c r="K352" s="57"/>
      <c r="L352" s="57">
        <f t="shared" si="10"/>
        <v>0</v>
      </c>
      <c r="M352" s="57">
        <f t="shared" si="10"/>
        <v>0</v>
      </c>
    </row>
    <row r="353" spans="1:13" x14ac:dyDescent="0.25">
      <c r="A353" s="34">
        <v>0</v>
      </c>
      <c r="B353" s="57">
        <f t="shared" si="11"/>
        <v>800</v>
      </c>
      <c r="C353" s="57">
        <f t="shared" si="11"/>
        <v>800</v>
      </c>
      <c r="D353" s="57">
        <f t="shared" si="11"/>
        <v>0</v>
      </c>
      <c r="E353" s="57">
        <f t="shared" si="11"/>
        <v>0</v>
      </c>
      <c r="F353" s="57">
        <f t="shared" si="11"/>
        <v>0</v>
      </c>
      <c r="G353" s="57">
        <f t="shared" si="11"/>
        <v>0</v>
      </c>
      <c r="H353" s="57">
        <f t="shared" si="11"/>
        <v>0</v>
      </c>
      <c r="I353" s="57">
        <f t="shared" si="8"/>
        <v>0</v>
      </c>
      <c r="J353" s="57">
        <f t="shared" si="9"/>
        <v>0</v>
      </c>
      <c r="K353" s="57"/>
      <c r="L353" s="57">
        <f t="shared" si="10"/>
        <v>0</v>
      </c>
      <c r="M353" s="57">
        <f t="shared" si="10"/>
        <v>0</v>
      </c>
    </row>
    <row r="354" spans="1:13" x14ac:dyDescent="0.25">
      <c r="A354" s="34">
        <v>0</v>
      </c>
      <c r="B354" s="57">
        <f t="shared" si="11"/>
        <v>800</v>
      </c>
      <c r="C354" s="57">
        <f t="shared" si="11"/>
        <v>800</v>
      </c>
      <c r="D354" s="57">
        <f t="shared" si="11"/>
        <v>0</v>
      </c>
      <c r="E354" s="57">
        <f t="shared" si="11"/>
        <v>0</v>
      </c>
      <c r="F354" s="57">
        <f t="shared" si="11"/>
        <v>0</v>
      </c>
      <c r="G354" s="57">
        <f t="shared" si="11"/>
        <v>0</v>
      </c>
      <c r="H354" s="57">
        <f t="shared" si="11"/>
        <v>0</v>
      </c>
      <c r="I354" s="57">
        <f t="shared" si="8"/>
        <v>0</v>
      </c>
      <c r="J354" s="57">
        <f t="shared" si="9"/>
        <v>0</v>
      </c>
      <c r="K354" s="57"/>
      <c r="L354" s="57">
        <f t="shared" si="10"/>
        <v>0</v>
      </c>
      <c r="M354" s="57">
        <f t="shared" si="10"/>
        <v>0</v>
      </c>
    </row>
    <row r="355" spans="1:13" x14ac:dyDescent="0.25">
      <c r="A355" s="34">
        <v>0</v>
      </c>
      <c r="B355" s="57">
        <f t="shared" si="11"/>
        <v>800</v>
      </c>
      <c r="C355" s="57">
        <f t="shared" si="11"/>
        <v>800</v>
      </c>
      <c r="D355" s="57">
        <f t="shared" si="11"/>
        <v>0</v>
      </c>
      <c r="E355" s="57">
        <f t="shared" si="11"/>
        <v>0</v>
      </c>
      <c r="F355" s="57">
        <f t="shared" si="11"/>
        <v>0</v>
      </c>
      <c r="G355" s="57">
        <f t="shared" si="11"/>
        <v>0</v>
      </c>
      <c r="H355" s="57">
        <f t="shared" si="11"/>
        <v>0</v>
      </c>
      <c r="I355" s="57">
        <f t="shared" si="8"/>
        <v>0</v>
      </c>
      <c r="J355" s="57">
        <f t="shared" si="9"/>
        <v>0</v>
      </c>
      <c r="K355" s="57"/>
      <c r="L355" s="57">
        <f t="shared" si="10"/>
        <v>0</v>
      </c>
      <c r="M355" s="57">
        <f t="shared" si="10"/>
        <v>0</v>
      </c>
    </row>
    <row r="356" spans="1:13" x14ac:dyDescent="0.25">
      <c r="A356" s="34">
        <v>0</v>
      </c>
      <c r="B356" s="57">
        <f t="shared" si="11"/>
        <v>800</v>
      </c>
      <c r="C356" s="57">
        <f t="shared" si="11"/>
        <v>800</v>
      </c>
      <c r="D356" s="57">
        <f t="shared" si="11"/>
        <v>0</v>
      </c>
      <c r="E356" s="57">
        <f t="shared" si="11"/>
        <v>0</v>
      </c>
      <c r="F356" s="57">
        <f t="shared" si="11"/>
        <v>0</v>
      </c>
      <c r="G356" s="57">
        <f t="shared" si="11"/>
        <v>0</v>
      </c>
      <c r="H356" s="57">
        <f t="shared" si="11"/>
        <v>0</v>
      </c>
      <c r="I356" s="57">
        <f t="shared" si="8"/>
        <v>0</v>
      </c>
      <c r="J356" s="57">
        <f t="shared" si="9"/>
        <v>0</v>
      </c>
      <c r="K356" s="57"/>
      <c r="L356" s="57">
        <f t="shared" si="10"/>
        <v>0</v>
      </c>
      <c r="M356" s="57">
        <f t="shared" si="10"/>
        <v>0</v>
      </c>
    </row>
    <row r="357" spans="1:13" x14ac:dyDescent="0.25">
      <c r="A357" s="34">
        <v>0</v>
      </c>
      <c r="B357" s="57">
        <f t="shared" si="11"/>
        <v>800</v>
      </c>
      <c r="C357" s="57">
        <f t="shared" si="11"/>
        <v>800</v>
      </c>
      <c r="D357" s="57">
        <f t="shared" si="11"/>
        <v>0</v>
      </c>
      <c r="E357" s="57">
        <f t="shared" si="11"/>
        <v>0</v>
      </c>
      <c r="F357" s="57">
        <f t="shared" si="11"/>
        <v>0</v>
      </c>
      <c r="G357" s="57">
        <f t="shared" si="11"/>
        <v>0</v>
      </c>
      <c r="H357" s="57">
        <f t="shared" si="11"/>
        <v>0</v>
      </c>
      <c r="I357" s="57">
        <f t="shared" ref="I357:I388" si="12">L73</f>
        <v>0</v>
      </c>
      <c r="J357" s="57">
        <f t="shared" ref="J357:J388" si="13">M73</f>
        <v>0</v>
      </c>
      <c r="K357" s="57"/>
      <c r="L357" s="57">
        <f t="shared" si="10"/>
        <v>0</v>
      </c>
      <c r="M357" s="57">
        <f t="shared" si="10"/>
        <v>0</v>
      </c>
    </row>
    <row r="358" spans="1:13" x14ac:dyDescent="0.25">
      <c r="A358" s="34">
        <v>0</v>
      </c>
      <c r="B358" s="57">
        <f t="shared" si="11"/>
        <v>800</v>
      </c>
      <c r="C358" s="57">
        <f t="shared" si="11"/>
        <v>800</v>
      </c>
      <c r="D358" s="57">
        <f t="shared" si="11"/>
        <v>0</v>
      </c>
      <c r="E358" s="57">
        <f t="shared" si="11"/>
        <v>0</v>
      </c>
      <c r="F358" s="57">
        <f t="shared" si="11"/>
        <v>0</v>
      </c>
      <c r="G358" s="57">
        <f t="shared" si="11"/>
        <v>0</v>
      </c>
      <c r="H358" s="57">
        <f t="shared" si="11"/>
        <v>0</v>
      </c>
      <c r="I358" s="57">
        <f t="shared" si="12"/>
        <v>0</v>
      </c>
      <c r="J358" s="57">
        <f t="shared" si="13"/>
        <v>0</v>
      </c>
      <c r="K358" s="57"/>
      <c r="L358" s="57">
        <f t="shared" si="10"/>
        <v>0</v>
      </c>
      <c r="M358" s="57">
        <f t="shared" si="10"/>
        <v>0</v>
      </c>
    </row>
    <row r="359" spans="1:13" x14ac:dyDescent="0.25">
      <c r="A359" s="34">
        <v>0</v>
      </c>
      <c r="B359" s="57">
        <f t="shared" si="11"/>
        <v>800</v>
      </c>
      <c r="C359" s="57">
        <f t="shared" si="11"/>
        <v>800</v>
      </c>
      <c r="D359" s="57">
        <f t="shared" si="11"/>
        <v>0</v>
      </c>
      <c r="E359" s="57">
        <f t="shared" si="11"/>
        <v>0</v>
      </c>
      <c r="F359" s="57">
        <f t="shared" si="11"/>
        <v>0</v>
      </c>
      <c r="G359" s="57">
        <f t="shared" ref="G359:H388" si="14">I75</f>
        <v>0</v>
      </c>
      <c r="H359" s="57">
        <f t="shared" si="14"/>
        <v>0</v>
      </c>
      <c r="I359" s="57">
        <f t="shared" si="12"/>
        <v>0</v>
      </c>
      <c r="J359" s="57">
        <f t="shared" si="13"/>
        <v>0</v>
      </c>
      <c r="K359" s="57"/>
      <c r="L359" s="57">
        <f t="shared" si="10"/>
        <v>0</v>
      </c>
      <c r="M359" s="57">
        <f t="shared" si="10"/>
        <v>0</v>
      </c>
    </row>
    <row r="360" spans="1:13" x14ac:dyDescent="0.25">
      <c r="A360" s="34">
        <v>0</v>
      </c>
      <c r="B360" s="57">
        <f t="shared" ref="B360:F388" si="15">D76</f>
        <v>800</v>
      </c>
      <c r="C360" s="57">
        <f t="shared" si="15"/>
        <v>800</v>
      </c>
      <c r="D360" s="57">
        <f t="shared" si="15"/>
        <v>0</v>
      </c>
      <c r="E360" s="57">
        <f t="shared" si="15"/>
        <v>0</v>
      </c>
      <c r="F360" s="57">
        <f t="shared" si="15"/>
        <v>0</v>
      </c>
      <c r="G360" s="57">
        <f t="shared" si="14"/>
        <v>0</v>
      </c>
      <c r="H360" s="57">
        <f t="shared" si="14"/>
        <v>0</v>
      </c>
      <c r="I360" s="57">
        <f t="shared" si="12"/>
        <v>0</v>
      </c>
      <c r="J360" s="57">
        <f t="shared" si="13"/>
        <v>0</v>
      </c>
      <c r="K360" s="57"/>
      <c r="L360" s="57">
        <f t="shared" si="10"/>
        <v>0</v>
      </c>
      <c r="M360" s="57">
        <f t="shared" si="10"/>
        <v>0</v>
      </c>
    </row>
    <row r="361" spans="1:13" x14ac:dyDescent="0.25">
      <c r="A361" s="34">
        <v>0</v>
      </c>
      <c r="B361" s="57">
        <f t="shared" si="15"/>
        <v>800</v>
      </c>
      <c r="C361" s="57">
        <f t="shared" si="15"/>
        <v>800</v>
      </c>
      <c r="D361" s="57">
        <f t="shared" si="15"/>
        <v>0</v>
      </c>
      <c r="E361" s="57">
        <f t="shared" si="15"/>
        <v>0</v>
      </c>
      <c r="F361" s="57">
        <f t="shared" si="15"/>
        <v>0</v>
      </c>
      <c r="G361" s="57">
        <f t="shared" si="14"/>
        <v>0</v>
      </c>
      <c r="H361" s="57">
        <f t="shared" si="14"/>
        <v>0</v>
      </c>
      <c r="I361" s="57">
        <f t="shared" si="12"/>
        <v>0</v>
      </c>
      <c r="J361" s="57">
        <f t="shared" si="13"/>
        <v>0</v>
      </c>
      <c r="K361" s="57"/>
      <c r="L361" s="57">
        <f t="shared" si="10"/>
        <v>0</v>
      </c>
      <c r="M361" s="57">
        <f t="shared" si="10"/>
        <v>0</v>
      </c>
    </row>
    <row r="362" spans="1:13" x14ac:dyDescent="0.25">
      <c r="A362" s="34">
        <v>0</v>
      </c>
      <c r="B362" s="57">
        <f t="shared" si="15"/>
        <v>800</v>
      </c>
      <c r="C362" s="57">
        <f t="shared" si="15"/>
        <v>800</v>
      </c>
      <c r="D362" s="57">
        <f t="shared" si="15"/>
        <v>0</v>
      </c>
      <c r="E362" s="57">
        <f t="shared" si="15"/>
        <v>0</v>
      </c>
      <c r="F362" s="57">
        <f t="shared" si="15"/>
        <v>0</v>
      </c>
      <c r="G362" s="57">
        <f t="shared" si="14"/>
        <v>0</v>
      </c>
      <c r="H362" s="57">
        <f t="shared" si="14"/>
        <v>0</v>
      </c>
      <c r="I362" s="57">
        <f t="shared" si="12"/>
        <v>0</v>
      </c>
      <c r="J362" s="57">
        <f t="shared" si="13"/>
        <v>0</v>
      </c>
      <c r="K362" s="57"/>
      <c r="L362" s="57">
        <f t="shared" si="10"/>
        <v>0</v>
      </c>
      <c r="M362" s="57">
        <f t="shared" si="10"/>
        <v>0</v>
      </c>
    </row>
    <row r="363" spans="1:13" x14ac:dyDescent="0.25">
      <c r="A363" s="34">
        <v>0</v>
      </c>
      <c r="B363" s="57">
        <f t="shared" si="15"/>
        <v>800</v>
      </c>
      <c r="C363" s="57">
        <f t="shared" si="15"/>
        <v>800</v>
      </c>
      <c r="D363" s="57">
        <f t="shared" si="15"/>
        <v>0</v>
      </c>
      <c r="E363" s="57">
        <f t="shared" si="15"/>
        <v>0</v>
      </c>
      <c r="F363" s="57">
        <f t="shared" si="15"/>
        <v>0</v>
      </c>
      <c r="G363" s="57">
        <f t="shared" si="14"/>
        <v>0</v>
      </c>
      <c r="H363" s="57">
        <f t="shared" si="14"/>
        <v>0</v>
      </c>
      <c r="I363" s="57">
        <f t="shared" si="12"/>
        <v>0</v>
      </c>
      <c r="J363" s="57">
        <f t="shared" si="13"/>
        <v>0</v>
      </c>
      <c r="K363" s="57"/>
      <c r="L363" s="57">
        <f t="shared" si="10"/>
        <v>0</v>
      </c>
      <c r="M363" s="57">
        <f t="shared" si="10"/>
        <v>0</v>
      </c>
    </row>
    <row r="364" spans="1:13" x14ac:dyDescent="0.25">
      <c r="A364" s="34">
        <v>0</v>
      </c>
      <c r="B364" s="57">
        <f t="shared" si="15"/>
        <v>800</v>
      </c>
      <c r="C364" s="57">
        <f t="shared" si="15"/>
        <v>800</v>
      </c>
      <c r="D364" s="57">
        <f t="shared" si="15"/>
        <v>0</v>
      </c>
      <c r="E364" s="57">
        <f t="shared" si="15"/>
        <v>0</v>
      </c>
      <c r="F364" s="57">
        <f t="shared" si="15"/>
        <v>0</v>
      </c>
      <c r="G364" s="57">
        <f t="shared" si="14"/>
        <v>0</v>
      </c>
      <c r="H364" s="57">
        <f t="shared" si="14"/>
        <v>0</v>
      </c>
      <c r="I364" s="57">
        <f t="shared" si="12"/>
        <v>0</v>
      </c>
      <c r="J364" s="57">
        <f t="shared" si="13"/>
        <v>0</v>
      </c>
      <c r="K364" s="57"/>
      <c r="L364" s="57">
        <f t="shared" si="10"/>
        <v>0</v>
      </c>
      <c r="M364" s="57">
        <f t="shared" si="10"/>
        <v>0</v>
      </c>
    </row>
    <row r="365" spans="1:13" x14ac:dyDescent="0.25">
      <c r="A365" s="34">
        <v>0</v>
      </c>
      <c r="B365" s="57">
        <f t="shared" si="15"/>
        <v>800</v>
      </c>
      <c r="C365" s="57">
        <f t="shared" si="15"/>
        <v>800</v>
      </c>
      <c r="D365" s="57">
        <f t="shared" si="15"/>
        <v>0</v>
      </c>
      <c r="E365" s="57">
        <f t="shared" si="15"/>
        <v>0</v>
      </c>
      <c r="F365" s="57">
        <f t="shared" si="15"/>
        <v>0</v>
      </c>
      <c r="G365" s="57">
        <f t="shared" si="14"/>
        <v>0</v>
      </c>
      <c r="H365" s="57">
        <f t="shared" si="14"/>
        <v>0</v>
      </c>
      <c r="I365" s="57">
        <f t="shared" si="12"/>
        <v>0</v>
      </c>
      <c r="J365" s="57">
        <f t="shared" si="13"/>
        <v>0</v>
      </c>
      <c r="K365" s="57"/>
      <c r="L365" s="57">
        <f t="shared" si="10"/>
        <v>0</v>
      </c>
      <c r="M365" s="57">
        <f t="shared" si="10"/>
        <v>0</v>
      </c>
    </row>
    <row r="366" spans="1:13" x14ac:dyDescent="0.25">
      <c r="A366" s="34">
        <v>0</v>
      </c>
      <c r="B366" s="57">
        <f t="shared" si="15"/>
        <v>800</v>
      </c>
      <c r="C366" s="57">
        <f t="shared" si="15"/>
        <v>800</v>
      </c>
      <c r="D366" s="57">
        <f t="shared" si="15"/>
        <v>0</v>
      </c>
      <c r="E366" s="57">
        <f t="shared" si="15"/>
        <v>0</v>
      </c>
      <c r="F366" s="57">
        <f t="shared" si="15"/>
        <v>0</v>
      </c>
      <c r="G366" s="57">
        <f t="shared" si="14"/>
        <v>0</v>
      </c>
      <c r="H366" s="57">
        <f t="shared" si="14"/>
        <v>0</v>
      </c>
      <c r="I366" s="57">
        <f t="shared" si="12"/>
        <v>0</v>
      </c>
      <c r="J366" s="57">
        <f t="shared" si="13"/>
        <v>0</v>
      </c>
      <c r="K366" s="57"/>
      <c r="L366" s="57">
        <f t="shared" si="10"/>
        <v>0</v>
      </c>
      <c r="M366" s="57">
        <f t="shared" si="10"/>
        <v>0</v>
      </c>
    </row>
    <row r="367" spans="1:13" x14ac:dyDescent="0.25">
      <c r="A367" s="34">
        <v>0</v>
      </c>
      <c r="B367" s="57">
        <f t="shared" si="15"/>
        <v>800</v>
      </c>
      <c r="C367" s="57">
        <f t="shared" si="15"/>
        <v>800</v>
      </c>
      <c r="D367" s="57">
        <f t="shared" si="15"/>
        <v>0</v>
      </c>
      <c r="E367" s="57">
        <f t="shared" si="15"/>
        <v>0</v>
      </c>
      <c r="F367" s="57">
        <f t="shared" si="15"/>
        <v>0</v>
      </c>
      <c r="G367" s="57">
        <f t="shared" si="14"/>
        <v>0</v>
      </c>
      <c r="H367" s="57">
        <f t="shared" si="14"/>
        <v>0</v>
      </c>
      <c r="I367" s="57">
        <f t="shared" si="12"/>
        <v>0</v>
      </c>
      <c r="J367" s="57">
        <f t="shared" si="13"/>
        <v>0</v>
      </c>
      <c r="K367" s="57"/>
      <c r="L367" s="57">
        <f t="shared" si="10"/>
        <v>0</v>
      </c>
      <c r="M367" s="57">
        <f t="shared" si="10"/>
        <v>0</v>
      </c>
    </row>
    <row r="368" spans="1:13" x14ac:dyDescent="0.25">
      <c r="A368" s="34">
        <v>0</v>
      </c>
      <c r="B368" s="57">
        <f t="shared" si="15"/>
        <v>800</v>
      </c>
      <c r="C368" s="57">
        <f t="shared" si="15"/>
        <v>800</v>
      </c>
      <c r="D368" s="57">
        <f t="shared" si="15"/>
        <v>0</v>
      </c>
      <c r="E368" s="57">
        <f t="shared" si="15"/>
        <v>0</v>
      </c>
      <c r="F368" s="57">
        <f t="shared" si="15"/>
        <v>0</v>
      </c>
      <c r="G368" s="57">
        <f t="shared" si="14"/>
        <v>0</v>
      </c>
      <c r="H368" s="57">
        <f t="shared" si="14"/>
        <v>0</v>
      </c>
      <c r="I368" s="57">
        <f t="shared" si="12"/>
        <v>0</v>
      </c>
      <c r="J368" s="57">
        <f t="shared" si="13"/>
        <v>0</v>
      </c>
      <c r="K368" s="57"/>
      <c r="L368" s="57">
        <f t="shared" si="10"/>
        <v>0</v>
      </c>
      <c r="M368" s="57">
        <f t="shared" si="10"/>
        <v>0</v>
      </c>
    </row>
    <row r="369" spans="1:13" x14ac:dyDescent="0.25">
      <c r="A369" s="34">
        <v>0</v>
      </c>
      <c r="B369" s="57">
        <f t="shared" si="15"/>
        <v>800</v>
      </c>
      <c r="C369" s="57">
        <f t="shared" si="15"/>
        <v>800</v>
      </c>
      <c r="D369" s="57">
        <f t="shared" si="15"/>
        <v>0</v>
      </c>
      <c r="E369" s="57">
        <f t="shared" si="15"/>
        <v>0</v>
      </c>
      <c r="F369" s="57">
        <f t="shared" si="15"/>
        <v>0</v>
      </c>
      <c r="G369" s="57">
        <f t="shared" si="14"/>
        <v>0</v>
      </c>
      <c r="H369" s="57">
        <f t="shared" si="14"/>
        <v>0</v>
      </c>
      <c r="I369" s="57">
        <f t="shared" si="12"/>
        <v>0</v>
      </c>
      <c r="J369" s="57">
        <f t="shared" si="13"/>
        <v>0</v>
      </c>
      <c r="K369" s="57"/>
      <c r="L369" s="57">
        <f t="shared" si="10"/>
        <v>0</v>
      </c>
      <c r="M369" s="57">
        <f t="shared" si="10"/>
        <v>0</v>
      </c>
    </row>
    <row r="370" spans="1:13" x14ac:dyDescent="0.25">
      <c r="A370" s="34">
        <v>0</v>
      </c>
      <c r="B370" s="57">
        <f t="shared" si="15"/>
        <v>800</v>
      </c>
      <c r="C370" s="57">
        <f t="shared" si="15"/>
        <v>800</v>
      </c>
      <c r="D370" s="57">
        <f t="shared" si="15"/>
        <v>0</v>
      </c>
      <c r="E370" s="57">
        <f t="shared" si="15"/>
        <v>0</v>
      </c>
      <c r="F370" s="57">
        <f t="shared" si="15"/>
        <v>0</v>
      </c>
      <c r="G370" s="57">
        <f t="shared" si="14"/>
        <v>0</v>
      </c>
      <c r="H370" s="57">
        <f t="shared" si="14"/>
        <v>0</v>
      </c>
      <c r="I370" s="57">
        <f t="shared" si="12"/>
        <v>0</v>
      </c>
      <c r="J370" s="57">
        <f t="shared" si="13"/>
        <v>0</v>
      </c>
      <c r="K370" s="57"/>
      <c r="L370" s="57">
        <f t="shared" si="10"/>
        <v>0</v>
      </c>
      <c r="M370" s="57">
        <f t="shared" si="10"/>
        <v>0</v>
      </c>
    </row>
    <row r="371" spans="1:13" x14ac:dyDescent="0.25">
      <c r="A371" s="34">
        <v>0</v>
      </c>
      <c r="B371" s="57">
        <f t="shared" si="15"/>
        <v>800</v>
      </c>
      <c r="C371" s="57">
        <f t="shared" si="15"/>
        <v>800</v>
      </c>
      <c r="D371" s="57">
        <f t="shared" si="15"/>
        <v>0</v>
      </c>
      <c r="E371" s="57">
        <f t="shared" si="15"/>
        <v>0</v>
      </c>
      <c r="F371" s="57">
        <f t="shared" si="15"/>
        <v>0</v>
      </c>
      <c r="G371" s="57">
        <f t="shared" si="14"/>
        <v>0</v>
      </c>
      <c r="H371" s="57">
        <f t="shared" si="14"/>
        <v>0</v>
      </c>
      <c r="I371" s="57">
        <f t="shared" si="12"/>
        <v>0</v>
      </c>
      <c r="J371" s="57">
        <f t="shared" si="13"/>
        <v>0</v>
      </c>
      <c r="K371" s="57"/>
      <c r="L371" s="57">
        <f t="shared" si="10"/>
        <v>0</v>
      </c>
      <c r="M371" s="57">
        <f t="shared" si="10"/>
        <v>0</v>
      </c>
    </row>
    <row r="372" spans="1:13" x14ac:dyDescent="0.25">
      <c r="A372" s="34">
        <v>0</v>
      </c>
      <c r="B372" s="57">
        <f t="shared" si="15"/>
        <v>800</v>
      </c>
      <c r="C372" s="57">
        <f t="shared" si="15"/>
        <v>800</v>
      </c>
      <c r="D372" s="57">
        <f t="shared" si="15"/>
        <v>0</v>
      </c>
      <c r="E372" s="57">
        <f t="shared" si="15"/>
        <v>0</v>
      </c>
      <c r="F372" s="57">
        <f t="shared" si="15"/>
        <v>0</v>
      </c>
      <c r="G372" s="57">
        <f t="shared" si="14"/>
        <v>0</v>
      </c>
      <c r="H372" s="57">
        <f t="shared" si="14"/>
        <v>0</v>
      </c>
      <c r="I372" s="57">
        <f t="shared" si="12"/>
        <v>0</v>
      </c>
      <c r="J372" s="57">
        <f t="shared" si="13"/>
        <v>0</v>
      </c>
      <c r="K372" s="57"/>
      <c r="L372" s="57">
        <f t="shared" si="10"/>
        <v>0</v>
      </c>
      <c r="M372" s="57">
        <f t="shared" si="10"/>
        <v>0</v>
      </c>
    </row>
    <row r="373" spans="1:13" x14ac:dyDescent="0.25">
      <c r="A373" s="34">
        <v>0</v>
      </c>
      <c r="B373" s="57">
        <f t="shared" si="15"/>
        <v>800</v>
      </c>
      <c r="C373" s="57">
        <f t="shared" si="15"/>
        <v>800</v>
      </c>
      <c r="D373" s="57">
        <f t="shared" si="15"/>
        <v>0</v>
      </c>
      <c r="E373" s="57">
        <f t="shared" si="15"/>
        <v>0</v>
      </c>
      <c r="F373" s="57">
        <f t="shared" si="15"/>
        <v>0</v>
      </c>
      <c r="G373" s="57">
        <f t="shared" si="14"/>
        <v>0</v>
      </c>
      <c r="H373" s="57">
        <f t="shared" si="14"/>
        <v>0</v>
      </c>
      <c r="I373" s="57">
        <f t="shared" si="12"/>
        <v>0</v>
      </c>
      <c r="J373" s="57">
        <f t="shared" si="13"/>
        <v>0</v>
      </c>
      <c r="K373" s="57"/>
      <c r="L373" s="57">
        <f t="shared" si="10"/>
        <v>0</v>
      </c>
      <c r="M373" s="57">
        <f t="shared" si="10"/>
        <v>0</v>
      </c>
    </row>
    <row r="374" spans="1:13" x14ac:dyDescent="0.25">
      <c r="A374" s="34">
        <v>0</v>
      </c>
      <c r="B374" s="57">
        <f t="shared" si="15"/>
        <v>800</v>
      </c>
      <c r="C374" s="57">
        <f t="shared" si="15"/>
        <v>800</v>
      </c>
      <c r="D374" s="57">
        <f t="shared" si="15"/>
        <v>0</v>
      </c>
      <c r="E374" s="57">
        <f t="shared" si="15"/>
        <v>0</v>
      </c>
      <c r="F374" s="57">
        <f t="shared" si="15"/>
        <v>0</v>
      </c>
      <c r="G374" s="57">
        <f t="shared" si="14"/>
        <v>0</v>
      </c>
      <c r="H374" s="57">
        <f t="shared" si="14"/>
        <v>0</v>
      </c>
      <c r="I374" s="57">
        <f t="shared" si="12"/>
        <v>0</v>
      </c>
      <c r="J374" s="57">
        <f t="shared" si="13"/>
        <v>0</v>
      </c>
      <c r="K374" s="57"/>
      <c r="L374" s="57">
        <f t="shared" si="10"/>
        <v>0</v>
      </c>
      <c r="M374" s="57">
        <f t="shared" si="10"/>
        <v>0</v>
      </c>
    </row>
    <row r="375" spans="1:13" x14ac:dyDescent="0.25">
      <c r="A375" s="34">
        <v>0</v>
      </c>
      <c r="B375" s="57">
        <f t="shared" si="15"/>
        <v>800</v>
      </c>
      <c r="C375" s="57">
        <f t="shared" si="15"/>
        <v>800</v>
      </c>
      <c r="D375" s="57">
        <f t="shared" si="15"/>
        <v>0</v>
      </c>
      <c r="E375" s="57">
        <f t="shared" si="15"/>
        <v>0</v>
      </c>
      <c r="F375" s="57">
        <f t="shared" si="15"/>
        <v>0</v>
      </c>
      <c r="G375" s="57">
        <f t="shared" si="14"/>
        <v>0</v>
      </c>
      <c r="H375" s="57">
        <f t="shared" si="14"/>
        <v>0</v>
      </c>
      <c r="I375" s="57">
        <f t="shared" si="12"/>
        <v>0</v>
      </c>
      <c r="J375" s="57">
        <f t="shared" si="13"/>
        <v>0</v>
      </c>
      <c r="K375" s="57"/>
      <c r="L375" s="57">
        <f t="shared" si="10"/>
        <v>0</v>
      </c>
      <c r="M375" s="57">
        <f t="shared" si="10"/>
        <v>0</v>
      </c>
    </row>
    <row r="376" spans="1:13" x14ac:dyDescent="0.25">
      <c r="A376" s="34">
        <v>0</v>
      </c>
      <c r="B376" s="57">
        <f t="shared" si="15"/>
        <v>800</v>
      </c>
      <c r="C376" s="57">
        <f t="shared" si="15"/>
        <v>800</v>
      </c>
      <c r="D376" s="57">
        <f t="shared" si="15"/>
        <v>0</v>
      </c>
      <c r="E376" s="57">
        <f t="shared" si="15"/>
        <v>0</v>
      </c>
      <c r="F376" s="57">
        <f t="shared" si="15"/>
        <v>0</v>
      </c>
      <c r="G376" s="57">
        <f t="shared" si="14"/>
        <v>0</v>
      </c>
      <c r="H376" s="57">
        <f t="shared" si="14"/>
        <v>0</v>
      </c>
      <c r="I376" s="57">
        <f t="shared" si="12"/>
        <v>0</v>
      </c>
      <c r="J376" s="57">
        <f t="shared" si="13"/>
        <v>0</v>
      </c>
      <c r="K376" s="57"/>
      <c r="L376" s="57">
        <f t="shared" si="10"/>
        <v>0</v>
      </c>
      <c r="M376" s="57">
        <f t="shared" si="10"/>
        <v>0</v>
      </c>
    </row>
    <row r="377" spans="1:13" x14ac:dyDescent="0.25">
      <c r="A377" s="34">
        <v>0</v>
      </c>
      <c r="B377" s="57">
        <f t="shared" si="15"/>
        <v>800</v>
      </c>
      <c r="C377" s="57">
        <f t="shared" si="15"/>
        <v>800</v>
      </c>
      <c r="D377" s="57">
        <f t="shared" si="15"/>
        <v>0</v>
      </c>
      <c r="E377" s="57">
        <f t="shared" si="15"/>
        <v>0</v>
      </c>
      <c r="F377" s="57">
        <f t="shared" si="15"/>
        <v>0</v>
      </c>
      <c r="G377" s="57">
        <f t="shared" si="14"/>
        <v>0</v>
      </c>
      <c r="H377" s="57">
        <f t="shared" si="14"/>
        <v>0</v>
      </c>
      <c r="I377" s="57">
        <f t="shared" si="12"/>
        <v>0</v>
      </c>
      <c r="J377" s="57">
        <f t="shared" si="13"/>
        <v>0</v>
      </c>
      <c r="K377" s="57"/>
      <c r="L377" s="57">
        <f t="shared" si="10"/>
        <v>0</v>
      </c>
      <c r="M377" s="57">
        <f t="shared" si="10"/>
        <v>0</v>
      </c>
    </row>
    <row r="378" spans="1:13" x14ac:dyDescent="0.25">
      <c r="A378" s="34">
        <v>0</v>
      </c>
      <c r="B378" s="57">
        <f t="shared" si="15"/>
        <v>800</v>
      </c>
      <c r="C378" s="57">
        <f t="shared" si="15"/>
        <v>800</v>
      </c>
      <c r="D378" s="57">
        <f t="shared" si="15"/>
        <v>0</v>
      </c>
      <c r="E378" s="57">
        <f t="shared" si="15"/>
        <v>0</v>
      </c>
      <c r="F378" s="57">
        <f t="shared" si="15"/>
        <v>0</v>
      </c>
      <c r="G378" s="57">
        <f t="shared" si="14"/>
        <v>0</v>
      </c>
      <c r="H378" s="57">
        <f t="shared" si="14"/>
        <v>0</v>
      </c>
      <c r="I378" s="57">
        <f t="shared" si="12"/>
        <v>0</v>
      </c>
      <c r="J378" s="57">
        <f t="shared" si="13"/>
        <v>0</v>
      </c>
      <c r="K378" s="57"/>
      <c r="L378" s="57">
        <f t="shared" si="10"/>
        <v>0</v>
      </c>
      <c r="M378" s="57">
        <f t="shared" si="10"/>
        <v>0</v>
      </c>
    </row>
    <row r="379" spans="1:13" x14ac:dyDescent="0.25">
      <c r="A379" s="34">
        <v>0</v>
      </c>
      <c r="B379" s="57">
        <f t="shared" si="15"/>
        <v>800</v>
      </c>
      <c r="C379" s="57">
        <f t="shared" si="15"/>
        <v>800</v>
      </c>
      <c r="D379" s="57">
        <f t="shared" si="15"/>
        <v>0</v>
      </c>
      <c r="E379" s="57">
        <f t="shared" si="15"/>
        <v>0</v>
      </c>
      <c r="F379" s="57">
        <f t="shared" si="15"/>
        <v>0</v>
      </c>
      <c r="G379" s="57">
        <f t="shared" si="14"/>
        <v>0</v>
      </c>
      <c r="H379" s="57">
        <f t="shared" si="14"/>
        <v>0</v>
      </c>
      <c r="I379" s="57">
        <f t="shared" si="12"/>
        <v>0</v>
      </c>
      <c r="J379" s="57">
        <f t="shared" si="13"/>
        <v>0</v>
      </c>
      <c r="K379" s="57"/>
      <c r="L379" s="57">
        <f t="shared" si="10"/>
        <v>0</v>
      </c>
      <c r="M379" s="57">
        <f t="shared" si="10"/>
        <v>0</v>
      </c>
    </row>
    <row r="380" spans="1:13" x14ac:dyDescent="0.25">
      <c r="A380" s="34">
        <v>0</v>
      </c>
      <c r="B380" s="57">
        <f t="shared" si="15"/>
        <v>800</v>
      </c>
      <c r="C380" s="57">
        <f t="shared" si="15"/>
        <v>800</v>
      </c>
      <c r="D380" s="57">
        <f t="shared" si="15"/>
        <v>0</v>
      </c>
      <c r="E380" s="57">
        <f t="shared" si="15"/>
        <v>0</v>
      </c>
      <c r="F380" s="57">
        <f t="shared" si="15"/>
        <v>0</v>
      </c>
      <c r="G380" s="57">
        <f t="shared" si="14"/>
        <v>0</v>
      </c>
      <c r="H380" s="57">
        <f t="shared" si="14"/>
        <v>0</v>
      </c>
      <c r="I380" s="57">
        <f t="shared" si="12"/>
        <v>0</v>
      </c>
      <c r="J380" s="57">
        <f t="shared" si="13"/>
        <v>0</v>
      </c>
      <c r="K380" s="57"/>
      <c r="L380" s="57">
        <f t="shared" si="10"/>
        <v>0</v>
      </c>
      <c r="M380" s="57">
        <f t="shared" si="10"/>
        <v>0</v>
      </c>
    </row>
    <row r="381" spans="1:13" x14ac:dyDescent="0.25">
      <c r="A381" s="34">
        <v>0</v>
      </c>
      <c r="B381" s="57">
        <f t="shared" si="15"/>
        <v>800</v>
      </c>
      <c r="C381" s="57">
        <f t="shared" si="15"/>
        <v>800</v>
      </c>
      <c r="D381" s="57">
        <f t="shared" si="15"/>
        <v>0</v>
      </c>
      <c r="E381" s="57">
        <f t="shared" si="15"/>
        <v>0</v>
      </c>
      <c r="F381" s="57">
        <f t="shared" si="15"/>
        <v>0</v>
      </c>
      <c r="G381" s="57">
        <f t="shared" si="14"/>
        <v>0</v>
      </c>
      <c r="H381" s="57">
        <f t="shared" si="14"/>
        <v>0</v>
      </c>
      <c r="I381" s="57">
        <f t="shared" si="12"/>
        <v>0</v>
      </c>
      <c r="J381" s="57">
        <f t="shared" si="13"/>
        <v>0</v>
      </c>
      <c r="K381" s="57"/>
      <c r="L381" s="57">
        <f t="shared" si="10"/>
        <v>0</v>
      </c>
      <c r="M381" s="57">
        <f t="shared" si="10"/>
        <v>0</v>
      </c>
    </row>
    <row r="382" spans="1:13" x14ac:dyDescent="0.25">
      <c r="A382" s="34">
        <v>0</v>
      </c>
      <c r="B382" s="57">
        <f t="shared" si="15"/>
        <v>800</v>
      </c>
      <c r="C382" s="57">
        <f t="shared" si="15"/>
        <v>800</v>
      </c>
      <c r="D382" s="57">
        <f t="shared" si="15"/>
        <v>0</v>
      </c>
      <c r="E382" s="57">
        <f t="shared" si="15"/>
        <v>0</v>
      </c>
      <c r="F382" s="57">
        <f t="shared" si="15"/>
        <v>0</v>
      </c>
      <c r="G382" s="57">
        <f t="shared" si="14"/>
        <v>0</v>
      </c>
      <c r="H382" s="57">
        <f t="shared" si="14"/>
        <v>0</v>
      </c>
      <c r="I382" s="57">
        <f t="shared" si="12"/>
        <v>0</v>
      </c>
      <c r="J382" s="57">
        <f t="shared" si="13"/>
        <v>0</v>
      </c>
      <c r="K382" s="57"/>
      <c r="L382" s="57">
        <f t="shared" si="10"/>
        <v>0</v>
      </c>
      <c r="M382" s="57">
        <f t="shared" si="10"/>
        <v>0</v>
      </c>
    </row>
    <row r="383" spans="1:13" x14ac:dyDescent="0.25">
      <c r="A383" s="34">
        <v>0</v>
      </c>
      <c r="B383" s="57">
        <f t="shared" si="15"/>
        <v>800</v>
      </c>
      <c r="C383" s="57">
        <f t="shared" si="15"/>
        <v>800</v>
      </c>
      <c r="D383" s="57">
        <f t="shared" si="15"/>
        <v>0</v>
      </c>
      <c r="E383" s="57">
        <f t="shared" si="15"/>
        <v>0</v>
      </c>
      <c r="F383" s="57">
        <f t="shared" si="15"/>
        <v>0</v>
      </c>
      <c r="G383" s="57">
        <f t="shared" si="14"/>
        <v>0</v>
      </c>
      <c r="H383" s="57">
        <f t="shared" si="14"/>
        <v>0</v>
      </c>
      <c r="I383" s="57">
        <f t="shared" si="12"/>
        <v>0</v>
      </c>
      <c r="J383" s="57">
        <f t="shared" si="13"/>
        <v>0</v>
      </c>
      <c r="K383" s="57"/>
      <c r="L383" s="57">
        <f t="shared" si="10"/>
        <v>0</v>
      </c>
      <c r="M383" s="57">
        <f t="shared" si="10"/>
        <v>0</v>
      </c>
    </row>
    <row r="384" spans="1:13" x14ac:dyDescent="0.25">
      <c r="A384" s="34">
        <v>0</v>
      </c>
      <c r="B384" s="57">
        <f t="shared" si="15"/>
        <v>800</v>
      </c>
      <c r="C384" s="57">
        <f t="shared" si="15"/>
        <v>800</v>
      </c>
      <c r="D384" s="57">
        <f t="shared" si="15"/>
        <v>0</v>
      </c>
      <c r="E384" s="57">
        <f t="shared" si="15"/>
        <v>0</v>
      </c>
      <c r="F384" s="57">
        <f t="shared" si="15"/>
        <v>0</v>
      </c>
      <c r="G384" s="57">
        <f t="shared" si="14"/>
        <v>0</v>
      </c>
      <c r="H384" s="57">
        <f t="shared" si="14"/>
        <v>0</v>
      </c>
      <c r="I384" s="57">
        <f t="shared" si="12"/>
        <v>0</v>
      </c>
      <c r="J384" s="57">
        <f t="shared" si="13"/>
        <v>0</v>
      </c>
      <c r="K384" s="57"/>
      <c r="L384" s="57">
        <f t="shared" si="10"/>
        <v>0</v>
      </c>
      <c r="M384" s="57">
        <f t="shared" si="10"/>
        <v>0</v>
      </c>
    </row>
    <row r="385" spans="1:13" x14ac:dyDescent="0.25">
      <c r="A385" s="34">
        <v>0</v>
      </c>
      <c r="B385" s="57">
        <f t="shared" si="15"/>
        <v>800</v>
      </c>
      <c r="C385" s="57">
        <f t="shared" si="15"/>
        <v>800</v>
      </c>
      <c r="D385" s="57">
        <f t="shared" si="15"/>
        <v>0</v>
      </c>
      <c r="E385" s="57">
        <f t="shared" si="15"/>
        <v>0</v>
      </c>
      <c r="F385" s="57">
        <f t="shared" si="15"/>
        <v>0</v>
      </c>
      <c r="G385" s="57">
        <f t="shared" si="14"/>
        <v>0</v>
      </c>
      <c r="H385" s="57">
        <f t="shared" si="14"/>
        <v>0</v>
      </c>
      <c r="I385" s="57">
        <f t="shared" si="12"/>
        <v>0</v>
      </c>
      <c r="J385" s="57">
        <f t="shared" si="13"/>
        <v>0</v>
      </c>
      <c r="K385" s="57"/>
      <c r="L385" s="57">
        <f t="shared" si="10"/>
        <v>0</v>
      </c>
      <c r="M385" s="57">
        <f t="shared" si="10"/>
        <v>0</v>
      </c>
    </row>
    <row r="386" spans="1:13" x14ac:dyDescent="0.25">
      <c r="A386" s="34">
        <v>0</v>
      </c>
      <c r="B386" s="57">
        <f t="shared" si="15"/>
        <v>800</v>
      </c>
      <c r="C386" s="57">
        <f t="shared" si="15"/>
        <v>800</v>
      </c>
      <c r="D386" s="57">
        <f t="shared" si="15"/>
        <v>0</v>
      </c>
      <c r="E386" s="57">
        <f t="shared" si="15"/>
        <v>0</v>
      </c>
      <c r="F386" s="57">
        <f t="shared" si="15"/>
        <v>0</v>
      </c>
      <c r="G386" s="57">
        <f t="shared" si="14"/>
        <v>0</v>
      </c>
      <c r="H386" s="57">
        <f t="shared" si="14"/>
        <v>0</v>
      </c>
      <c r="I386" s="57">
        <f t="shared" si="12"/>
        <v>0</v>
      </c>
      <c r="J386" s="57">
        <f t="shared" si="13"/>
        <v>0</v>
      </c>
      <c r="K386" s="57"/>
      <c r="L386" s="57">
        <f t="shared" si="10"/>
        <v>0</v>
      </c>
      <c r="M386" s="57">
        <f t="shared" si="10"/>
        <v>0</v>
      </c>
    </row>
    <row r="387" spans="1:13" x14ac:dyDescent="0.25">
      <c r="A387" s="34">
        <v>0</v>
      </c>
      <c r="B387" s="57">
        <f t="shared" si="15"/>
        <v>800</v>
      </c>
      <c r="C387" s="57">
        <f t="shared" si="15"/>
        <v>800</v>
      </c>
      <c r="D387" s="57">
        <f t="shared" si="15"/>
        <v>0</v>
      </c>
      <c r="E387" s="57">
        <f t="shared" si="15"/>
        <v>0</v>
      </c>
      <c r="F387" s="57">
        <f t="shared" si="15"/>
        <v>0</v>
      </c>
      <c r="G387" s="57">
        <f t="shared" si="14"/>
        <v>0</v>
      </c>
      <c r="H387" s="57">
        <f t="shared" si="14"/>
        <v>0</v>
      </c>
      <c r="I387" s="57">
        <f t="shared" si="12"/>
        <v>0</v>
      </c>
      <c r="J387" s="57">
        <f t="shared" si="13"/>
        <v>0</v>
      </c>
      <c r="K387" s="57"/>
      <c r="L387" s="57">
        <f t="shared" si="10"/>
        <v>0</v>
      </c>
      <c r="M387" s="57">
        <f t="shared" si="10"/>
        <v>0</v>
      </c>
    </row>
    <row r="388" spans="1:13" x14ac:dyDescent="0.25">
      <c r="A388" s="34">
        <v>0</v>
      </c>
      <c r="B388" s="57">
        <f t="shared" si="15"/>
        <v>800</v>
      </c>
      <c r="C388" s="57">
        <f t="shared" si="15"/>
        <v>800</v>
      </c>
      <c r="D388" s="57">
        <f t="shared" si="15"/>
        <v>0</v>
      </c>
      <c r="E388" s="57">
        <f t="shared" si="15"/>
        <v>0</v>
      </c>
      <c r="F388" s="57">
        <f t="shared" si="15"/>
        <v>0</v>
      </c>
      <c r="G388" s="57">
        <f t="shared" si="14"/>
        <v>0</v>
      </c>
      <c r="H388" s="57">
        <f t="shared" si="14"/>
        <v>0</v>
      </c>
      <c r="I388" s="57">
        <f t="shared" si="12"/>
        <v>0</v>
      </c>
      <c r="J388" s="57">
        <f t="shared" si="13"/>
        <v>0</v>
      </c>
      <c r="K388" s="57"/>
      <c r="L388" s="57">
        <f t="shared" si="10"/>
        <v>0</v>
      </c>
      <c r="M388" s="57">
        <f t="shared" si="10"/>
        <v>0</v>
      </c>
    </row>
    <row r="492" spans="1:1" x14ac:dyDescent="0.25">
      <c r="A492" s="34" t="s">
        <v>36</v>
      </c>
    </row>
    <row r="493" spans="1:1" x14ac:dyDescent="0.25">
      <c r="A493" s="34" t="s">
        <v>37</v>
      </c>
    </row>
    <row r="494" spans="1:1" x14ac:dyDescent="0.25">
      <c r="A494" s="34" t="s">
        <v>38</v>
      </c>
    </row>
    <row r="495" spans="1:1" x14ac:dyDescent="0.25">
      <c r="A495" s="34" t="s">
        <v>39</v>
      </c>
    </row>
    <row r="496" spans="1:1" x14ac:dyDescent="0.25">
      <c r="A496" s="34" t="s">
        <v>40</v>
      </c>
    </row>
    <row r="497" spans="1:1" x14ac:dyDescent="0.25">
      <c r="A497" s="34" t="s">
        <v>41</v>
      </c>
    </row>
    <row r="498" spans="1:1" x14ac:dyDescent="0.25">
      <c r="A498" s="34" t="s">
        <v>42</v>
      </c>
    </row>
    <row r="499" spans="1:1" x14ac:dyDescent="0.25">
      <c r="A499" s="34" t="s">
        <v>43</v>
      </c>
    </row>
    <row r="500" spans="1:1" x14ac:dyDescent="0.25">
      <c r="A500" s="34" t="s">
        <v>44</v>
      </c>
    </row>
    <row r="501" spans="1:1" x14ac:dyDescent="0.25">
      <c r="A501" s="34" t="s">
        <v>45</v>
      </c>
    </row>
    <row r="953" spans="9:9" x14ac:dyDescent="0.25">
      <c r="I953" s="34" t="s">
        <v>46</v>
      </c>
    </row>
    <row r="954" spans="9:9" x14ac:dyDescent="0.25">
      <c r="I954" s="34" t="s">
        <v>47</v>
      </c>
    </row>
    <row r="955" spans="9:9" x14ac:dyDescent="0.25">
      <c r="I955" s="34" t="s">
        <v>48</v>
      </c>
    </row>
    <row r="956" spans="9:9" x14ac:dyDescent="0.25">
      <c r="I956" s="34" t="s">
        <v>49</v>
      </c>
    </row>
    <row r="957" spans="9:9" x14ac:dyDescent="0.25">
      <c r="I957" s="34" t="s">
        <v>50</v>
      </c>
    </row>
    <row r="958" spans="9:9" x14ac:dyDescent="0.25">
      <c r="I958" s="34" t="s">
        <v>51</v>
      </c>
    </row>
    <row r="959" spans="9:9" x14ac:dyDescent="0.25">
      <c r="I959" s="34" t="s">
        <v>52</v>
      </c>
    </row>
    <row r="960" spans="9:9" x14ac:dyDescent="0.25">
      <c r="I960" s="34" t="s">
        <v>53</v>
      </c>
    </row>
    <row r="961" spans="9:9" x14ac:dyDescent="0.25">
      <c r="I961" s="34" t="s">
        <v>54</v>
      </c>
    </row>
    <row r="962" spans="9:9" x14ac:dyDescent="0.25">
      <c r="I962" s="34" t="s">
        <v>55</v>
      </c>
    </row>
    <row r="963" spans="9:9" x14ac:dyDescent="0.25">
      <c r="I963" s="34" t="s">
        <v>56</v>
      </c>
    </row>
    <row r="964" spans="9:9" x14ac:dyDescent="0.25">
      <c r="I964" s="34" t="s">
        <v>57</v>
      </c>
    </row>
    <row r="965" spans="9:9" x14ac:dyDescent="0.25">
      <c r="I965" s="34" t="s">
        <v>58</v>
      </c>
    </row>
    <row r="966" spans="9:9" x14ac:dyDescent="0.25">
      <c r="I966" s="34" t="s">
        <v>59</v>
      </c>
    </row>
    <row r="967" spans="9:9" x14ac:dyDescent="0.25">
      <c r="I967" s="34" t="s">
        <v>60</v>
      </c>
    </row>
    <row r="968" spans="9:9" x14ac:dyDescent="0.25">
      <c r="I968" s="34" t="s">
        <v>61</v>
      </c>
    </row>
    <row r="969" spans="9:9" x14ac:dyDescent="0.25">
      <c r="I969" s="34" t="s">
        <v>62</v>
      </c>
    </row>
    <row r="970" spans="9:9" x14ac:dyDescent="0.25">
      <c r="I970" s="34" t="s">
        <v>63</v>
      </c>
    </row>
    <row r="971" spans="9:9" x14ac:dyDescent="0.25">
      <c r="I971" s="34" t="s">
        <v>64</v>
      </c>
    </row>
    <row r="972" spans="9:9" x14ac:dyDescent="0.25">
      <c r="I972" s="34" t="s">
        <v>65</v>
      </c>
    </row>
    <row r="973" spans="9:9" x14ac:dyDescent="0.25">
      <c r="I973" s="34" t="s">
        <v>66</v>
      </c>
    </row>
    <row r="974" spans="9:9" x14ac:dyDescent="0.25">
      <c r="I974" s="34" t="s">
        <v>67</v>
      </c>
    </row>
    <row r="975" spans="9:9" x14ac:dyDescent="0.25">
      <c r="I975" s="34" t="s">
        <v>68</v>
      </c>
    </row>
    <row r="976" spans="9:9" x14ac:dyDescent="0.25">
      <c r="I976" s="34" t="s">
        <v>69</v>
      </c>
    </row>
    <row r="977" spans="9:9" x14ac:dyDescent="0.25">
      <c r="I977" s="34" t="s">
        <v>70</v>
      </c>
    </row>
    <row r="978" spans="9:9" x14ac:dyDescent="0.25">
      <c r="I978" s="34" t="s">
        <v>71</v>
      </c>
    </row>
  </sheetData>
  <protectedRanges>
    <protectedRange algorithmName="SHA-512" hashValue="39JY9U8Zrm4UzOd+E8f9Qd3UHT1iovDM1pej7RgFj0JN5ITg1lysY8acMJ9bXfWd5dJFMJbxDwSvqJbqU88A6Q==" saltValue="AuFoNR7BnpO26904NDlOeA==" spinCount="100000" sqref="B6" name="Range1"/>
    <protectedRange algorithmName="SHA-512" hashValue="1jJWfUXWRRT08/cshb+Zq/RAMTya5nSG8yWpGVBg0Dfqhe3vup+3W9p/IBZi/Wrrv1DDhqG9wt/eD6EO1fnNvQ==" saltValue="VWP5arczVApFJ9oxlz3YOA==" spinCount="100000" sqref="V8:AI8" name="Range2"/>
    <protectedRange password="CE2A" sqref="E9:E104" name="Range3_3"/>
    <protectedRange algorithmName="SHA-512" hashValue="1jJWfUXWRRT08/cshb+Zq/RAMTya5nSG8yWpGVBg0Dfqhe3vup+3W9p/IBZi/Wrrv1DDhqG9wt/eD6EO1fnNvQ==" saltValue="VWP5arczVApFJ9oxlz3YOA==" spinCount="100000" sqref="R8:S8 U8" name="Range2_1"/>
    <protectedRange algorithmName="SHA-512" hashValue="1jJWfUXWRRT08/cshb+Zq/RAMTya5nSG8yWpGVBg0Dfqhe3vup+3W9p/IBZi/Wrrv1DDhqG9wt/eD6EO1fnNvQ==" saltValue="VWP5arczVApFJ9oxlz3YOA==" spinCount="100000" sqref="O8:Q8 T8" name="Range2_3"/>
    <protectedRange algorithmName="SHA-512" hashValue="1jJWfUXWRRT08/cshb+Zq/RAMTya5nSG8yWpGVBg0Dfqhe3vup+3W9p/IBZi/Wrrv1DDhqG9wt/eD6EO1fnNvQ==" saltValue="VWP5arczVApFJ9oxlz3YOA==" spinCount="100000" sqref="E8:N8" name="Range2_3_2"/>
  </protectedRanges>
  <mergeCells count="16">
    <mergeCell ref="A1:O1"/>
    <mergeCell ref="A2:O2"/>
    <mergeCell ref="A3:A4"/>
    <mergeCell ref="B3:D4"/>
    <mergeCell ref="E3:E4"/>
    <mergeCell ref="F3:G4"/>
    <mergeCell ref="H3:L4"/>
    <mergeCell ref="A6:C7"/>
    <mergeCell ref="AH3:AH4"/>
    <mergeCell ref="AI3:AI4"/>
    <mergeCell ref="Q3:AB4"/>
    <mergeCell ref="AC3:AC4"/>
    <mergeCell ref="AD3:AD4"/>
    <mergeCell ref="AE3:AE4"/>
    <mergeCell ref="AF3:AF4"/>
    <mergeCell ref="AG3:AG4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CustomerData!$B$1:$B$483</xm:f>
          </x14:formula1>
          <xm:sqref>E8:AI8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theme="4" tint="0.79998168889431442"/>
  </sheetPr>
  <dimension ref="A1:AL494"/>
  <sheetViews>
    <sheetView zoomScaleNormal="100" workbookViewId="0">
      <pane ySplit="8" topLeftCell="A9" activePane="bottomLeft" state="frozen"/>
      <selection activeCell="D27" sqref="D27"/>
      <selection pane="bottomLeft" activeCell="F9" sqref="F9:G104"/>
    </sheetView>
  </sheetViews>
  <sheetFormatPr defaultColWidth="9.140625" defaultRowHeight="12.75" x14ac:dyDescent="0.2"/>
  <cols>
    <col min="1" max="2" width="9.140625" style="5"/>
    <col min="3" max="3" width="11.140625" style="5" customWidth="1"/>
    <col min="4" max="4" width="12.5703125" style="5" bestFit="1" customWidth="1"/>
    <col min="5" max="5" width="12.42578125" style="5" bestFit="1" customWidth="1"/>
    <col min="6" max="6" width="11.28515625" style="5" customWidth="1"/>
    <col min="7" max="7" width="12.140625" style="5" customWidth="1"/>
    <col min="8" max="8" width="11.140625" style="5" bestFit="1" customWidth="1"/>
    <col min="9" max="9" width="9.140625" style="5" customWidth="1"/>
    <col min="10" max="10" width="12.140625" style="5" customWidth="1"/>
    <col min="11" max="11" width="9" style="5" customWidth="1"/>
    <col min="12" max="14" width="14.140625" style="5" customWidth="1"/>
    <col min="15" max="16384" width="9.140625" style="5"/>
  </cols>
  <sheetData>
    <row r="1" spans="1:38" ht="24" thickBot="1" x14ac:dyDescent="0.4">
      <c r="A1" s="133" t="s">
        <v>9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5"/>
      <c r="Q1" s="115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4"/>
    </row>
    <row r="2" spans="1:38" x14ac:dyDescent="0.2">
      <c r="A2" s="136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8"/>
      <c r="Q2" s="11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7"/>
    </row>
    <row r="3" spans="1:38" s="10" customFormat="1" ht="15" customHeight="1" x14ac:dyDescent="0.25">
      <c r="A3" s="139" t="s">
        <v>10</v>
      </c>
      <c r="B3" s="141"/>
      <c r="C3" s="141"/>
      <c r="D3" s="141"/>
      <c r="E3" s="143">
        <f ca="1">TODAY()</f>
        <v>45398</v>
      </c>
      <c r="F3" s="141" t="s">
        <v>11</v>
      </c>
      <c r="G3" s="141"/>
      <c r="H3" s="141" t="s">
        <v>12</v>
      </c>
      <c r="I3" s="141"/>
      <c r="J3" s="141"/>
      <c r="K3" s="141"/>
      <c r="L3" s="8"/>
      <c r="M3" s="8" t="s">
        <v>117</v>
      </c>
      <c r="N3" s="8"/>
      <c r="O3" s="8"/>
      <c r="P3" s="9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9"/>
    </row>
    <row r="4" spans="1:38" s="10" customFormat="1" ht="15.75" thickBot="1" x14ac:dyDescent="0.3">
      <c r="A4" s="140"/>
      <c r="B4" s="142"/>
      <c r="C4" s="142"/>
      <c r="D4" s="142"/>
      <c r="E4" s="144"/>
      <c r="F4" s="142"/>
      <c r="G4" s="142"/>
      <c r="H4" s="142"/>
      <c r="I4" s="142"/>
      <c r="J4" s="142"/>
      <c r="K4" s="142"/>
      <c r="L4" s="11"/>
      <c r="M4" s="11"/>
      <c r="N4" s="11"/>
      <c r="O4" s="11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2"/>
    </row>
    <row r="5" spans="1:38" s="10" customFormat="1" ht="16.5" thickBot="1" x14ac:dyDescent="0.3">
      <c r="A5" s="13" t="s">
        <v>13</v>
      </c>
      <c r="B5" s="14" t="s">
        <v>14</v>
      </c>
      <c r="C5" s="14" t="s">
        <v>15</v>
      </c>
      <c r="D5" s="15">
        <v>1</v>
      </c>
      <c r="E5" s="16" t="s">
        <v>16</v>
      </c>
      <c r="F5" s="15">
        <v>96</v>
      </c>
      <c r="G5" s="58" t="s">
        <v>73</v>
      </c>
      <c r="H5" s="59">
        <v>1200</v>
      </c>
      <c r="I5" s="60" t="s">
        <v>17</v>
      </c>
      <c r="J5" s="61">
        <v>1</v>
      </c>
      <c r="K5" s="17"/>
      <c r="L5" s="17"/>
      <c r="M5" s="17"/>
      <c r="N5" s="17"/>
      <c r="O5" s="18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</row>
    <row r="6" spans="1:38" s="10" customFormat="1" ht="15" x14ac:dyDescent="0.25">
      <c r="A6" s="65"/>
      <c r="B6" s="69"/>
      <c r="C6" s="69"/>
      <c r="D6" s="67"/>
      <c r="E6" s="20" t="s">
        <v>18</v>
      </c>
      <c r="F6" s="49">
        <f>VLOOKUP(F8,CustomerData!$B:$I,4,FALSE)</f>
        <v>1010</v>
      </c>
      <c r="G6" s="49">
        <f>VLOOKUP(G8,CustomerData!$B:$I,4,FALSE)</f>
        <v>1267</v>
      </c>
      <c r="H6" s="49" t="e">
        <f>VLOOKUP(H8,CustomerData!$B:$I,4,FALSE)</f>
        <v>#N/A</v>
      </c>
      <c r="I6" s="49" t="e">
        <f>VLOOKUP(I8,CustomerData!$B:$I,4,FALSE)</f>
        <v>#N/A</v>
      </c>
      <c r="J6" s="49" t="e">
        <f>VLOOKUP(J8,CustomerData!$B:$I,4,FALSE)</f>
        <v>#N/A</v>
      </c>
      <c r="K6" s="49" t="e">
        <f>VLOOKUP(K8,CustomerData!$B:$I,4,FALSE)</f>
        <v>#N/A</v>
      </c>
      <c r="L6" s="49" t="e">
        <f>VLOOKUP(L8,CustomerData!$B:$I,4,FALSE)</f>
        <v>#N/A</v>
      </c>
      <c r="M6" s="49" t="e">
        <f>VLOOKUP(M8,CustomerData!$B:$I,4,FALSE)</f>
        <v>#N/A</v>
      </c>
      <c r="N6" s="49" t="e">
        <f>VLOOKUP(N8,CustomerData!$B:$I,4,FALSE)</f>
        <v>#N/A</v>
      </c>
      <c r="O6" s="49" t="e">
        <f>VLOOKUP(O8,CustomerData!$B:$I,4,FALSE)</f>
        <v>#N/A</v>
      </c>
      <c r="P6" s="49" t="e">
        <f>VLOOKUP(P8,CustomerData!$B:$I,4,FALSE)</f>
        <v>#N/A</v>
      </c>
      <c r="Q6" s="49"/>
      <c r="R6" s="49" t="e">
        <f>VLOOKUP(R8,CustomerData!$B:$I,3,FALSE)</f>
        <v>#N/A</v>
      </c>
      <c r="S6" s="49" t="e">
        <f>VLOOKUP(S8,CustomerData!$B:$I,3,FALSE)</f>
        <v>#N/A</v>
      </c>
      <c r="T6" s="49" t="e">
        <f>VLOOKUP(T8,CustomerData!$B:$I,3,FALSE)</f>
        <v>#N/A</v>
      </c>
      <c r="U6" s="49" t="e">
        <f>VLOOKUP(U8,CustomerData!$B:$I,3,FALSE)</f>
        <v>#N/A</v>
      </c>
      <c r="V6" s="49" t="e">
        <f>VLOOKUP(V8,CustomerData!$B:$I,3,FALSE)</f>
        <v>#N/A</v>
      </c>
      <c r="W6" s="49" t="e">
        <f>VLOOKUP(W8,CustomerData!$B:$I,3,FALSE)</f>
        <v>#N/A</v>
      </c>
      <c r="X6" s="49" t="e">
        <f>VLOOKUP(X8,CustomerData!$B:$I,3,FALSE)</f>
        <v>#N/A</v>
      </c>
      <c r="Y6" s="49" t="e">
        <f>VLOOKUP(Y8,CustomerData!$B:$I,3,FALSE)</f>
        <v>#N/A</v>
      </c>
      <c r="Z6" s="49" t="e">
        <f>VLOOKUP(Z8,CustomerData!$B:$I,3,FALSE)</f>
        <v>#N/A</v>
      </c>
      <c r="AA6" s="49" t="e">
        <f>VLOOKUP(AA8,CustomerData!$B:$I,3,FALSE)</f>
        <v>#N/A</v>
      </c>
      <c r="AB6" s="49" t="e">
        <f>VLOOKUP(AB8,CustomerData!$B:$I,3,FALSE)</f>
        <v>#N/A</v>
      </c>
      <c r="AC6" s="49" t="e">
        <f>VLOOKUP(AC8,CustomerData!$B:$I,3,FALSE)</f>
        <v>#N/A</v>
      </c>
      <c r="AD6" s="49" t="e">
        <f>VLOOKUP(AD8,CustomerData!$B:$I,3,FALSE)</f>
        <v>#N/A</v>
      </c>
      <c r="AE6" s="49" t="e">
        <f>VLOOKUP(AE8,CustomerData!$B:$I,3,FALSE)</f>
        <v>#N/A</v>
      </c>
      <c r="AF6" s="49" t="e">
        <f>VLOOKUP(AF8,CustomerData!$B:$I,3,FALSE)</f>
        <v>#N/A</v>
      </c>
      <c r="AG6" s="49" t="e">
        <f>VLOOKUP(AG8,CustomerData!$B:$I,3,FALSE)</f>
        <v>#N/A</v>
      </c>
      <c r="AH6" s="49" t="e">
        <f>VLOOKUP(AH8,CustomerData!$B:$I,3,FALSE)</f>
        <v>#N/A</v>
      </c>
      <c r="AI6" s="49" t="e">
        <f>VLOOKUP(AI8,CustomerData!$B:$I,3,FALSE)</f>
        <v>#N/A</v>
      </c>
      <c r="AJ6" s="49" t="e">
        <f>VLOOKUP(AJ8,CustomerData!$B:$I,3,FALSE)</f>
        <v>#N/A</v>
      </c>
      <c r="AK6" s="49" t="e">
        <f>VLOOKUP(AK8,CustomerData!$B:$I,3,FALSE)</f>
        <v>#N/A</v>
      </c>
      <c r="AL6" s="49" t="e">
        <f>VLOOKUP(AL8,CustomerData!$B:$I,3,FALSE)</f>
        <v>#N/A</v>
      </c>
    </row>
    <row r="7" spans="1:38" s="10" customFormat="1" ht="18.75" x14ac:dyDescent="0.25">
      <c r="A7" s="66"/>
      <c r="B7" s="70"/>
      <c r="C7" s="70"/>
      <c r="D7" s="68"/>
      <c r="E7" s="21" t="s">
        <v>19</v>
      </c>
      <c r="F7" s="50" t="str">
        <f>VLOOKUP(F8,CustomerData!$B:$I,8,FALSE)</f>
        <v xml:space="preserve">LT        </v>
      </c>
      <c r="G7" s="50" t="str">
        <f>VLOOKUP(G8,CustomerData!$B:$I,8,FALSE)</f>
        <v xml:space="preserve">LT        </v>
      </c>
      <c r="H7" s="50" t="e">
        <f>VLOOKUP(H8,CustomerData!$B:$I,8,FALSE)</f>
        <v>#N/A</v>
      </c>
      <c r="I7" s="50" t="e">
        <f>VLOOKUP(I8,CustomerData!$B:$I,8,FALSE)</f>
        <v>#N/A</v>
      </c>
      <c r="J7" s="50" t="e">
        <f>VLOOKUP(J8,CustomerData!$B:$I,8,FALSE)</f>
        <v>#N/A</v>
      </c>
      <c r="K7" s="50" t="e">
        <f>VLOOKUP(K8,CustomerData!$B:$I,8,FALSE)</f>
        <v>#N/A</v>
      </c>
      <c r="L7" s="50" t="e">
        <f>VLOOKUP(L8,CustomerData!$B:$I,8,FALSE)</f>
        <v>#N/A</v>
      </c>
      <c r="M7" s="50" t="e">
        <f>VLOOKUP(M8,CustomerData!$B:$I,8,FALSE)</f>
        <v>#N/A</v>
      </c>
      <c r="N7" s="50" t="e">
        <f>VLOOKUP(N8,CustomerData!$B:$I,8,FALSE)</f>
        <v>#N/A</v>
      </c>
      <c r="O7" s="50" t="e">
        <f>VLOOKUP(O8,CustomerData!$B:$I,8,FALSE)</f>
        <v>#N/A</v>
      </c>
      <c r="P7" s="50" t="e">
        <f>VLOOKUP(P8,CustomerData!$B:$I,8,FALSE)</f>
        <v>#N/A</v>
      </c>
      <c r="Q7" s="50"/>
      <c r="R7" s="50" t="e">
        <f>VLOOKUP(R8,CustomerData!$B:$I,8,FALSE)</f>
        <v>#N/A</v>
      </c>
      <c r="S7" s="50" t="e">
        <f>VLOOKUP(S8,CustomerData!$B:$I,8,FALSE)</f>
        <v>#N/A</v>
      </c>
      <c r="T7" s="50" t="e">
        <f>VLOOKUP(T8,CustomerData!$B:$I,8,FALSE)</f>
        <v>#N/A</v>
      </c>
      <c r="U7" s="50" t="e">
        <f>VLOOKUP(U8,CustomerData!$B:$I,8,FALSE)</f>
        <v>#N/A</v>
      </c>
      <c r="V7" s="50" t="e">
        <f>VLOOKUP(V8,CustomerData!$B:$I,8,FALSE)</f>
        <v>#N/A</v>
      </c>
      <c r="W7" s="50" t="e">
        <f>VLOOKUP(W8,CustomerData!$B:$I,8,FALSE)</f>
        <v>#N/A</v>
      </c>
      <c r="X7" s="50" t="e">
        <f>VLOOKUP(X8,CustomerData!$B:$I,8,FALSE)</f>
        <v>#N/A</v>
      </c>
      <c r="Y7" s="50" t="e">
        <f>VLOOKUP(Y8,CustomerData!$B:$I,8,FALSE)</f>
        <v>#N/A</v>
      </c>
      <c r="Z7" s="50" t="e">
        <f>VLOOKUP(Z8,CustomerData!$B:$I,8,FALSE)</f>
        <v>#N/A</v>
      </c>
      <c r="AA7" s="50" t="e">
        <f>VLOOKUP(AA8,CustomerData!$B:$I,8,FALSE)</f>
        <v>#N/A</v>
      </c>
      <c r="AB7" s="50" t="e">
        <f>VLOOKUP(AB8,CustomerData!$B:$I,8,FALSE)</f>
        <v>#N/A</v>
      </c>
      <c r="AC7" s="50" t="e">
        <f>VLOOKUP(AC8,CustomerData!$B:$I,8,FALSE)</f>
        <v>#N/A</v>
      </c>
      <c r="AD7" s="50" t="e">
        <f>VLOOKUP(AD8,CustomerData!$B:$I,8,FALSE)</f>
        <v>#N/A</v>
      </c>
      <c r="AE7" s="50" t="e">
        <f>VLOOKUP(AE8,CustomerData!$B:$I,8,FALSE)</f>
        <v>#N/A</v>
      </c>
      <c r="AF7" s="50" t="e">
        <f>VLOOKUP(AF8,CustomerData!$B:$I,8,FALSE)</f>
        <v>#N/A</v>
      </c>
      <c r="AG7" s="50" t="e">
        <f>VLOOKUP(AG8,CustomerData!$B:$I,8,FALSE)</f>
        <v>#N/A</v>
      </c>
      <c r="AH7" s="50" t="e">
        <f>VLOOKUP(AH8,CustomerData!$B:$I,8,FALSE)</f>
        <v>#N/A</v>
      </c>
      <c r="AI7" s="50" t="e">
        <f>VLOOKUP(AI8,CustomerData!$B:$I,8,FALSE)</f>
        <v>#N/A</v>
      </c>
      <c r="AJ7" s="50" t="e">
        <f>VLOOKUP(AJ8,CustomerData!$B:$I,8,FALSE)</f>
        <v>#N/A</v>
      </c>
      <c r="AK7" s="50" t="e">
        <f>VLOOKUP(AK8,CustomerData!$B:$I,8,FALSE)</f>
        <v>#N/A</v>
      </c>
      <c r="AL7" s="50" t="e">
        <f>VLOOKUP(AL8,CustomerData!$B:$I,8,FALSE)</f>
        <v>#N/A</v>
      </c>
    </row>
    <row r="8" spans="1:38" s="10" customFormat="1" ht="28.5" customHeight="1" x14ac:dyDescent="0.25">
      <c r="A8" s="22" t="s">
        <v>20</v>
      </c>
      <c r="B8" s="23" t="s">
        <v>14</v>
      </c>
      <c r="C8" s="23" t="s">
        <v>16</v>
      </c>
      <c r="D8" s="23" t="s">
        <v>21</v>
      </c>
      <c r="E8" s="22" t="s">
        <v>22</v>
      </c>
      <c r="F8" s="22" t="s">
        <v>556</v>
      </c>
      <c r="G8" s="22" t="s">
        <v>559</v>
      </c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10" customFormat="1" ht="15" x14ac:dyDescent="0.25">
      <c r="A9" s="24">
        <v>1</v>
      </c>
      <c r="B9" s="25">
        <v>0</v>
      </c>
      <c r="C9" s="25">
        <v>0.15</v>
      </c>
      <c r="D9" s="118">
        <f>SUM(F9:AL9)</f>
        <v>617</v>
      </c>
      <c r="E9" s="26">
        <v>4.6500000000000004</v>
      </c>
      <c r="F9" s="25">
        <v>500</v>
      </c>
      <c r="G9" s="25">
        <v>117</v>
      </c>
      <c r="H9" s="27" t="s">
        <v>1455</v>
      </c>
      <c r="I9" s="27"/>
      <c r="J9" s="27"/>
      <c r="K9" s="27"/>
      <c r="L9" s="27"/>
      <c r="M9" s="27"/>
      <c r="N9" s="27"/>
      <c r="O9" s="27"/>
      <c r="P9" s="27"/>
      <c r="Q9" s="27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</row>
    <row r="10" spans="1:38" s="10" customFormat="1" ht="15" x14ac:dyDescent="0.25">
      <c r="A10" s="24">
        <v>2</v>
      </c>
      <c r="B10" s="25">
        <v>0.15</v>
      </c>
      <c r="C10" s="25">
        <v>0.3</v>
      </c>
      <c r="D10" s="118">
        <f t="shared" ref="D10:D73" si="0">SUM(F10:AL10)</f>
        <v>617</v>
      </c>
      <c r="E10" s="26">
        <v>4.6500000000000004</v>
      </c>
      <c r="F10" s="25">
        <v>500</v>
      </c>
      <c r="G10" s="25">
        <v>117</v>
      </c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</row>
    <row r="11" spans="1:38" s="10" customFormat="1" ht="15" x14ac:dyDescent="0.25">
      <c r="A11" s="24">
        <v>3</v>
      </c>
      <c r="B11" s="25">
        <v>0.3</v>
      </c>
      <c r="C11" s="25">
        <v>0.45</v>
      </c>
      <c r="D11" s="118">
        <f t="shared" si="0"/>
        <v>617</v>
      </c>
      <c r="E11" s="26">
        <v>4.6500000000000004</v>
      </c>
      <c r="F11" s="25">
        <v>500</v>
      </c>
      <c r="G11" s="25">
        <v>117</v>
      </c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</row>
    <row r="12" spans="1:38" s="10" customFormat="1" ht="15" x14ac:dyDescent="0.25">
      <c r="A12" s="24">
        <v>4</v>
      </c>
      <c r="B12" s="25">
        <v>0.45</v>
      </c>
      <c r="C12" s="25">
        <v>1</v>
      </c>
      <c r="D12" s="118">
        <f t="shared" si="0"/>
        <v>617</v>
      </c>
      <c r="E12" s="26">
        <v>4.6500000000000004</v>
      </c>
      <c r="F12" s="25">
        <v>500</v>
      </c>
      <c r="G12" s="25">
        <v>117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</row>
    <row r="13" spans="1:38" s="10" customFormat="1" ht="15" x14ac:dyDescent="0.25">
      <c r="A13" s="24">
        <v>5</v>
      </c>
      <c r="B13" s="25">
        <v>1</v>
      </c>
      <c r="C13" s="25">
        <v>1.1499999999999999</v>
      </c>
      <c r="D13" s="118">
        <f t="shared" si="0"/>
        <v>617</v>
      </c>
      <c r="E13" s="26">
        <v>4.6500000000000004</v>
      </c>
      <c r="F13" s="25">
        <v>500</v>
      </c>
      <c r="G13" s="25">
        <v>117</v>
      </c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</row>
    <row r="14" spans="1:38" s="10" customFormat="1" ht="15" x14ac:dyDescent="0.25">
      <c r="A14" s="24">
        <v>6</v>
      </c>
      <c r="B14" s="25">
        <v>1.1499999999999999</v>
      </c>
      <c r="C14" s="25">
        <v>1.3</v>
      </c>
      <c r="D14" s="118">
        <f t="shared" si="0"/>
        <v>617</v>
      </c>
      <c r="E14" s="26">
        <v>4.6500000000000004</v>
      </c>
      <c r="F14" s="25">
        <v>500</v>
      </c>
      <c r="G14" s="25">
        <v>117</v>
      </c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</row>
    <row r="15" spans="1:38" s="10" customFormat="1" ht="15" x14ac:dyDescent="0.25">
      <c r="A15" s="24">
        <v>7</v>
      </c>
      <c r="B15" s="25">
        <v>1.3</v>
      </c>
      <c r="C15" s="25">
        <v>1.45</v>
      </c>
      <c r="D15" s="118">
        <f t="shared" si="0"/>
        <v>617</v>
      </c>
      <c r="E15" s="26">
        <v>4.6500000000000004</v>
      </c>
      <c r="F15" s="25">
        <v>500</v>
      </c>
      <c r="G15" s="25">
        <v>117</v>
      </c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</row>
    <row r="16" spans="1:38" s="10" customFormat="1" ht="15" x14ac:dyDescent="0.25">
      <c r="A16" s="24">
        <v>8</v>
      </c>
      <c r="B16" s="25">
        <v>1.45</v>
      </c>
      <c r="C16" s="25">
        <v>2</v>
      </c>
      <c r="D16" s="118">
        <f t="shared" si="0"/>
        <v>617</v>
      </c>
      <c r="E16" s="26">
        <v>4.6500000000000004</v>
      </c>
      <c r="F16" s="25">
        <v>500</v>
      </c>
      <c r="G16" s="25">
        <v>117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</row>
    <row r="17" spans="1:38" s="10" customFormat="1" ht="15" x14ac:dyDescent="0.25">
      <c r="A17" s="24">
        <v>9</v>
      </c>
      <c r="B17" s="25">
        <v>2</v>
      </c>
      <c r="C17" s="25">
        <v>2.15</v>
      </c>
      <c r="D17" s="118">
        <f t="shared" si="0"/>
        <v>617</v>
      </c>
      <c r="E17" s="26">
        <v>4.6500000000000004</v>
      </c>
      <c r="F17" s="25">
        <v>500</v>
      </c>
      <c r="G17" s="25">
        <v>117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</row>
    <row r="18" spans="1:38" s="10" customFormat="1" ht="15" x14ac:dyDescent="0.25">
      <c r="A18" s="24">
        <v>10</v>
      </c>
      <c r="B18" s="25">
        <v>2.15</v>
      </c>
      <c r="C18" s="25">
        <v>2.2999999999999998</v>
      </c>
      <c r="D18" s="118">
        <f t="shared" si="0"/>
        <v>617</v>
      </c>
      <c r="E18" s="26">
        <v>4.6500000000000004</v>
      </c>
      <c r="F18" s="25">
        <v>500</v>
      </c>
      <c r="G18" s="25">
        <v>117</v>
      </c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</row>
    <row r="19" spans="1:38" s="10" customFormat="1" ht="15" x14ac:dyDescent="0.25">
      <c r="A19" s="24">
        <v>11</v>
      </c>
      <c r="B19" s="25">
        <v>2.2999999999999998</v>
      </c>
      <c r="C19" s="25">
        <v>2.4500000000000002</v>
      </c>
      <c r="D19" s="118">
        <f t="shared" si="0"/>
        <v>617</v>
      </c>
      <c r="E19" s="26">
        <v>4.6500000000000004</v>
      </c>
      <c r="F19" s="25">
        <v>500</v>
      </c>
      <c r="G19" s="25">
        <v>117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</row>
    <row r="20" spans="1:38" s="10" customFormat="1" ht="15" x14ac:dyDescent="0.25">
      <c r="A20" s="24">
        <v>12</v>
      </c>
      <c r="B20" s="25">
        <v>2.4500000000000002</v>
      </c>
      <c r="C20" s="25">
        <v>3</v>
      </c>
      <c r="D20" s="118">
        <f t="shared" si="0"/>
        <v>617</v>
      </c>
      <c r="E20" s="26">
        <v>4.6500000000000004</v>
      </c>
      <c r="F20" s="25">
        <v>500</v>
      </c>
      <c r="G20" s="25">
        <v>117</v>
      </c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</row>
    <row r="21" spans="1:38" s="10" customFormat="1" ht="15" x14ac:dyDescent="0.25">
      <c r="A21" s="24">
        <v>13</v>
      </c>
      <c r="B21" s="25">
        <v>3</v>
      </c>
      <c r="C21" s="25">
        <v>3.15</v>
      </c>
      <c r="D21" s="118">
        <f t="shared" si="0"/>
        <v>617</v>
      </c>
      <c r="E21" s="26">
        <v>4.6500000000000004</v>
      </c>
      <c r="F21" s="25">
        <v>500</v>
      </c>
      <c r="G21" s="25">
        <v>117</v>
      </c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</row>
    <row r="22" spans="1:38" s="10" customFormat="1" ht="15" x14ac:dyDescent="0.25">
      <c r="A22" s="24">
        <v>14</v>
      </c>
      <c r="B22" s="25">
        <v>3.15</v>
      </c>
      <c r="C22" s="25">
        <v>3.3</v>
      </c>
      <c r="D22" s="118">
        <f t="shared" si="0"/>
        <v>617</v>
      </c>
      <c r="E22" s="26">
        <v>4.6500000000000004</v>
      </c>
      <c r="F22" s="25">
        <v>500</v>
      </c>
      <c r="G22" s="25">
        <v>117</v>
      </c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</row>
    <row r="23" spans="1:38" s="10" customFormat="1" ht="15" x14ac:dyDescent="0.25">
      <c r="A23" s="24">
        <v>15</v>
      </c>
      <c r="B23" s="25">
        <v>3.3</v>
      </c>
      <c r="C23" s="25">
        <v>3.45</v>
      </c>
      <c r="D23" s="118">
        <f t="shared" si="0"/>
        <v>617</v>
      </c>
      <c r="E23" s="26">
        <v>4.6500000000000004</v>
      </c>
      <c r="F23" s="25">
        <v>500</v>
      </c>
      <c r="G23" s="25">
        <v>117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</row>
    <row r="24" spans="1:38" s="10" customFormat="1" ht="15" x14ac:dyDescent="0.25">
      <c r="A24" s="24">
        <v>16</v>
      </c>
      <c r="B24" s="25">
        <v>3.45</v>
      </c>
      <c r="C24" s="25">
        <v>4</v>
      </c>
      <c r="D24" s="118">
        <f t="shared" si="0"/>
        <v>617</v>
      </c>
      <c r="E24" s="26">
        <v>4.6500000000000004</v>
      </c>
      <c r="F24" s="25">
        <v>500</v>
      </c>
      <c r="G24" s="25">
        <v>117</v>
      </c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</row>
    <row r="25" spans="1:38" s="10" customFormat="1" ht="15" x14ac:dyDescent="0.25">
      <c r="A25" s="24">
        <v>17</v>
      </c>
      <c r="B25" s="25">
        <v>4</v>
      </c>
      <c r="C25" s="25">
        <v>4.1500000000000004</v>
      </c>
      <c r="D25" s="118">
        <f t="shared" si="0"/>
        <v>617</v>
      </c>
      <c r="E25" s="26">
        <v>4.6500000000000004</v>
      </c>
      <c r="F25" s="25">
        <v>500</v>
      </c>
      <c r="G25" s="25">
        <v>117</v>
      </c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</row>
    <row r="26" spans="1:38" s="10" customFormat="1" ht="15" x14ac:dyDescent="0.25">
      <c r="A26" s="24">
        <v>18</v>
      </c>
      <c r="B26" s="25">
        <v>4.1500000000000004</v>
      </c>
      <c r="C26" s="25">
        <v>4.3</v>
      </c>
      <c r="D26" s="118">
        <f t="shared" si="0"/>
        <v>617</v>
      </c>
      <c r="E26" s="26">
        <v>4.6500000000000004</v>
      </c>
      <c r="F26" s="25">
        <v>500</v>
      </c>
      <c r="G26" s="25">
        <v>117</v>
      </c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</row>
    <row r="27" spans="1:38" s="10" customFormat="1" ht="15" x14ac:dyDescent="0.25">
      <c r="A27" s="24">
        <v>19</v>
      </c>
      <c r="B27" s="25">
        <v>4.3</v>
      </c>
      <c r="C27" s="25">
        <v>4.45</v>
      </c>
      <c r="D27" s="118">
        <f t="shared" si="0"/>
        <v>617</v>
      </c>
      <c r="E27" s="26">
        <v>4.6500000000000004</v>
      </c>
      <c r="F27" s="25">
        <v>500</v>
      </c>
      <c r="G27" s="25">
        <v>117</v>
      </c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</row>
    <row r="28" spans="1:38" s="10" customFormat="1" ht="15" x14ac:dyDescent="0.25">
      <c r="A28" s="24">
        <v>20</v>
      </c>
      <c r="B28" s="25">
        <v>4.45</v>
      </c>
      <c r="C28" s="25">
        <v>5</v>
      </c>
      <c r="D28" s="118">
        <f t="shared" si="0"/>
        <v>617</v>
      </c>
      <c r="E28" s="26">
        <v>4.6500000000000004</v>
      </c>
      <c r="F28" s="25">
        <v>500</v>
      </c>
      <c r="G28" s="25">
        <v>117</v>
      </c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</row>
    <row r="29" spans="1:38" s="10" customFormat="1" ht="15" x14ac:dyDescent="0.25">
      <c r="A29" s="24">
        <v>21</v>
      </c>
      <c r="B29" s="25">
        <v>5</v>
      </c>
      <c r="C29" s="25">
        <v>5.15</v>
      </c>
      <c r="D29" s="118">
        <f t="shared" si="0"/>
        <v>617</v>
      </c>
      <c r="E29" s="26">
        <v>4.6500000000000004</v>
      </c>
      <c r="F29" s="25">
        <v>500</v>
      </c>
      <c r="G29" s="25">
        <v>117</v>
      </c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</row>
    <row r="30" spans="1:38" s="10" customFormat="1" ht="15" x14ac:dyDescent="0.25">
      <c r="A30" s="24">
        <v>22</v>
      </c>
      <c r="B30" s="25">
        <v>5.15</v>
      </c>
      <c r="C30" s="25">
        <v>5.3</v>
      </c>
      <c r="D30" s="118">
        <f t="shared" si="0"/>
        <v>617</v>
      </c>
      <c r="E30" s="26">
        <v>4.6500000000000004</v>
      </c>
      <c r="F30" s="25">
        <v>500</v>
      </c>
      <c r="G30" s="25">
        <v>117</v>
      </c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</row>
    <row r="31" spans="1:38" s="10" customFormat="1" ht="15" x14ac:dyDescent="0.25">
      <c r="A31" s="24">
        <v>23</v>
      </c>
      <c r="B31" s="25">
        <v>5.3</v>
      </c>
      <c r="C31" s="25">
        <v>5.45</v>
      </c>
      <c r="D31" s="118">
        <f t="shared" si="0"/>
        <v>617</v>
      </c>
      <c r="E31" s="26">
        <v>4.6500000000000004</v>
      </c>
      <c r="F31" s="25">
        <v>500</v>
      </c>
      <c r="G31" s="25">
        <v>117</v>
      </c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</row>
    <row r="32" spans="1:38" s="10" customFormat="1" ht="15" x14ac:dyDescent="0.25">
      <c r="A32" s="24">
        <v>24</v>
      </c>
      <c r="B32" s="25">
        <v>5.45</v>
      </c>
      <c r="C32" s="25">
        <v>6</v>
      </c>
      <c r="D32" s="118">
        <f t="shared" si="0"/>
        <v>617</v>
      </c>
      <c r="E32" s="26">
        <v>4.6500000000000004</v>
      </c>
      <c r="F32" s="25">
        <v>500</v>
      </c>
      <c r="G32" s="25">
        <v>117</v>
      </c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</row>
    <row r="33" spans="1:38" s="10" customFormat="1" ht="15" x14ac:dyDescent="0.25">
      <c r="A33" s="24">
        <v>25</v>
      </c>
      <c r="B33" s="25">
        <v>6</v>
      </c>
      <c r="C33" s="25">
        <v>6.15</v>
      </c>
      <c r="D33" s="118">
        <f t="shared" si="0"/>
        <v>617</v>
      </c>
      <c r="E33" s="26">
        <v>4.6500000000000004</v>
      </c>
      <c r="F33" s="25">
        <v>500</v>
      </c>
      <c r="G33" s="25">
        <v>117</v>
      </c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</row>
    <row r="34" spans="1:38" s="10" customFormat="1" ht="15" x14ac:dyDescent="0.25">
      <c r="A34" s="24">
        <v>26</v>
      </c>
      <c r="B34" s="25">
        <v>6.15</v>
      </c>
      <c r="C34" s="25">
        <v>6.3</v>
      </c>
      <c r="D34" s="118">
        <f t="shared" si="0"/>
        <v>617</v>
      </c>
      <c r="E34" s="26">
        <v>4.6500000000000004</v>
      </c>
      <c r="F34" s="25">
        <v>500</v>
      </c>
      <c r="G34" s="25">
        <v>117</v>
      </c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</row>
    <row r="35" spans="1:38" s="10" customFormat="1" ht="15" x14ac:dyDescent="0.25">
      <c r="A35" s="24">
        <v>27</v>
      </c>
      <c r="B35" s="25">
        <v>6.3</v>
      </c>
      <c r="C35" s="25">
        <v>6.45</v>
      </c>
      <c r="D35" s="118">
        <f t="shared" si="0"/>
        <v>617</v>
      </c>
      <c r="E35" s="26">
        <v>4.6500000000000004</v>
      </c>
      <c r="F35" s="25">
        <v>500</v>
      </c>
      <c r="G35" s="25">
        <v>117</v>
      </c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</row>
    <row r="36" spans="1:38" s="10" customFormat="1" ht="15" x14ac:dyDescent="0.25">
      <c r="A36" s="24">
        <v>28</v>
      </c>
      <c r="B36" s="25">
        <v>6.45</v>
      </c>
      <c r="C36" s="25">
        <v>7</v>
      </c>
      <c r="D36" s="118">
        <f t="shared" si="0"/>
        <v>617</v>
      </c>
      <c r="E36" s="26">
        <v>4.6500000000000004</v>
      </c>
      <c r="F36" s="25">
        <v>500</v>
      </c>
      <c r="G36" s="25">
        <v>117</v>
      </c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</row>
    <row r="37" spans="1:38" s="10" customFormat="1" ht="15" x14ac:dyDescent="0.25">
      <c r="A37" s="24">
        <v>29</v>
      </c>
      <c r="B37" s="25">
        <v>7</v>
      </c>
      <c r="C37" s="25">
        <v>7.15</v>
      </c>
      <c r="D37" s="118">
        <f t="shared" si="0"/>
        <v>617</v>
      </c>
      <c r="E37" s="26">
        <v>4.6500000000000004</v>
      </c>
      <c r="F37" s="25">
        <v>500</v>
      </c>
      <c r="G37" s="25">
        <v>117</v>
      </c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</row>
    <row r="38" spans="1:38" s="10" customFormat="1" ht="15" x14ac:dyDescent="0.25">
      <c r="A38" s="24">
        <v>30</v>
      </c>
      <c r="B38" s="25">
        <v>7.15</v>
      </c>
      <c r="C38" s="25">
        <v>7.3</v>
      </c>
      <c r="D38" s="118">
        <f t="shared" si="0"/>
        <v>617</v>
      </c>
      <c r="E38" s="26">
        <v>4.6500000000000004</v>
      </c>
      <c r="F38" s="25">
        <v>500</v>
      </c>
      <c r="G38" s="25">
        <v>117</v>
      </c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</row>
    <row r="39" spans="1:38" s="10" customFormat="1" ht="15" x14ac:dyDescent="0.25">
      <c r="A39" s="24">
        <v>31</v>
      </c>
      <c r="B39" s="25">
        <v>7.3</v>
      </c>
      <c r="C39" s="25">
        <v>7.45</v>
      </c>
      <c r="D39" s="118">
        <f t="shared" si="0"/>
        <v>617</v>
      </c>
      <c r="E39" s="26">
        <v>4.6500000000000004</v>
      </c>
      <c r="F39" s="25">
        <v>500</v>
      </c>
      <c r="G39" s="25">
        <v>117</v>
      </c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</row>
    <row r="40" spans="1:38" s="10" customFormat="1" ht="15" x14ac:dyDescent="0.25">
      <c r="A40" s="24">
        <v>32</v>
      </c>
      <c r="B40" s="25">
        <v>7.45</v>
      </c>
      <c r="C40" s="25">
        <v>8</v>
      </c>
      <c r="D40" s="118">
        <f t="shared" si="0"/>
        <v>617</v>
      </c>
      <c r="E40" s="26">
        <v>4.6500000000000004</v>
      </c>
      <c r="F40" s="25">
        <v>500</v>
      </c>
      <c r="G40" s="25">
        <v>117</v>
      </c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</row>
    <row r="41" spans="1:38" ht="15" x14ac:dyDescent="0.2">
      <c r="A41" s="24">
        <v>33</v>
      </c>
      <c r="B41" s="25">
        <v>8</v>
      </c>
      <c r="C41" s="25">
        <v>8.15</v>
      </c>
      <c r="D41" s="118">
        <f t="shared" si="0"/>
        <v>617</v>
      </c>
      <c r="E41" s="26">
        <v>4.6500000000000004</v>
      </c>
      <c r="F41" s="25">
        <v>500</v>
      </c>
      <c r="G41" s="25">
        <v>117</v>
      </c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</row>
    <row r="42" spans="1:38" ht="15" x14ac:dyDescent="0.2">
      <c r="A42" s="24">
        <v>34</v>
      </c>
      <c r="B42" s="25">
        <v>8.15</v>
      </c>
      <c r="C42" s="28">
        <v>8.3000000000000007</v>
      </c>
      <c r="D42" s="118">
        <f t="shared" si="0"/>
        <v>617</v>
      </c>
      <c r="E42" s="26">
        <v>4.6500000000000004</v>
      </c>
      <c r="F42" s="25">
        <v>500</v>
      </c>
      <c r="G42" s="25">
        <v>117</v>
      </c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</row>
    <row r="43" spans="1:38" ht="15" x14ac:dyDescent="0.2">
      <c r="A43" s="24">
        <v>35</v>
      </c>
      <c r="B43" s="25">
        <v>8.3000000000000007</v>
      </c>
      <c r="C43" s="25">
        <v>8.4499999999999993</v>
      </c>
      <c r="D43" s="118">
        <f t="shared" si="0"/>
        <v>617</v>
      </c>
      <c r="E43" s="26">
        <v>4.6500000000000004</v>
      </c>
      <c r="F43" s="25">
        <v>500</v>
      </c>
      <c r="G43" s="25">
        <v>117</v>
      </c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</row>
    <row r="44" spans="1:38" ht="12" customHeight="1" x14ac:dyDescent="0.2">
      <c r="A44" s="24">
        <v>36</v>
      </c>
      <c r="B44" s="25">
        <v>8.4499999999999993</v>
      </c>
      <c r="C44" s="25">
        <v>9</v>
      </c>
      <c r="D44" s="118">
        <f t="shared" si="0"/>
        <v>617</v>
      </c>
      <c r="E44" s="26">
        <v>4.6500000000000004</v>
      </c>
      <c r="F44" s="25">
        <v>500</v>
      </c>
      <c r="G44" s="25">
        <v>117</v>
      </c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</row>
    <row r="45" spans="1:38" ht="15" x14ac:dyDescent="0.2">
      <c r="A45" s="24">
        <v>37</v>
      </c>
      <c r="B45" s="25">
        <v>9</v>
      </c>
      <c r="C45" s="25">
        <v>9.15</v>
      </c>
      <c r="D45" s="118">
        <f t="shared" si="0"/>
        <v>617</v>
      </c>
      <c r="E45" s="26">
        <v>4.6500000000000004</v>
      </c>
      <c r="F45" s="25">
        <v>500</v>
      </c>
      <c r="G45" s="25">
        <v>117</v>
      </c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</row>
    <row r="46" spans="1:38" ht="15" x14ac:dyDescent="0.2">
      <c r="A46" s="24">
        <v>38</v>
      </c>
      <c r="B46" s="28">
        <v>9.15</v>
      </c>
      <c r="C46" s="28">
        <v>9.3000000000000007</v>
      </c>
      <c r="D46" s="118">
        <f t="shared" si="0"/>
        <v>617</v>
      </c>
      <c r="E46" s="26">
        <v>4.6500000000000004</v>
      </c>
      <c r="F46" s="25">
        <v>500</v>
      </c>
      <c r="G46" s="25">
        <v>117</v>
      </c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</row>
    <row r="47" spans="1:38" ht="15" x14ac:dyDescent="0.2">
      <c r="A47" s="24">
        <v>39</v>
      </c>
      <c r="B47" s="25">
        <v>9.3000000000000007</v>
      </c>
      <c r="C47" s="25">
        <v>9.4499999999999993</v>
      </c>
      <c r="D47" s="118">
        <f t="shared" si="0"/>
        <v>617</v>
      </c>
      <c r="E47" s="26">
        <v>4.6500000000000004</v>
      </c>
      <c r="F47" s="25">
        <v>500</v>
      </c>
      <c r="G47" s="25">
        <v>117</v>
      </c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</row>
    <row r="48" spans="1:38" ht="15" x14ac:dyDescent="0.2">
      <c r="A48" s="24">
        <v>40</v>
      </c>
      <c r="B48" s="25">
        <v>9.4499999999999993</v>
      </c>
      <c r="C48" s="25">
        <v>10</v>
      </c>
      <c r="D48" s="118">
        <f t="shared" si="0"/>
        <v>617</v>
      </c>
      <c r="E48" s="26">
        <v>4.6500000000000004</v>
      </c>
      <c r="F48" s="25">
        <v>500</v>
      </c>
      <c r="G48" s="25">
        <v>117</v>
      </c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15" x14ac:dyDescent="0.2">
      <c r="A49" s="24">
        <v>41</v>
      </c>
      <c r="B49" s="25">
        <v>10</v>
      </c>
      <c r="C49" s="25">
        <v>10.15</v>
      </c>
      <c r="D49" s="118">
        <f t="shared" si="0"/>
        <v>617</v>
      </c>
      <c r="E49" s="26">
        <v>4.6500000000000004</v>
      </c>
      <c r="F49" s="25">
        <v>500</v>
      </c>
      <c r="G49" s="25">
        <v>117</v>
      </c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</row>
    <row r="50" spans="1:38" ht="15" x14ac:dyDescent="0.2">
      <c r="A50" s="24">
        <v>42</v>
      </c>
      <c r="B50" s="25">
        <v>10.15</v>
      </c>
      <c r="C50" s="25">
        <v>10.3</v>
      </c>
      <c r="D50" s="118">
        <f t="shared" si="0"/>
        <v>617</v>
      </c>
      <c r="E50" s="26">
        <v>4.6500000000000004</v>
      </c>
      <c r="F50" s="25">
        <v>500</v>
      </c>
      <c r="G50" s="25">
        <v>117</v>
      </c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</row>
    <row r="51" spans="1:38" ht="15" x14ac:dyDescent="0.2">
      <c r="A51" s="24">
        <v>43</v>
      </c>
      <c r="B51" s="25">
        <v>10.3</v>
      </c>
      <c r="C51" s="25">
        <v>10.45</v>
      </c>
      <c r="D51" s="118">
        <f t="shared" si="0"/>
        <v>617</v>
      </c>
      <c r="E51" s="26">
        <v>4.6500000000000004</v>
      </c>
      <c r="F51" s="25">
        <v>500</v>
      </c>
      <c r="G51" s="25">
        <v>117</v>
      </c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</row>
    <row r="52" spans="1:38" ht="15" x14ac:dyDescent="0.2">
      <c r="A52" s="24">
        <v>44</v>
      </c>
      <c r="B52" s="25">
        <v>10.45</v>
      </c>
      <c r="C52" s="25">
        <v>11</v>
      </c>
      <c r="D52" s="118">
        <f t="shared" si="0"/>
        <v>617</v>
      </c>
      <c r="E52" s="26">
        <v>4.6500000000000004</v>
      </c>
      <c r="F52" s="25">
        <v>500</v>
      </c>
      <c r="G52" s="25">
        <v>117</v>
      </c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</row>
    <row r="53" spans="1:38" ht="15" x14ac:dyDescent="0.2">
      <c r="A53" s="24">
        <v>45</v>
      </c>
      <c r="B53" s="25">
        <v>11</v>
      </c>
      <c r="C53" s="25">
        <v>11.15</v>
      </c>
      <c r="D53" s="118">
        <f t="shared" si="0"/>
        <v>617</v>
      </c>
      <c r="E53" s="26">
        <v>4.6500000000000004</v>
      </c>
      <c r="F53" s="25">
        <v>500</v>
      </c>
      <c r="G53" s="25">
        <v>117</v>
      </c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</row>
    <row r="54" spans="1:38" ht="15" x14ac:dyDescent="0.2">
      <c r="A54" s="24">
        <v>46</v>
      </c>
      <c r="B54" s="25">
        <v>11.15</v>
      </c>
      <c r="C54" s="25">
        <v>11.3</v>
      </c>
      <c r="D54" s="118">
        <f t="shared" si="0"/>
        <v>617</v>
      </c>
      <c r="E54" s="26">
        <v>4.6500000000000004</v>
      </c>
      <c r="F54" s="25">
        <v>500</v>
      </c>
      <c r="G54" s="25">
        <v>117</v>
      </c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</row>
    <row r="55" spans="1:38" ht="15" x14ac:dyDescent="0.2">
      <c r="A55" s="24">
        <v>47</v>
      </c>
      <c r="B55" s="25">
        <v>11.3</v>
      </c>
      <c r="C55" s="25">
        <v>11.45</v>
      </c>
      <c r="D55" s="118">
        <f t="shared" si="0"/>
        <v>617</v>
      </c>
      <c r="E55" s="26">
        <v>4.6500000000000004</v>
      </c>
      <c r="F55" s="25">
        <v>500</v>
      </c>
      <c r="G55" s="25">
        <v>117</v>
      </c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</row>
    <row r="56" spans="1:38" ht="15" x14ac:dyDescent="0.2">
      <c r="A56" s="24">
        <v>48</v>
      </c>
      <c r="B56" s="25">
        <v>11.45</v>
      </c>
      <c r="C56" s="25">
        <v>12</v>
      </c>
      <c r="D56" s="118">
        <f t="shared" si="0"/>
        <v>617</v>
      </c>
      <c r="E56" s="26">
        <v>4.6500000000000004</v>
      </c>
      <c r="F56" s="25">
        <v>500</v>
      </c>
      <c r="G56" s="25">
        <v>117</v>
      </c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</row>
    <row r="57" spans="1:38" ht="15" x14ac:dyDescent="0.2">
      <c r="A57" s="24">
        <v>48</v>
      </c>
      <c r="B57" s="25">
        <v>11.45</v>
      </c>
      <c r="C57" s="25">
        <v>12</v>
      </c>
      <c r="D57" s="118">
        <f t="shared" si="0"/>
        <v>617</v>
      </c>
      <c r="E57" s="26">
        <v>4.6500000000000004</v>
      </c>
      <c r="F57" s="25">
        <v>500</v>
      </c>
      <c r="G57" s="25">
        <v>117</v>
      </c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</row>
    <row r="58" spans="1:38" ht="15" x14ac:dyDescent="0.2">
      <c r="A58" s="24">
        <v>50</v>
      </c>
      <c r="B58" s="25">
        <v>12.15</v>
      </c>
      <c r="C58" s="25">
        <v>12.3</v>
      </c>
      <c r="D58" s="118">
        <f t="shared" si="0"/>
        <v>617</v>
      </c>
      <c r="E58" s="26">
        <v>4.6500000000000004</v>
      </c>
      <c r="F58" s="25">
        <v>500</v>
      </c>
      <c r="G58" s="25">
        <v>117</v>
      </c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</row>
    <row r="59" spans="1:38" ht="15" x14ac:dyDescent="0.2">
      <c r="A59" s="24">
        <v>51</v>
      </c>
      <c r="B59" s="25">
        <v>12.3</v>
      </c>
      <c r="C59" s="25">
        <v>12.45</v>
      </c>
      <c r="D59" s="118">
        <f t="shared" si="0"/>
        <v>617</v>
      </c>
      <c r="E59" s="26">
        <v>4.6500000000000004</v>
      </c>
      <c r="F59" s="25">
        <v>500</v>
      </c>
      <c r="G59" s="25">
        <v>117</v>
      </c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</row>
    <row r="60" spans="1:38" ht="15" x14ac:dyDescent="0.2">
      <c r="A60" s="24">
        <v>52</v>
      </c>
      <c r="B60" s="25">
        <v>12.45</v>
      </c>
      <c r="C60" s="25">
        <v>13</v>
      </c>
      <c r="D60" s="118">
        <f t="shared" si="0"/>
        <v>617</v>
      </c>
      <c r="E60" s="26">
        <v>4.6500000000000004</v>
      </c>
      <c r="F60" s="25">
        <v>500</v>
      </c>
      <c r="G60" s="25">
        <v>117</v>
      </c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</row>
    <row r="61" spans="1:38" ht="15" x14ac:dyDescent="0.2">
      <c r="A61" s="24">
        <v>53</v>
      </c>
      <c r="B61" s="25">
        <v>13</v>
      </c>
      <c r="C61" s="25">
        <v>13.15</v>
      </c>
      <c r="D61" s="118">
        <f t="shared" si="0"/>
        <v>617</v>
      </c>
      <c r="E61" s="26">
        <v>4.6500000000000004</v>
      </c>
      <c r="F61" s="25">
        <v>500</v>
      </c>
      <c r="G61" s="25">
        <v>117</v>
      </c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</row>
    <row r="62" spans="1:38" ht="15" x14ac:dyDescent="0.2">
      <c r="A62" s="24">
        <v>54</v>
      </c>
      <c r="B62" s="25">
        <v>13.15</v>
      </c>
      <c r="C62" s="25">
        <v>13.3</v>
      </c>
      <c r="D62" s="118">
        <f t="shared" si="0"/>
        <v>617</v>
      </c>
      <c r="E62" s="26">
        <v>4.6500000000000004</v>
      </c>
      <c r="F62" s="25">
        <v>500</v>
      </c>
      <c r="G62" s="25">
        <v>117</v>
      </c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</row>
    <row r="63" spans="1:38" ht="15" x14ac:dyDescent="0.2">
      <c r="A63" s="24">
        <v>55</v>
      </c>
      <c r="B63" s="25">
        <v>13.3</v>
      </c>
      <c r="C63" s="25">
        <v>13.45</v>
      </c>
      <c r="D63" s="118">
        <f t="shared" si="0"/>
        <v>617</v>
      </c>
      <c r="E63" s="26">
        <v>4.6500000000000004</v>
      </c>
      <c r="F63" s="25">
        <v>500</v>
      </c>
      <c r="G63" s="25">
        <v>117</v>
      </c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</row>
    <row r="64" spans="1:38" ht="15" x14ac:dyDescent="0.2">
      <c r="A64" s="24">
        <v>56</v>
      </c>
      <c r="B64" s="25">
        <v>13.45</v>
      </c>
      <c r="C64" s="25">
        <v>14</v>
      </c>
      <c r="D64" s="118">
        <f t="shared" si="0"/>
        <v>617</v>
      </c>
      <c r="E64" s="26">
        <v>4.6500000000000004</v>
      </c>
      <c r="F64" s="25">
        <v>500</v>
      </c>
      <c r="G64" s="25">
        <v>117</v>
      </c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</row>
    <row r="65" spans="1:38" ht="15" x14ac:dyDescent="0.2">
      <c r="A65" s="24">
        <v>57</v>
      </c>
      <c r="B65" s="25">
        <v>14</v>
      </c>
      <c r="C65" s="25">
        <v>14.15</v>
      </c>
      <c r="D65" s="118">
        <f t="shared" si="0"/>
        <v>617</v>
      </c>
      <c r="E65" s="26">
        <v>4.6500000000000004</v>
      </c>
      <c r="F65" s="25">
        <v>500</v>
      </c>
      <c r="G65" s="25">
        <v>117</v>
      </c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</row>
    <row r="66" spans="1:38" ht="15" x14ac:dyDescent="0.2">
      <c r="A66" s="24">
        <v>58</v>
      </c>
      <c r="B66" s="25">
        <v>14.15</v>
      </c>
      <c r="C66" s="25">
        <v>14.3</v>
      </c>
      <c r="D66" s="118">
        <f t="shared" si="0"/>
        <v>617</v>
      </c>
      <c r="E66" s="26">
        <v>4.6500000000000004</v>
      </c>
      <c r="F66" s="25">
        <v>500</v>
      </c>
      <c r="G66" s="25">
        <v>117</v>
      </c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</row>
    <row r="67" spans="1:38" ht="15" x14ac:dyDescent="0.2">
      <c r="A67" s="24">
        <v>59</v>
      </c>
      <c r="B67" s="25">
        <v>14.3</v>
      </c>
      <c r="C67" s="25">
        <v>14.45</v>
      </c>
      <c r="D67" s="118">
        <f t="shared" si="0"/>
        <v>617</v>
      </c>
      <c r="E67" s="26">
        <v>4.6500000000000004</v>
      </c>
      <c r="F67" s="25">
        <v>500</v>
      </c>
      <c r="G67" s="25">
        <v>117</v>
      </c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</row>
    <row r="68" spans="1:38" ht="15" x14ac:dyDescent="0.2">
      <c r="A68" s="24">
        <v>60</v>
      </c>
      <c r="B68" s="25">
        <v>14.45</v>
      </c>
      <c r="C68" s="25">
        <v>15</v>
      </c>
      <c r="D68" s="118">
        <f t="shared" si="0"/>
        <v>617</v>
      </c>
      <c r="E68" s="26">
        <v>4.6500000000000004</v>
      </c>
      <c r="F68" s="25">
        <v>500</v>
      </c>
      <c r="G68" s="25">
        <v>117</v>
      </c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</row>
    <row r="69" spans="1:38" ht="15" x14ac:dyDescent="0.2">
      <c r="A69" s="24">
        <v>61</v>
      </c>
      <c r="B69" s="25">
        <v>15</v>
      </c>
      <c r="C69" s="25">
        <v>15.15</v>
      </c>
      <c r="D69" s="118">
        <f t="shared" si="0"/>
        <v>617</v>
      </c>
      <c r="E69" s="26">
        <v>4.6500000000000004</v>
      </c>
      <c r="F69" s="25">
        <v>500</v>
      </c>
      <c r="G69" s="25">
        <v>117</v>
      </c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</row>
    <row r="70" spans="1:38" ht="15" x14ac:dyDescent="0.2">
      <c r="A70" s="24">
        <v>62</v>
      </c>
      <c r="B70" s="25">
        <v>15.15</v>
      </c>
      <c r="C70" s="25">
        <v>15.3</v>
      </c>
      <c r="D70" s="118">
        <f t="shared" si="0"/>
        <v>617</v>
      </c>
      <c r="E70" s="26">
        <v>4.6500000000000004</v>
      </c>
      <c r="F70" s="25">
        <v>500</v>
      </c>
      <c r="G70" s="25">
        <v>117</v>
      </c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</row>
    <row r="71" spans="1:38" ht="15" x14ac:dyDescent="0.2">
      <c r="A71" s="24">
        <v>63</v>
      </c>
      <c r="B71" s="25">
        <v>15.3</v>
      </c>
      <c r="C71" s="25">
        <v>15.45</v>
      </c>
      <c r="D71" s="118">
        <f t="shared" si="0"/>
        <v>617</v>
      </c>
      <c r="E71" s="26">
        <v>4.6500000000000004</v>
      </c>
      <c r="F71" s="25">
        <v>500</v>
      </c>
      <c r="G71" s="25">
        <v>117</v>
      </c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</row>
    <row r="72" spans="1:38" ht="15" x14ac:dyDescent="0.2">
      <c r="A72" s="24">
        <v>64</v>
      </c>
      <c r="B72" s="25">
        <v>15.45</v>
      </c>
      <c r="C72" s="25">
        <v>16</v>
      </c>
      <c r="D72" s="118">
        <f t="shared" si="0"/>
        <v>617</v>
      </c>
      <c r="E72" s="26">
        <v>4.6500000000000004</v>
      </c>
      <c r="F72" s="25">
        <v>500</v>
      </c>
      <c r="G72" s="25">
        <v>117</v>
      </c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</row>
    <row r="73" spans="1:38" ht="15" x14ac:dyDescent="0.2">
      <c r="A73" s="24">
        <v>65</v>
      </c>
      <c r="B73" s="25">
        <v>16</v>
      </c>
      <c r="C73" s="25">
        <v>16.149999999999999</v>
      </c>
      <c r="D73" s="118">
        <f t="shared" si="0"/>
        <v>617</v>
      </c>
      <c r="E73" s="26">
        <v>4.6500000000000004</v>
      </c>
      <c r="F73" s="25">
        <v>500</v>
      </c>
      <c r="G73" s="25">
        <v>117</v>
      </c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</row>
    <row r="74" spans="1:38" ht="15" x14ac:dyDescent="0.2">
      <c r="A74" s="24">
        <v>66</v>
      </c>
      <c r="B74" s="25">
        <v>16.149999999999999</v>
      </c>
      <c r="C74" s="25">
        <v>16.3</v>
      </c>
      <c r="D74" s="118">
        <f t="shared" ref="D74:D104" si="1">SUM(F74:AL74)</f>
        <v>617</v>
      </c>
      <c r="E74" s="26">
        <v>4.6500000000000004</v>
      </c>
      <c r="F74" s="25">
        <v>500</v>
      </c>
      <c r="G74" s="25">
        <v>117</v>
      </c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</row>
    <row r="75" spans="1:38" ht="15" x14ac:dyDescent="0.2">
      <c r="A75" s="24">
        <v>67</v>
      </c>
      <c r="B75" s="25">
        <v>16.3</v>
      </c>
      <c r="C75" s="25">
        <v>16.45</v>
      </c>
      <c r="D75" s="118">
        <f t="shared" si="1"/>
        <v>617</v>
      </c>
      <c r="E75" s="26">
        <v>4.6500000000000004</v>
      </c>
      <c r="F75" s="25">
        <v>500</v>
      </c>
      <c r="G75" s="25">
        <v>117</v>
      </c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</row>
    <row r="76" spans="1:38" ht="15" x14ac:dyDescent="0.2">
      <c r="A76" s="24">
        <v>68</v>
      </c>
      <c r="B76" s="25">
        <v>16.45</v>
      </c>
      <c r="C76" s="25">
        <v>17</v>
      </c>
      <c r="D76" s="118">
        <f t="shared" si="1"/>
        <v>617</v>
      </c>
      <c r="E76" s="26">
        <v>4.6500000000000004</v>
      </c>
      <c r="F76" s="25">
        <v>500</v>
      </c>
      <c r="G76" s="25">
        <v>117</v>
      </c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</row>
    <row r="77" spans="1:38" ht="15" x14ac:dyDescent="0.2">
      <c r="A77" s="24">
        <v>69</v>
      </c>
      <c r="B77" s="25">
        <v>17</v>
      </c>
      <c r="C77" s="25">
        <v>17.149999999999999</v>
      </c>
      <c r="D77" s="118">
        <f t="shared" si="1"/>
        <v>617</v>
      </c>
      <c r="E77" s="26">
        <v>4.6500000000000004</v>
      </c>
      <c r="F77" s="25">
        <v>500</v>
      </c>
      <c r="G77" s="25">
        <v>117</v>
      </c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</row>
    <row r="78" spans="1:38" ht="15" x14ac:dyDescent="0.2">
      <c r="A78" s="24">
        <v>70</v>
      </c>
      <c r="B78" s="25">
        <v>17.149999999999999</v>
      </c>
      <c r="C78" s="25">
        <v>17.3</v>
      </c>
      <c r="D78" s="118">
        <f t="shared" si="1"/>
        <v>617</v>
      </c>
      <c r="E78" s="26">
        <v>4.6500000000000004</v>
      </c>
      <c r="F78" s="25">
        <v>500</v>
      </c>
      <c r="G78" s="25">
        <v>117</v>
      </c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</row>
    <row r="79" spans="1:38" ht="15" x14ac:dyDescent="0.2">
      <c r="A79" s="24">
        <v>71</v>
      </c>
      <c r="B79" s="25">
        <v>17.3</v>
      </c>
      <c r="C79" s="25">
        <v>17.45</v>
      </c>
      <c r="D79" s="118">
        <f t="shared" si="1"/>
        <v>617</v>
      </c>
      <c r="E79" s="26">
        <v>4.6500000000000004</v>
      </c>
      <c r="F79" s="25">
        <v>500</v>
      </c>
      <c r="G79" s="25">
        <v>117</v>
      </c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</row>
    <row r="80" spans="1:38" ht="15" x14ac:dyDescent="0.2">
      <c r="A80" s="24">
        <v>72</v>
      </c>
      <c r="B80" s="25">
        <v>17.45</v>
      </c>
      <c r="C80" s="25">
        <v>18</v>
      </c>
      <c r="D80" s="118">
        <f t="shared" si="1"/>
        <v>617</v>
      </c>
      <c r="E80" s="26">
        <v>4.6500000000000004</v>
      </c>
      <c r="F80" s="25">
        <v>500</v>
      </c>
      <c r="G80" s="25">
        <v>117</v>
      </c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</row>
    <row r="81" spans="1:38" ht="15" x14ac:dyDescent="0.2">
      <c r="A81" s="24">
        <v>73</v>
      </c>
      <c r="B81" s="25">
        <v>18</v>
      </c>
      <c r="C81" s="25">
        <v>18.149999999999999</v>
      </c>
      <c r="D81" s="118">
        <f t="shared" si="1"/>
        <v>617</v>
      </c>
      <c r="E81" s="26">
        <v>4.6500000000000004</v>
      </c>
      <c r="F81" s="25">
        <v>500</v>
      </c>
      <c r="G81" s="25">
        <v>117</v>
      </c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</row>
    <row r="82" spans="1:38" ht="15" x14ac:dyDescent="0.2">
      <c r="A82" s="24">
        <v>74</v>
      </c>
      <c r="B82" s="25">
        <v>18.149999999999999</v>
      </c>
      <c r="C82" s="25">
        <v>18.3</v>
      </c>
      <c r="D82" s="118">
        <f t="shared" si="1"/>
        <v>617</v>
      </c>
      <c r="E82" s="26">
        <v>4.6500000000000004</v>
      </c>
      <c r="F82" s="25">
        <v>500</v>
      </c>
      <c r="G82" s="25">
        <v>117</v>
      </c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15" x14ac:dyDescent="0.2">
      <c r="A83" s="24">
        <v>75</v>
      </c>
      <c r="B83" s="25">
        <v>18.3</v>
      </c>
      <c r="C83" s="25">
        <v>18.45</v>
      </c>
      <c r="D83" s="118">
        <f t="shared" si="1"/>
        <v>617</v>
      </c>
      <c r="E83" s="26">
        <v>4.6500000000000004</v>
      </c>
      <c r="F83" s="25">
        <v>500</v>
      </c>
      <c r="G83" s="25">
        <v>117</v>
      </c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</row>
    <row r="84" spans="1:38" ht="15" x14ac:dyDescent="0.2">
      <c r="A84" s="24">
        <v>76</v>
      </c>
      <c r="B84" s="25">
        <v>18.45</v>
      </c>
      <c r="C84" s="25">
        <v>19</v>
      </c>
      <c r="D84" s="118">
        <f t="shared" si="1"/>
        <v>617</v>
      </c>
      <c r="E84" s="26">
        <v>4.6500000000000004</v>
      </c>
      <c r="F84" s="25">
        <v>500</v>
      </c>
      <c r="G84" s="25">
        <v>117</v>
      </c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</row>
    <row r="85" spans="1:38" ht="15" x14ac:dyDescent="0.2">
      <c r="A85" s="24">
        <v>77</v>
      </c>
      <c r="B85" s="25">
        <v>19</v>
      </c>
      <c r="C85" s="25">
        <v>19.149999999999999</v>
      </c>
      <c r="D85" s="118">
        <f t="shared" si="1"/>
        <v>617</v>
      </c>
      <c r="E85" s="26">
        <v>4.6500000000000004</v>
      </c>
      <c r="F85" s="25">
        <v>500</v>
      </c>
      <c r="G85" s="25">
        <v>117</v>
      </c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</row>
    <row r="86" spans="1:38" ht="15" x14ac:dyDescent="0.2">
      <c r="A86" s="24">
        <v>78</v>
      </c>
      <c r="B86" s="25">
        <v>19.149999999999999</v>
      </c>
      <c r="C86" s="25">
        <v>19.3</v>
      </c>
      <c r="D86" s="118">
        <f t="shared" si="1"/>
        <v>617</v>
      </c>
      <c r="E86" s="26">
        <v>4.6500000000000004</v>
      </c>
      <c r="F86" s="25">
        <v>500</v>
      </c>
      <c r="G86" s="25">
        <v>117</v>
      </c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</row>
    <row r="87" spans="1:38" ht="15" x14ac:dyDescent="0.2">
      <c r="A87" s="24">
        <v>79</v>
      </c>
      <c r="B87" s="25">
        <v>19.3</v>
      </c>
      <c r="C87" s="25">
        <v>19.45</v>
      </c>
      <c r="D87" s="118">
        <f t="shared" si="1"/>
        <v>617</v>
      </c>
      <c r="E87" s="26">
        <v>4.6500000000000004</v>
      </c>
      <c r="F87" s="25">
        <v>500</v>
      </c>
      <c r="G87" s="25">
        <v>117</v>
      </c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</row>
    <row r="88" spans="1:38" ht="15" x14ac:dyDescent="0.2">
      <c r="A88" s="24">
        <v>80</v>
      </c>
      <c r="B88" s="25">
        <v>19.45</v>
      </c>
      <c r="C88" s="25">
        <v>20</v>
      </c>
      <c r="D88" s="118">
        <f t="shared" si="1"/>
        <v>617</v>
      </c>
      <c r="E88" s="26">
        <v>4.6500000000000004</v>
      </c>
      <c r="F88" s="25">
        <v>500</v>
      </c>
      <c r="G88" s="25">
        <v>117</v>
      </c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</row>
    <row r="89" spans="1:38" ht="15" x14ac:dyDescent="0.2">
      <c r="A89" s="24">
        <v>81</v>
      </c>
      <c r="B89" s="25">
        <v>20</v>
      </c>
      <c r="C89" s="25">
        <v>20.149999999999999</v>
      </c>
      <c r="D89" s="118">
        <f t="shared" si="1"/>
        <v>617</v>
      </c>
      <c r="E89" s="26">
        <v>4.6500000000000004</v>
      </c>
      <c r="F89" s="25">
        <v>500</v>
      </c>
      <c r="G89" s="25">
        <v>117</v>
      </c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</row>
    <row r="90" spans="1:38" ht="15" x14ac:dyDescent="0.2">
      <c r="A90" s="24">
        <v>82</v>
      </c>
      <c r="B90" s="25">
        <v>20.149999999999999</v>
      </c>
      <c r="C90" s="25">
        <v>20.3</v>
      </c>
      <c r="D90" s="118">
        <f t="shared" si="1"/>
        <v>617</v>
      </c>
      <c r="E90" s="26">
        <v>4.6500000000000004</v>
      </c>
      <c r="F90" s="25">
        <v>500</v>
      </c>
      <c r="G90" s="25">
        <v>117</v>
      </c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</row>
    <row r="91" spans="1:38" ht="15" x14ac:dyDescent="0.2">
      <c r="A91" s="24">
        <v>83</v>
      </c>
      <c r="B91" s="25">
        <v>20.3</v>
      </c>
      <c r="C91" s="25">
        <v>20.45</v>
      </c>
      <c r="D91" s="118">
        <f t="shared" si="1"/>
        <v>617</v>
      </c>
      <c r="E91" s="26">
        <v>4.6500000000000004</v>
      </c>
      <c r="F91" s="25">
        <v>500</v>
      </c>
      <c r="G91" s="25">
        <v>117</v>
      </c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</row>
    <row r="92" spans="1:38" ht="15" x14ac:dyDescent="0.2">
      <c r="A92" s="24">
        <v>84</v>
      </c>
      <c r="B92" s="25">
        <v>20.45</v>
      </c>
      <c r="C92" s="25">
        <v>21</v>
      </c>
      <c r="D92" s="118">
        <f t="shared" si="1"/>
        <v>617</v>
      </c>
      <c r="E92" s="26">
        <v>4.6500000000000004</v>
      </c>
      <c r="F92" s="25">
        <v>500</v>
      </c>
      <c r="G92" s="25">
        <v>117</v>
      </c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</row>
    <row r="93" spans="1:38" ht="15" x14ac:dyDescent="0.2">
      <c r="A93" s="24">
        <v>85</v>
      </c>
      <c r="B93" s="25">
        <v>21</v>
      </c>
      <c r="C93" s="25">
        <v>21.15</v>
      </c>
      <c r="D93" s="118">
        <f t="shared" si="1"/>
        <v>617</v>
      </c>
      <c r="E93" s="26">
        <v>4.6500000000000004</v>
      </c>
      <c r="F93" s="25">
        <v>500</v>
      </c>
      <c r="G93" s="25">
        <v>117</v>
      </c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</row>
    <row r="94" spans="1:38" ht="15" x14ac:dyDescent="0.2">
      <c r="A94" s="24">
        <v>86</v>
      </c>
      <c r="B94" s="25">
        <v>21.15</v>
      </c>
      <c r="C94" s="25">
        <v>21.3</v>
      </c>
      <c r="D94" s="118">
        <f t="shared" si="1"/>
        <v>617</v>
      </c>
      <c r="E94" s="26">
        <v>4.6500000000000004</v>
      </c>
      <c r="F94" s="25">
        <v>500</v>
      </c>
      <c r="G94" s="25">
        <v>117</v>
      </c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</row>
    <row r="95" spans="1:38" ht="15" x14ac:dyDescent="0.2">
      <c r="A95" s="24">
        <v>87</v>
      </c>
      <c r="B95" s="25">
        <v>21.3</v>
      </c>
      <c r="C95" s="25">
        <v>21.45</v>
      </c>
      <c r="D95" s="118">
        <f t="shared" si="1"/>
        <v>617</v>
      </c>
      <c r="E95" s="26">
        <v>4.6500000000000004</v>
      </c>
      <c r="F95" s="25">
        <v>500</v>
      </c>
      <c r="G95" s="25">
        <v>117</v>
      </c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</row>
    <row r="96" spans="1:38" ht="15" x14ac:dyDescent="0.2">
      <c r="A96" s="24">
        <v>88</v>
      </c>
      <c r="B96" s="25">
        <v>21.45</v>
      </c>
      <c r="C96" s="25">
        <v>22</v>
      </c>
      <c r="D96" s="118">
        <f t="shared" si="1"/>
        <v>617</v>
      </c>
      <c r="E96" s="26">
        <v>4.6500000000000004</v>
      </c>
      <c r="F96" s="25">
        <v>500</v>
      </c>
      <c r="G96" s="25">
        <v>117</v>
      </c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</row>
    <row r="97" spans="1:38" ht="15" x14ac:dyDescent="0.2">
      <c r="A97" s="24">
        <v>89</v>
      </c>
      <c r="B97" s="25">
        <v>22</v>
      </c>
      <c r="C97" s="25">
        <v>22.15</v>
      </c>
      <c r="D97" s="118">
        <f t="shared" si="1"/>
        <v>617</v>
      </c>
      <c r="E97" s="26">
        <v>4.6500000000000004</v>
      </c>
      <c r="F97" s="25">
        <v>500</v>
      </c>
      <c r="G97" s="25">
        <v>117</v>
      </c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</row>
    <row r="98" spans="1:38" ht="15" x14ac:dyDescent="0.2">
      <c r="A98" s="24">
        <v>90</v>
      </c>
      <c r="B98" s="25">
        <v>22.15</v>
      </c>
      <c r="C98" s="25">
        <v>22.3</v>
      </c>
      <c r="D98" s="118">
        <f t="shared" si="1"/>
        <v>617</v>
      </c>
      <c r="E98" s="26">
        <v>4.6500000000000004</v>
      </c>
      <c r="F98" s="25">
        <v>500</v>
      </c>
      <c r="G98" s="25">
        <v>117</v>
      </c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</row>
    <row r="99" spans="1:38" ht="15" x14ac:dyDescent="0.2">
      <c r="A99" s="24">
        <v>91</v>
      </c>
      <c r="B99" s="25">
        <v>22.3</v>
      </c>
      <c r="C99" s="25">
        <v>22.45</v>
      </c>
      <c r="D99" s="118">
        <f t="shared" si="1"/>
        <v>617</v>
      </c>
      <c r="E99" s="26">
        <v>4.6500000000000004</v>
      </c>
      <c r="F99" s="25">
        <v>500</v>
      </c>
      <c r="G99" s="25">
        <v>117</v>
      </c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</row>
    <row r="100" spans="1:38" ht="15" x14ac:dyDescent="0.2">
      <c r="A100" s="24">
        <v>92</v>
      </c>
      <c r="B100" s="25">
        <v>22.45</v>
      </c>
      <c r="C100" s="25">
        <v>23</v>
      </c>
      <c r="D100" s="118">
        <f t="shared" si="1"/>
        <v>617</v>
      </c>
      <c r="E100" s="26">
        <v>4.6500000000000004</v>
      </c>
      <c r="F100" s="25">
        <v>500</v>
      </c>
      <c r="G100" s="25">
        <v>117</v>
      </c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</row>
    <row r="101" spans="1:38" ht="15" x14ac:dyDescent="0.2">
      <c r="A101" s="24">
        <v>93</v>
      </c>
      <c r="B101" s="25">
        <v>23</v>
      </c>
      <c r="C101" s="25">
        <v>23.15</v>
      </c>
      <c r="D101" s="118">
        <f t="shared" si="1"/>
        <v>617</v>
      </c>
      <c r="E101" s="26">
        <v>4.6500000000000004</v>
      </c>
      <c r="F101" s="25">
        <v>500</v>
      </c>
      <c r="G101" s="25">
        <v>117</v>
      </c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</row>
    <row r="102" spans="1:38" ht="15" x14ac:dyDescent="0.2">
      <c r="A102" s="24">
        <v>94</v>
      </c>
      <c r="B102" s="25">
        <v>23.15</v>
      </c>
      <c r="C102" s="25">
        <v>23.3</v>
      </c>
      <c r="D102" s="118">
        <f t="shared" si="1"/>
        <v>617</v>
      </c>
      <c r="E102" s="26">
        <v>4.6500000000000004</v>
      </c>
      <c r="F102" s="25">
        <v>500</v>
      </c>
      <c r="G102" s="25">
        <v>117</v>
      </c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</row>
    <row r="103" spans="1:38" ht="15" x14ac:dyDescent="0.2">
      <c r="A103" s="24">
        <v>95</v>
      </c>
      <c r="B103" s="25">
        <v>23.3</v>
      </c>
      <c r="C103" s="25">
        <v>23.45</v>
      </c>
      <c r="D103" s="118">
        <f t="shared" si="1"/>
        <v>617</v>
      </c>
      <c r="E103" s="26">
        <v>4.6500000000000004</v>
      </c>
      <c r="F103" s="25">
        <v>500</v>
      </c>
      <c r="G103" s="25">
        <v>117</v>
      </c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</row>
    <row r="104" spans="1:38" ht="15" x14ac:dyDescent="0.2">
      <c r="A104" s="29">
        <v>96</v>
      </c>
      <c r="B104" s="30">
        <v>23.45</v>
      </c>
      <c r="C104" s="30">
        <v>24</v>
      </c>
      <c r="D104" s="118">
        <f t="shared" si="1"/>
        <v>617</v>
      </c>
      <c r="E104" s="26">
        <v>4.6500000000000004</v>
      </c>
      <c r="F104" s="25">
        <v>500</v>
      </c>
      <c r="G104" s="25">
        <v>117</v>
      </c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</row>
    <row r="105" spans="1:38" s="62" customFormat="1" x14ac:dyDescent="0.2"/>
    <row r="106" spans="1:38" s="62" customFormat="1" x14ac:dyDescent="0.2"/>
    <row r="107" spans="1:38" s="62" customFormat="1" x14ac:dyDescent="0.2"/>
    <row r="108" spans="1:38" x14ac:dyDescent="0.2">
      <c r="H108" s="62"/>
    </row>
    <row r="109" spans="1:38" x14ac:dyDescent="0.2">
      <c r="H109" s="62"/>
    </row>
    <row r="124" spans="8:8" x14ac:dyDescent="0.2">
      <c r="H124" s="5" t="s">
        <v>72</v>
      </c>
    </row>
    <row r="283" spans="1:15" x14ac:dyDescent="0.2">
      <c r="A283" s="5">
        <f>SUM(E9:L104)</f>
        <v>59678.400000000096</v>
      </c>
    </row>
    <row r="284" spans="1:15" x14ac:dyDescent="0.2">
      <c r="A284" s="5">
        <v>1</v>
      </c>
    </row>
    <row r="285" spans="1:15" s="31" customFormat="1" x14ac:dyDescent="0.2">
      <c r="A285" s="31" t="s">
        <v>20</v>
      </c>
      <c r="B285" s="31" t="str">
        <f t="shared" ref="B285:J300" si="2">D8</f>
        <v>DC</v>
      </c>
      <c r="C285" s="31" t="str">
        <f t="shared" si="2"/>
        <v>FC</v>
      </c>
      <c r="D285" s="31" t="e">
        <f>#REF!</f>
        <v>#REF!</v>
      </c>
      <c r="E285" s="31" t="str">
        <f t="shared" ref="E285:O285" si="3">F8</f>
        <v>GUVNL_BID_2</v>
      </c>
      <c r="F285" s="31" t="str">
        <f t="shared" si="3"/>
        <v>GUVNL_Bid_2_Addi_SPPA</v>
      </c>
      <c r="G285" s="31">
        <f t="shared" si="3"/>
        <v>0</v>
      </c>
      <c r="H285" s="31">
        <f t="shared" si="3"/>
        <v>0</v>
      </c>
      <c r="I285" s="31">
        <f t="shared" si="3"/>
        <v>0</v>
      </c>
      <c r="J285" s="31">
        <f t="shared" si="3"/>
        <v>0</v>
      </c>
      <c r="K285" s="31">
        <f t="shared" si="3"/>
        <v>0</v>
      </c>
      <c r="L285" s="31">
        <f>O8</f>
        <v>0</v>
      </c>
      <c r="O285" s="31">
        <f t="shared" si="3"/>
        <v>0</v>
      </c>
    </row>
    <row r="286" spans="1:15" x14ac:dyDescent="0.2">
      <c r="A286" s="5">
        <v>0</v>
      </c>
      <c r="B286" s="32">
        <f t="shared" si="2"/>
        <v>617</v>
      </c>
      <c r="C286" s="32">
        <f t="shared" si="2"/>
        <v>4.6500000000000004</v>
      </c>
      <c r="D286" s="32">
        <f t="shared" si="2"/>
        <v>500</v>
      </c>
      <c r="E286" s="32">
        <f t="shared" si="2"/>
        <v>117</v>
      </c>
      <c r="F286" s="32" t="str">
        <f t="shared" si="2"/>
        <v xml:space="preserve">   </v>
      </c>
      <c r="G286" s="32">
        <f t="shared" si="2"/>
        <v>0</v>
      </c>
      <c r="H286" s="32">
        <f t="shared" si="2"/>
        <v>0</v>
      </c>
      <c r="I286" s="32">
        <f t="shared" si="2"/>
        <v>0</v>
      </c>
      <c r="J286" s="32">
        <f t="shared" si="2"/>
        <v>0</v>
      </c>
      <c r="K286" s="32">
        <f t="shared" ref="K286:L317" si="4">O9</f>
        <v>0</v>
      </c>
      <c r="L286" s="32">
        <f t="shared" si="4"/>
        <v>0</v>
      </c>
      <c r="M286" s="32"/>
      <c r="N286" s="32"/>
    </row>
    <row r="287" spans="1:15" x14ac:dyDescent="0.2">
      <c r="A287" s="5">
        <v>0</v>
      </c>
      <c r="B287" s="32">
        <f t="shared" si="2"/>
        <v>617</v>
      </c>
      <c r="C287" s="32">
        <f t="shared" si="2"/>
        <v>4.6500000000000004</v>
      </c>
      <c r="D287" s="32">
        <f t="shared" si="2"/>
        <v>500</v>
      </c>
      <c r="E287" s="32">
        <f t="shared" si="2"/>
        <v>117</v>
      </c>
      <c r="F287" s="32">
        <f t="shared" si="2"/>
        <v>0</v>
      </c>
      <c r="G287" s="32">
        <f t="shared" si="2"/>
        <v>0</v>
      </c>
      <c r="H287" s="32">
        <f t="shared" si="2"/>
        <v>0</v>
      </c>
      <c r="I287" s="32">
        <f t="shared" si="2"/>
        <v>0</v>
      </c>
      <c r="J287" s="32">
        <f t="shared" si="2"/>
        <v>0</v>
      </c>
      <c r="K287" s="32">
        <f t="shared" si="4"/>
        <v>0</v>
      </c>
      <c r="L287" s="32">
        <f t="shared" si="4"/>
        <v>0</v>
      </c>
      <c r="M287" s="32"/>
      <c r="N287" s="32"/>
    </row>
    <row r="288" spans="1:15" x14ac:dyDescent="0.2">
      <c r="A288" s="5">
        <v>0</v>
      </c>
      <c r="B288" s="32">
        <f t="shared" si="2"/>
        <v>617</v>
      </c>
      <c r="C288" s="32">
        <f t="shared" si="2"/>
        <v>4.6500000000000004</v>
      </c>
      <c r="D288" s="32">
        <f t="shared" si="2"/>
        <v>500</v>
      </c>
      <c r="E288" s="32">
        <f t="shared" si="2"/>
        <v>117</v>
      </c>
      <c r="F288" s="32">
        <f t="shared" si="2"/>
        <v>0</v>
      </c>
      <c r="G288" s="32">
        <f t="shared" si="2"/>
        <v>0</v>
      </c>
      <c r="H288" s="32">
        <f t="shared" si="2"/>
        <v>0</v>
      </c>
      <c r="I288" s="32">
        <f t="shared" si="2"/>
        <v>0</v>
      </c>
      <c r="J288" s="32">
        <f t="shared" si="2"/>
        <v>0</v>
      </c>
      <c r="K288" s="32">
        <f t="shared" si="4"/>
        <v>0</v>
      </c>
      <c r="L288" s="32">
        <f t="shared" si="4"/>
        <v>0</v>
      </c>
      <c r="M288" s="32"/>
      <c r="N288" s="32"/>
    </row>
    <row r="289" spans="1:14" x14ac:dyDescent="0.2">
      <c r="A289" s="5">
        <v>0</v>
      </c>
      <c r="B289" s="32">
        <f t="shared" si="2"/>
        <v>617</v>
      </c>
      <c r="C289" s="32">
        <f t="shared" si="2"/>
        <v>4.6500000000000004</v>
      </c>
      <c r="D289" s="32">
        <f t="shared" si="2"/>
        <v>500</v>
      </c>
      <c r="E289" s="32">
        <f t="shared" si="2"/>
        <v>117</v>
      </c>
      <c r="F289" s="32">
        <f t="shared" si="2"/>
        <v>0</v>
      </c>
      <c r="G289" s="32">
        <f t="shared" si="2"/>
        <v>0</v>
      </c>
      <c r="H289" s="32">
        <f t="shared" si="2"/>
        <v>0</v>
      </c>
      <c r="I289" s="32">
        <f t="shared" si="2"/>
        <v>0</v>
      </c>
      <c r="J289" s="32">
        <f t="shared" si="2"/>
        <v>0</v>
      </c>
      <c r="K289" s="32">
        <f t="shared" si="4"/>
        <v>0</v>
      </c>
      <c r="L289" s="32">
        <f t="shared" si="4"/>
        <v>0</v>
      </c>
      <c r="M289" s="32"/>
      <c r="N289" s="32"/>
    </row>
    <row r="290" spans="1:14" x14ac:dyDescent="0.2">
      <c r="A290" s="5">
        <v>0</v>
      </c>
      <c r="B290" s="32">
        <f t="shared" si="2"/>
        <v>617</v>
      </c>
      <c r="C290" s="32">
        <f t="shared" si="2"/>
        <v>4.6500000000000004</v>
      </c>
      <c r="D290" s="32">
        <f t="shared" si="2"/>
        <v>500</v>
      </c>
      <c r="E290" s="32">
        <f t="shared" si="2"/>
        <v>117</v>
      </c>
      <c r="F290" s="32">
        <f t="shared" si="2"/>
        <v>0</v>
      </c>
      <c r="G290" s="32">
        <f t="shared" si="2"/>
        <v>0</v>
      </c>
      <c r="H290" s="32">
        <f t="shared" si="2"/>
        <v>0</v>
      </c>
      <c r="I290" s="32">
        <f t="shared" si="2"/>
        <v>0</v>
      </c>
      <c r="J290" s="32">
        <f t="shared" si="2"/>
        <v>0</v>
      </c>
      <c r="K290" s="32">
        <f t="shared" si="4"/>
        <v>0</v>
      </c>
      <c r="L290" s="32">
        <f t="shared" si="4"/>
        <v>0</v>
      </c>
      <c r="M290" s="32"/>
      <c r="N290" s="32"/>
    </row>
    <row r="291" spans="1:14" x14ac:dyDescent="0.2">
      <c r="A291" s="5">
        <v>0</v>
      </c>
      <c r="B291" s="32">
        <f t="shared" si="2"/>
        <v>617</v>
      </c>
      <c r="C291" s="32">
        <f t="shared" si="2"/>
        <v>4.6500000000000004</v>
      </c>
      <c r="D291" s="32">
        <f t="shared" si="2"/>
        <v>500</v>
      </c>
      <c r="E291" s="32">
        <f t="shared" si="2"/>
        <v>117</v>
      </c>
      <c r="F291" s="32">
        <f t="shared" si="2"/>
        <v>0</v>
      </c>
      <c r="G291" s="32">
        <f t="shared" si="2"/>
        <v>0</v>
      </c>
      <c r="H291" s="32">
        <f t="shared" si="2"/>
        <v>0</v>
      </c>
      <c r="I291" s="32">
        <f t="shared" si="2"/>
        <v>0</v>
      </c>
      <c r="J291" s="32">
        <f t="shared" si="2"/>
        <v>0</v>
      </c>
      <c r="K291" s="32">
        <f t="shared" si="4"/>
        <v>0</v>
      </c>
      <c r="L291" s="32">
        <f t="shared" si="4"/>
        <v>0</v>
      </c>
      <c r="M291" s="32"/>
      <c r="N291" s="32"/>
    </row>
    <row r="292" spans="1:14" x14ac:dyDescent="0.2">
      <c r="A292" s="5">
        <v>0</v>
      </c>
      <c r="B292" s="32">
        <f t="shared" si="2"/>
        <v>617</v>
      </c>
      <c r="C292" s="32">
        <f t="shared" si="2"/>
        <v>4.6500000000000004</v>
      </c>
      <c r="D292" s="32">
        <f t="shared" si="2"/>
        <v>500</v>
      </c>
      <c r="E292" s="32">
        <f t="shared" si="2"/>
        <v>117</v>
      </c>
      <c r="F292" s="32">
        <f t="shared" si="2"/>
        <v>0</v>
      </c>
      <c r="G292" s="32">
        <f t="shared" si="2"/>
        <v>0</v>
      </c>
      <c r="H292" s="32">
        <f t="shared" si="2"/>
        <v>0</v>
      </c>
      <c r="I292" s="32">
        <f t="shared" si="2"/>
        <v>0</v>
      </c>
      <c r="J292" s="32">
        <f t="shared" si="2"/>
        <v>0</v>
      </c>
      <c r="K292" s="32">
        <f t="shared" si="4"/>
        <v>0</v>
      </c>
      <c r="L292" s="32">
        <f t="shared" si="4"/>
        <v>0</v>
      </c>
      <c r="M292" s="32"/>
      <c r="N292" s="32"/>
    </row>
    <row r="293" spans="1:14" x14ac:dyDescent="0.2">
      <c r="A293" s="5">
        <v>0</v>
      </c>
      <c r="B293" s="32">
        <f t="shared" si="2"/>
        <v>617</v>
      </c>
      <c r="C293" s="32">
        <f t="shared" si="2"/>
        <v>4.6500000000000004</v>
      </c>
      <c r="D293" s="32">
        <f t="shared" si="2"/>
        <v>500</v>
      </c>
      <c r="E293" s="32">
        <f t="shared" si="2"/>
        <v>117</v>
      </c>
      <c r="F293" s="32">
        <f t="shared" si="2"/>
        <v>0</v>
      </c>
      <c r="G293" s="32">
        <f t="shared" si="2"/>
        <v>0</v>
      </c>
      <c r="H293" s="32">
        <f t="shared" si="2"/>
        <v>0</v>
      </c>
      <c r="I293" s="32">
        <f t="shared" si="2"/>
        <v>0</v>
      </c>
      <c r="J293" s="32">
        <f t="shared" si="2"/>
        <v>0</v>
      </c>
      <c r="K293" s="32">
        <f t="shared" si="4"/>
        <v>0</v>
      </c>
      <c r="L293" s="32">
        <f t="shared" si="4"/>
        <v>0</v>
      </c>
      <c r="M293" s="32"/>
      <c r="N293" s="32"/>
    </row>
    <row r="294" spans="1:14" x14ac:dyDescent="0.2">
      <c r="A294" s="5">
        <v>0</v>
      </c>
      <c r="B294" s="32">
        <f t="shared" si="2"/>
        <v>617</v>
      </c>
      <c r="C294" s="32">
        <f t="shared" si="2"/>
        <v>4.6500000000000004</v>
      </c>
      <c r="D294" s="32">
        <f t="shared" si="2"/>
        <v>500</v>
      </c>
      <c r="E294" s="32">
        <f t="shared" si="2"/>
        <v>117</v>
      </c>
      <c r="F294" s="32">
        <f t="shared" si="2"/>
        <v>0</v>
      </c>
      <c r="G294" s="32">
        <f t="shared" si="2"/>
        <v>0</v>
      </c>
      <c r="H294" s="32">
        <f t="shared" si="2"/>
        <v>0</v>
      </c>
      <c r="I294" s="32">
        <f t="shared" si="2"/>
        <v>0</v>
      </c>
      <c r="J294" s="32">
        <f t="shared" si="2"/>
        <v>0</v>
      </c>
      <c r="K294" s="32">
        <f t="shared" si="4"/>
        <v>0</v>
      </c>
      <c r="L294" s="32">
        <f t="shared" si="4"/>
        <v>0</v>
      </c>
      <c r="M294" s="32"/>
      <c r="N294" s="32"/>
    </row>
    <row r="295" spans="1:14" x14ac:dyDescent="0.2">
      <c r="A295" s="5">
        <v>0</v>
      </c>
      <c r="B295" s="32">
        <f t="shared" si="2"/>
        <v>617</v>
      </c>
      <c r="C295" s="32">
        <f t="shared" si="2"/>
        <v>4.6500000000000004</v>
      </c>
      <c r="D295" s="32">
        <f t="shared" si="2"/>
        <v>500</v>
      </c>
      <c r="E295" s="32">
        <f t="shared" si="2"/>
        <v>117</v>
      </c>
      <c r="F295" s="32">
        <f t="shared" si="2"/>
        <v>0</v>
      </c>
      <c r="G295" s="32">
        <f t="shared" si="2"/>
        <v>0</v>
      </c>
      <c r="H295" s="32">
        <f t="shared" si="2"/>
        <v>0</v>
      </c>
      <c r="I295" s="32">
        <f t="shared" si="2"/>
        <v>0</v>
      </c>
      <c r="J295" s="32">
        <f t="shared" si="2"/>
        <v>0</v>
      </c>
      <c r="K295" s="32">
        <f t="shared" si="4"/>
        <v>0</v>
      </c>
      <c r="L295" s="32">
        <f t="shared" si="4"/>
        <v>0</v>
      </c>
      <c r="M295" s="32"/>
      <c r="N295" s="32"/>
    </row>
    <row r="296" spans="1:14" x14ac:dyDescent="0.2">
      <c r="A296" s="5">
        <v>0</v>
      </c>
      <c r="B296" s="32">
        <f t="shared" si="2"/>
        <v>617</v>
      </c>
      <c r="C296" s="32">
        <f t="shared" si="2"/>
        <v>4.6500000000000004</v>
      </c>
      <c r="D296" s="32">
        <f t="shared" si="2"/>
        <v>500</v>
      </c>
      <c r="E296" s="32">
        <f t="shared" si="2"/>
        <v>117</v>
      </c>
      <c r="F296" s="32">
        <f t="shared" si="2"/>
        <v>0</v>
      </c>
      <c r="G296" s="32">
        <f t="shared" si="2"/>
        <v>0</v>
      </c>
      <c r="H296" s="32">
        <f t="shared" si="2"/>
        <v>0</v>
      </c>
      <c r="I296" s="32">
        <f t="shared" si="2"/>
        <v>0</v>
      </c>
      <c r="J296" s="32">
        <f t="shared" si="2"/>
        <v>0</v>
      </c>
      <c r="K296" s="32">
        <f t="shared" si="4"/>
        <v>0</v>
      </c>
      <c r="L296" s="32">
        <f t="shared" si="4"/>
        <v>0</v>
      </c>
      <c r="M296" s="32"/>
      <c r="N296" s="32"/>
    </row>
    <row r="297" spans="1:14" x14ac:dyDescent="0.2">
      <c r="A297" s="5">
        <v>1</v>
      </c>
      <c r="B297" s="32">
        <f t="shared" si="2"/>
        <v>617</v>
      </c>
      <c r="C297" s="32">
        <f t="shared" si="2"/>
        <v>4.6500000000000004</v>
      </c>
      <c r="D297" s="32">
        <f t="shared" si="2"/>
        <v>500</v>
      </c>
      <c r="E297" s="32">
        <f t="shared" si="2"/>
        <v>117</v>
      </c>
      <c r="F297" s="32">
        <f t="shared" si="2"/>
        <v>0</v>
      </c>
      <c r="G297" s="32">
        <f t="shared" si="2"/>
        <v>0</v>
      </c>
      <c r="H297" s="32">
        <f t="shared" si="2"/>
        <v>0</v>
      </c>
      <c r="I297" s="32">
        <f t="shared" si="2"/>
        <v>0</v>
      </c>
      <c r="J297" s="32">
        <f t="shared" si="2"/>
        <v>0</v>
      </c>
      <c r="K297" s="32">
        <f t="shared" si="4"/>
        <v>0</v>
      </c>
      <c r="L297" s="32">
        <f t="shared" si="4"/>
        <v>0</v>
      </c>
      <c r="M297" s="32"/>
      <c r="N297" s="32"/>
    </row>
    <row r="298" spans="1:14" x14ac:dyDescent="0.2">
      <c r="A298" s="5">
        <v>0</v>
      </c>
      <c r="B298" s="32">
        <f t="shared" si="2"/>
        <v>617</v>
      </c>
      <c r="C298" s="32">
        <f t="shared" si="2"/>
        <v>4.6500000000000004</v>
      </c>
      <c r="D298" s="32">
        <f t="shared" si="2"/>
        <v>500</v>
      </c>
      <c r="E298" s="32">
        <f t="shared" si="2"/>
        <v>117</v>
      </c>
      <c r="F298" s="32">
        <f t="shared" si="2"/>
        <v>0</v>
      </c>
      <c r="G298" s="32">
        <f t="shared" si="2"/>
        <v>0</v>
      </c>
      <c r="H298" s="32">
        <f t="shared" si="2"/>
        <v>0</v>
      </c>
      <c r="I298" s="32">
        <f t="shared" si="2"/>
        <v>0</v>
      </c>
      <c r="J298" s="32">
        <f t="shared" si="2"/>
        <v>0</v>
      </c>
      <c r="K298" s="32">
        <f t="shared" si="4"/>
        <v>0</v>
      </c>
      <c r="L298" s="32">
        <f t="shared" si="4"/>
        <v>0</v>
      </c>
      <c r="M298" s="32"/>
      <c r="N298" s="32"/>
    </row>
    <row r="299" spans="1:14" x14ac:dyDescent="0.2">
      <c r="A299" s="5">
        <v>0</v>
      </c>
      <c r="B299" s="32">
        <f t="shared" si="2"/>
        <v>617</v>
      </c>
      <c r="C299" s="32">
        <f t="shared" si="2"/>
        <v>4.6500000000000004</v>
      </c>
      <c r="D299" s="32">
        <f t="shared" si="2"/>
        <v>500</v>
      </c>
      <c r="E299" s="32">
        <f t="shared" si="2"/>
        <v>117</v>
      </c>
      <c r="F299" s="32">
        <f t="shared" si="2"/>
        <v>0</v>
      </c>
      <c r="G299" s="32">
        <f t="shared" si="2"/>
        <v>0</v>
      </c>
      <c r="H299" s="32">
        <f t="shared" si="2"/>
        <v>0</v>
      </c>
      <c r="I299" s="32">
        <f t="shared" si="2"/>
        <v>0</v>
      </c>
      <c r="J299" s="32">
        <f t="shared" si="2"/>
        <v>0</v>
      </c>
      <c r="K299" s="32">
        <f t="shared" si="4"/>
        <v>0</v>
      </c>
      <c r="L299" s="32">
        <f t="shared" si="4"/>
        <v>0</v>
      </c>
      <c r="M299" s="32"/>
      <c r="N299" s="32"/>
    </row>
    <row r="300" spans="1:14" x14ac:dyDescent="0.2">
      <c r="A300" s="5">
        <v>0</v>
      </c>
      <c r="B300" s="32">
        <f t="shared" si="2"/>
        <v>617</v>
      </c>
      <c r="C300" s="32">
        <f t="shared" si="2"/>
        <v>4.6500000000000004</v>
      </c>
      <c r="D300" s="32">
        <f t="shared" si="2"/>
        <v>500</v>
      </c>
      <c r="E300" s="32">
        <f t="shared" si="2"/>
        <v>117</v>
      </c>
      <c r="F300" s="32">
        <f t="shared" si="2"/>
        <v>0</v>
      </c>
      <c r="G300" s="32">
        <f t="shared" si="2"/>
        <v>0</v>
      </c>
      <c r="H300" s="32">
        <f t="shared" si="2"/>
        <v>0</v>
      </c>
      <c r="I300" s="32">
        <f t="shared" si="2"/>
        <v>0</v>
      </c>
      <c r="J300" s="32">
        <f t="shared" si="2"/>
        <v>0</v>
      </c>
      <c r="K300" s="32">
        <f t="shared" si="4"/>
        <v>0</v>
      </c>
      <c r="L300" s="32">
        <f t="shared" si="4"/>
        <v>0</v>
      </c>
      <c r="M300" s="32"/>
      <c r="N300" s="32"/>
    </row>
    <row r="301" spans="1:14" x14ac:dyDescent="0.2">
      <c r="A301" s="5">
        <v>0</v>
      </c>
      <c r="B301" s="32">
        <f t="shared" ref="B301:J324" si="5">D24</f>
        <v>617</v>
      </c>
      <c r="C301" s="32">
        <f t="shared" si="5"/>
        <v>4.6500000000000004</v>
      </c>
      <c r="D301" s="32">
        <f t="shared" si="5"/>
        <v>500</v>
      </c>
      <c r="E301" s="32">
        <f t="shared" si="5"/>
        <v>117</v>
      </c>
      <c r="F301" s="32">
        <f t="shared" si="5"/>
        <v>0</v>
      </c>
      <c r="G301" s="32">
        <f t="shared" si="5"/>
        <v>0</v>
      </c>
      <c r="H301" s="32">
        <f t="shared" si="5"/>
        <v>0</v>
      </c>
      <c r="I301" s="32">
        <f t="shared" si="5"/>
        <v>0</v>
      </c>
      <c r="J301" s="32">
        <f t="shared" si="5"/>
        <v>0</v>
      </c>
      <c r="K301" s="32">
        <f t="shared" si="4"/>
        <v>0</v>
      </c>
      <c r="L301" s="32">
        <f t="shared" si="4"/>
        <v>0</v>
      </c>
      <c r="M301" s="32"/>
      <c r="N301" s="32"/>
    </row>
    <row r="302" spans="1:14" x14ac:dyDescent="0.2">
      <c r="A302" s="5">
        <v>0</v>
      </c>
      <c r="B302" s="32">
        <f t="shared" si="5"/>
        <v>617</v>
      </c>
      <c r="C302" s="32">
        <f t="shared" si="5"/>
        <v>4.6500000000000004</v>
      </c>
      <c r="D302" s="32">
        <f t="shared" si="5"/>
        <v>500</v>
      </c>
      <c r="E302" s="32">
        <f t="shared" si="5"/>
        <v>117</v>
      </c>
      <c r="F302" s="32">
        <f t="shared" si="5"/>
        <v>0</v>
      </c>
      <c r="G302" s="32">
        <f t="shared" si="5"/>
        <v>0</v>
      </c>
      <c r="H302" s="32">
        <f t="shared" si="5"/>
        <v>0</v>
      </c>
      <c r="I302" s="32">
        <f t="shared" si="5"/>
        <v>0</v>
      </c>
      <c r="J302" s="32">
        <f t="shared" si="5"/>
        <v>0</v>
      </c>
      <c r="K302" s="32">
        <f t="shared" si="4"/>
        <v>0</v>
      </c>
      <c r="L302" s="32">
        <f t="shared" si="4"/>
        <v>0</v>
      </c>
      <c r="M302" s="32"/>
      <c r="N302" s="32"/>
    </row>
    <row r="303" spans="1:14" x14ac:dyDescent="0.2">
      <c r="A303" s="5">
        <v>0</v>
      </c>
      <c r="B303" s="32">
        <f t="shared" si="5"/>
        <v>617</v>
      </c>
      <c r="C303" s="32">
        <f t="shared" si="5"/>
        <v>4.6500000000000004</v>
      </c>
      <c r="D303" s="32">
        <f t="shared" si="5"/>
        <v>500</v>
      </c>
      <c r="E303" s="32">
        <f t="shared" si="5"/>
        <v>117</v>
      </c>
      <c r="F303" s="32">
        <f t="shared" si="5"/>
        <v>0</v>
      </c>
      <c r="G303" s="32">
        <f t="shared" si="5"/>
        <v>0</v>
      </c>
      <c r="H303" s="32">
        <f t="shared" si="5"/>
        <v>0</v>
      </c>
      <c r="I303" s="32">
        <f t="shared" si="5"/>
        <v>0</v>
      </c>
      <c r="J303" s="32">
        <f t="shared" si="5"/>
        <v>0</v>
      </c>
      <c r="K303" s="32">
        <f t="shared" si="4"/>
        <v>0</v>
      </c>
      <c r="L303" s="32">
        <f t="shared" si="4"/>
        <v>0</v>
      </c>
      <c r="M303" s="32"/>
      <c r="N303" s="32"/>
    </row>
    <row r="304" spans="1:14" x14ac:dyDescent="0.2">
      <c r="A304" s="5">
        <v>0</v>
      </c>
      <c r="B304" s="32">
        <f t="shared" si="5"/>
        <v>617</v>
      </c>
      <c r="C304" s="32">
        <f t="shared" si="5"/>
        <v>4.6500000000000004</v>
      </c>
      <c r="D304" s="32">
        <f t="shared" si="5"/>
        <v>500</v>
      </c>
      <c r="E304" s="32">
        <f t="shared" si="5"/>
        <v>117</v>
      </c>
      <c r="F304" s="32">
        <f t="shared" si="5"/>
        <v>0</v>
      </c>
      <c r="G304" s="32">
        <f t="shared" si="5"/>
        <v>0</v>
      </c>
      <c r="H304" s="32">
        <f t="shared" si="5"/>
        <v>0</v>
      </c>
      <c r="I304" s="32">
        <f t="shared" si="5"/>
        <v>0</v>
      </c>
      <c r="J304" s="32">
        <f t="shared" si="5"/>
        <v>0</v>
      </c>
      <c r="K304" s="32">
        <f t="shared" si="4"/>
        <v>0</v>
      </c>
      <c r="L304" s="32">
        <f t="shared" si="4"/>
        <v>0</v>
      </c>
      <c r="M304" s="32"/>
      <c r="N304" s="32"/>
    </row>
    <row r="305" spans="1:14" x14ac:dyDescent="0.2">
      <c r="A305" s="5">
        <v>0</v>
      </c>
      <c r="B305" s="32">
        <f t="shared" si="5"/>
        <v>617</v>
      </c>
      <c r="C305" s="32">
        <f t="shared" si="5"/>
        <v>4.6500000000000004</v>
      </c>
      <c r="D305" s="32">
        <f t="shared" si="5"/>
        <v>500</v>
      </c>
      <c r="E305" s="32">
        <f t="shared" si="5"/>
        <v>117</v>
      </c>
      <c r="F305" s="32">
        <f t="shared" si="5"/>
        <v>0</v>
      </c>
      <c r="G305" s="32">
        <f t="shared" si="5"/>
        <v>0</v>
      </c>
      <c r="H305" s="32">
        <f t="shared" si="5"/>
        <v>0</v>
      </c>
      <c r="I305" s="32">
        <f t="shared" si="5"/>
        <v>0</v>
      </c>
      <c r="J305" s="32">
        <f t="shared" si="5"/>
        <v>0</v>
      </c>
      <c r="K305" s="32">
        <f t="shared" si="4"/>
        <v>0</v>
      </c>
      <c r="L305" s="32">
        <f t="shared" si="4"/>
        <v>0</v>
      </c>
      <c r="M305" s="32"/>
      <c r="N305" s="32"/>
    </row>
    <row r="306" spans="1:14" x14ac:dyDescent="0.2">
      <c r="A306" s="5">
        <v>0</v>
      </c>
      <c r="B306" s="32">
        <f t="shared" si="5"/>
        <v>617</v>
      </c>
      <c r="C306" s="32">
        <f t="shared" si="5"/>
        <v>4.6500000000000004</v>
      </c>
      <c r="D306" s="32">
        <f t="shared" si="5"/>
        <v>500</v>
      </c>
      <c r="E306" s="32">
        <f t="shared" si="5"/>
        <v>117</v>
      </c>
      <c r="F306" s="32">
        <f t="shared" si="5"/>
        <v>0</v>
      </c>
      <c r="G306" s="32">
        <f t="shared" si="5"/>
        <v>0</v>
      </c>
      <c r="H306" s="32">
        <f t="shared" si="5"/>
        <v>0</v>
      </c>
      <c r="I306" s="32">
        <f t="shared" si="5"/>
        <v>0</v>
      </c>
      <c r="J306" s="32">
        <f t="shared" si="5"/>
        <v>0</v>
      </c>
      <c r="K306" s="32">
        <f t="shared" si="4"/>
        <v>0</v>
      </c>
      <c r="L306" s="32">
        <f t="shared" si="4"/>
        <v>0</v>
      </c>
      <c r="M306" s="32"/>
      <c r="N306" s="32"/>
    </row>
    <row r="307" spans="1:14" x14ac:dyDescent="0.2">
      <c r="A307" s="5">
        <v>0</v>
      </c>
      <c r="B307" s="32">
        <f t="shared" si="5"/>
        <v>617</v>
      </c>
      <c r="C307" s="32">
        <f t="shared" si="5"/>
        <v>4.6500000000000004</v>
      </c>
      <c r="D307" s="32">
        <f t="shared" si="5"/>
        <v>500</v>
      </c>
      <c r="E307" s="32">
        <f t="shared" si="5"/>
        <v>117</v>
      </c>
      <c r="F307" s="32">
        <f t="shared" si="5"/>
        <v>0</v>
      </c>
      <c r="G307" s="32">
        <f t="shared" si="5"/>
        <v>0</v>
      </c>
      <c r="H307" s="32">
        <f t="shared" si="5"/>
        <v>0</v>
      </c>
      <c r="I307" s="32">
        <f t="shared" si="5"/>
        <v>0</v>
      </c>
      <c r="J307" s="32">
        <f t="shared" si="5"/>
        <v>0</v>
      </c>
      <c r="K307" s="32">
        <f t="shared" si="4"/>
        <v>0</v>
      </c>
      <c r="L307" s="32">
        <f t="shared" si="4"/>
        <v>0</v>
      </c>
      <c r="M307" s="32"/>
      <c r="N307" s="32"/>
    </row>
    <row r="308" spans="1:14" x14ac:dyDescent="0.2">
      <c r="A308" s="5">
        <v>0</v>
      </c>
      <c r="B308" s="32">
        <f t="shared" si="5"/>
        <v>617</v>
      </c>
      <c r="C308" s="32">
        <f t="shared" si="5"/>
        <v>4.6500000000000004</v>
      </c>
      <c r="D308" s="32">
        <f t="shared" si="5"/>
        <v>500</v>
      </c>
      <c r="E308" s="32">
        <f t="shared" si="5"/>
        <v>117</v>
      </c>
      <c r="F308" s="32">
        <f t="shared" si="5"/>
        <v>0</v>
      </c>
      <c r="G308" s="32">
        <f t="shared" si="5"/>
        <v>0</v>
      </c>
      <c r="H308" s="32">
        <f t="shared" si="5"/>
        <v>0</v>
      </c>
      <c r="I308" s="32">
        <f t="shared" si="5"/>
        <v>0</v>
      </c>
      <c r="J308" s="32">
        <f t="shared" si="5"/>
        <v>0</v>
      </c>
      <c r="K308" s="32">
        <f t="shared" si="4"/>
        <v>0</v>
      </c>
      <c r="L308" s="32">
        <f t="shared" si="4"/>
        <v>0</v>
      </c>
      <c r="M308" s="32"/>
      <c r="N308" s="32"/>
    </row>
    <row r="309" spans="1:14" x14ac:dyDescent="0.2">
      <c r="A309" s="5">
        <v>0</v>
      </c>
      <c r="B309" s="32">
        <f t="shared" si="5"/>
        <v>617</v>
      </c>
      <c r="C309" s="32">
        <f t="shared" si="5"/>
        <v>4.6500000000000004</v>
      </c>
      <c r="D309" s="32">
        <f t="shared" si="5"/>
        <v>500</v>
      </c>
      <c r="E309" s="32">
        <f t="shared" si="5"/>
        <v>117</v>
      </c>
      <c r="F309" s="32">
        <f t="shared" si="5"/>
        <v>0</v>
      </c>
      <c r="G309" s="32">
        <f t="shared" si="5"/>
        <v>0</v>
      </c>
      <c r="H309" s="32">
        <f t="shared" si="5"/>
        <v>0</v>
      </c>
      <c r="I309" s="32">
        <f t="shared" si="5"/>
        <v>0</v>
      </c>
      <c r="J309" s="32">
        <f t="shared" si="5"/>
        <v>0</v>
      </c>
      <c r="K309" s="32">
        <f t="shared" si="4"/>
        <v>0</v>
      </c>
      <c r="L309" s="32">
        <f t="shared" si="4"/>
        <v>0</v>
      </c>
      <c r="M309" s="32"/>
      <c r="N309" s="32"/>
    </row>
    <row r="310" spans="1:14" x14ac:dyDescent="0.2">
      <c r="A310" s="5">
        <v>0</v>
      </c>
      <c r="B310" s="32">
        <f t="shared" si="5"/>
        <v>617</v>
      </c>
      <c r="C310" s="32">
        <f t="shared" si="5"/>
        <v>4.6500000000000004</v>
      </c>
      <c r="D310" s="32">
        <f t="shared" si="5"/>
        <v>500</v>
      </c>
      <c r="E310" s="32">
        <f t="shared" si="5"/>
        <v>117</v>
      </c>
      <c r="F310" s="32">
        <f t="shared" si="5"/>
        <v>0</v>
      </c>
      <c r="G310" s="32">
        <f t="shared" si="5"/>
        <v>0</v>
      </c>
      <c r="H310" s="32">
        <f t="shared" si="5"/>
        <v>0</v>
      </c>
      <c r="I310" s="32">
        <f t="shared" si="5"/>
        <v>0</v>
      </c>
      <c r="J310" s="32">
        <f t="shared" si="5"/>
        <v>0</v>
      </c>
      <c r="K310" s="32">
        <f t="shared" si="4"/>
        <v>0</v>
      </c>
      <c r="L310" s="32">
        <f t="shared" si="4"/>
        <v>0</v>
      </c>
      <c r="M310" s="32"/>
      <c r="N310" s="32"/>
    </row>
    <row r="311" spans="1:14" x14ac:dyDescent="0.2">
      <c r="A311" s="5">
        <v>0</v>
      </c>
      <c r="B311" s="32">
        <f t="shared" si="5"/>
        <v>617</v>
      </c>
      <c r="C311" s="32">
        <f t="shared" si="5"/>
        <v>4.6500000000000004</v>
      </c>
      <c r="D311" s="32">
        <f t="shared" si="5"/>
        <v>500</v>
      </c>
      <c r="E311" s="32">
        <f t="shared" si="5"/>
        <v>117</v>
      </c>
      <c r="F311" s="32">
        <f t="shared" si="5"/>
        <v>0</v>
      </c>
      <c r="G311" s="32">
        <f t="shared" si="5"/>
        <v>0</v>
      </c>
      <c r="H311" s="32">
        <f t="shared" si="5"/>
        <v>0</v>
      </c>
      <c r="I311" s="32">
        <f t="shared" si="5"/>
        <v>0</v>
      </c>
      <c r="J311" s="32">
        <f t="shared" si="5"/>
        <v>0</v>
      </c>
      <c r="K311" s="32">
        <f t="shared" si="4"/>
        <v>0</v>
      </c>
      <c r="L311" s="32">
        <f t="shared" si="4"/>
        <v>0</v>
      </c>
      <c r="M311" s="32"/>
      <c r="N311" s="32"/>
    </row>
    <row r="312" spans="1:14" x14ac:dyDescent="0.2">
      <c r="A312" s="5">
        <v>0</v>
      </c>
      <c r="B312" s="32">
        <f t="shared" si="5"/>
        <v>617</v>
      </c>
      <c r="C312" s="32">
        <f t="shared" si="5"/>
        <v>4.6500000000000004</v>
      </c>
      <c r="D312" s="32">
        <f t="shared" si="5"/>
        <v>500</v>
      </c>
      <c r="E312" s="32">
        <f t="shared" si="5"/>
        <v>117</v>
      </c>
      <c r="F312" s="32">
        <f t="shared" si="5"/>
        <v>0</v>
      </c>
      <c r="G312" s="32">
        <f t="shared" si="5"/>
        <v>0</v>
      </c>
      <c r="H312" s="32">
        <f t="shared" si="5"/>
        <v>0</v>
      </c>
      <c r="I312" s="32">
        <f t="shared" si="5"/>
        <v>0</v>
      </c>
      <c r="J312" s="32">
        <f t="shared" si="5"/>
        <v>0</v>
      </c>
      <c r="K312" s="32">
        <f t="shared" si="4"/>
        <v>0</v>
      </c>
      <c r="L312" s="32">
        <f t="shared" si="4"/>
        <v>0</v>
      </c>
      <c r="M312" s="32"/>
      <c r="N312" s="32"/>
    </row>
    <row r="313" spans="1:14" x14ac:dyDescent="0.2">
      <c r="A313" s="5">
        <v>0</v>
      </c>
      <c r="B313" s="32">
        <f t="shared" si="5"/>
        <v>617</v>
      </c>
      <c r="C313" s="32">
        <f t="shared" si="5"/>
        <v>4.6500000000000004</v>
      </c>
      <c r="D313" s="32">
        <f t="shared" si="5"/>
        <v>500</v>
      </c>
      <c r="E313" s="32">
        <f t="shared" si="5"/>
        <v>117</v>
      </c>
      <c r="F313" s="32">
        <f t="shared" si="5"/>
        <v>0</v>
      </c>
      <c r="G313" s="32">
        <f t="shared" si="5"/>
        <v>0</v>
      </c>
      <c r="H313" s="32">
        <f t="shared" si="5"/>
        <v>0</v>
      </c>
      <c r="I313" s="32">
        <f t="shared" si="5"/>
        <v>0</v>
      </c>
      <c r="J313" s="32">
        <f t="shared" si="5"/>
        <v>0</v>
      </c>
      <c r="K313" s="32">
        <f t="shared" si="4"/>
        <v>0</v>
      </c>
      <c r="L313" s="32">
        <f t="shared" si="4"/>
        <v>0</v>
      </c>
      <c r="M313" s="32"/>
      <c r="N313" s="32"/>
    </row>
    <row r="314" spans="1:14" x14ac:dyDescent="0.2">
      <c r="A314" s="5">
        <v>0</v>
      </c>
      <c r="B314" s="32">
        <f t="shared" si="5"/>
        <v>617</v>
      </c>
      <c r="C314" s="32">
        <f t="shared" si="5"/>
        <v>4.6500000000000004</v>
      </c>
      <c r="D314" s="32">
        <f t="shared" si="5"/>
        <v>500</v>
      </c>
      <c r="E314" s="32">
        <f t="shared" si="5"/>
        <v>117</v>
      </c>
      <c r="F314" s="32">
        <f t="shared" si="5"/>
        <v>0</v>
      </c>
      <c r="G314" s="32">
        <f t="shared" si="5"/>
        <v>0</v>
      </c>
      <c r="H314" s="32">
        <f t="shared" si="5"/>
        <v>0</v>
      </c>
      <c r="I314" s="32">
        <f t="shared" si="5"/>
        <v>0</v>
      </c>
      <c r="J314" s="32">
        <f t="shared" si="5"/>
        <v>0</v>
      </c>
      <c r="K314" s="32">
        <f t="shared" si="4"/>
        <v>0</v>
      </c>
      <c r="L314" s="32">
        <f t="shared" si="4"/>
        <v>0</v>
      </c>
      <c r="M314" s="32"/>
      <c r="N314" s="32"/>
    </row>
    <row r="315" spans="1:14" x14ac:dyDescent="0.2">
      <c r="A315" s="5">
        <v>0</v>
      </c>
      <c r="B315" s="32">
        <f t="shared" si="5"/>
        <v>617</v>
      </c>
      <c r="C315" s="32">
        <f t="shared" si="5"/>
        <v>4.6500000000000004</v>
      </c>
      <c r="D315" s="32">
        <f t="shared" si="5"/>
        <v>500</v>
      </c>
      <c r="E315" s="32">
        <f t="shared" si="5"/>
        <v>117</v>
      </c>
      <c r="F315" s="32">
        <f t="shared" si="5"/>
        <v>0</v>
      </c>
      <c r="G315" s="32">
        <f t="shared" si="5"/>
        <v>0</v>
      </c>
      <c r="H315" s="32">
        <f t="shared" si="5"/>
        <v>0</v>
      </c>
      <c r="I315" s="32">
        <f t="shared" si="5"/>
        <v>0</v>
      </c>
      <c r="J315" s="32">
        <f t="shared" si="5"/>
        <v>0</v>
      </c>
      <c r="K315" s="32">
        <f t="shared" si="4"/>
        <v>0</v>
      </c>
      <c r="L315" s="32">
        <f t="shared" si="4"/>
        <v>0</v>
      </c>
      <c r="M315" s="32"/>
      <c r="N315" s="32"/>
    </row>
    <row r="316" spans="1:14" x14ac:dyDescent="0.2">
      <c r="A316" s="5">
        <v>0</v>
      </c>
      <c r="B316" s="32">
        <f t="shared" si="5"/>
        <v>617</v>
      </c>
      <c r="C316" s="32">
        <f t="shared" si="5"/>
        <v>4.6500000000000004</v>
      </c>
      <c r="D316" s="32">
        <f t="shared" si="5"/>
        <v>500</v>
      </c>
      <c r="E316" s="32">
        <f t="shared" si="5"/>
        <v>117</v>
      </c>
      <c r="F316" s="32">
        <f t="shared" si="5"/>
        <v>0</v>
      </c>
      <c r="G316" s="32">
        <f t="shared" si="5"/>
        <v>0</v>
      </c>
      <c r="H316" s="32">
        <f t="shared" si="5"/>
        <v>0</v>
      </c>
      <c r="I316" s="32">
        <f t="shared" si="5"/>
        <v>0</v>
      </c>
      <c r="J316" s="32">
        <f t="shared" si="5"/>
        <v>0</v>
      </c>
      <c r="K316" s="32">
        <f t="shared" si="4"/>
        <v>0</v>
      </c>
      <c r="L316" s="32">
        <f t="shared" si="4"/>
        <v>0</v>
      </c>
      <c r="M316" s="32"/>
      <c r="N316" s="32"/>
    </row>
    <row r="317" spans="1:14" x14ac:dyDescent="0.2">
      <c r="A317" s="5">
        <v>0</v>
      </c>
      <c r="B317" s="32">
        <f t="shared" si="5"/>
        <v>617</v>
      </c>
      <c r="C317" s="32">
        <f t="shared" si="5"/>
        <v>4.6500000000000004</v>
      </c>
      <c r="D317" s="32">
        <f t="shared" si="5"/>
        <v>500</v>
      </c>
      <c r="E317" s="32">
        <f t="shared" si="5"/>
        <v>117</v>
      </c>
      <c r="F317" s="32">
        <f t="shared" si="5"/>
        <v>0</v>
      </c>
      <c r="G317" s="32">
        <f t="shared" si="5"/>
        <v>0</v>
      </c>
      <c r="H317" s="32">
        <f t="shared" si="5"/>
        <v>0</v>
      </c>
      <c r="I317" s="32">
        <f t="shared" si="5"/>
        <v>0</v>
      </c>
      <c r="J317" s="32">
        <f t="shared" si="5"/>
        <v>0</v>
      </c>
      <c r="K317" s="32">
        <f t="shared" si="4"/>
        <v>0</v>
      </c>
      <c r="L317" s="32">
        <f t="shared" si="4"/>
        <v>0</v>
      </c>
      <c r="M317" s="32"/>
      <c r="N317" s="32"/>
    </row>
    <row r="318" spans="1:14" x14ac:dyDescent="0.2">
      <c r="A318" s="5">
        <v>0</v>
      </c>
      <c r="B318" s="32">
        <f t="shared" si="5"/>
        <v>617</v>
      </c>
      <c r="C318" s="32">
        <f t="shared" si="5"/>
        <v>4.6500000000000004</v>
      </c>
      <c r="D318" s="32">
        <f t="shared" si="5"/>
        <v>500</v>
      </c>
      <c r="E318" s="32">
        <f t="shared" si="5"/>
        <v>117</v>
      </c>
      <c r="F318" s="32">
        <f t="shared" si="5"/>
        <v>0</v>
      </c>
      <c r="G318" s="32">
        <f t="shared" si="5"/>
        <v>0</v>
      </c>
      <c r="H318" s="32">
        <f t="shared" si="5"/>
        <v>0</v>
      </c>
      <c r="I318" s="32">
        <f t="shared" si="5"/>
        <v>0</v>
      </c>
      <c r="J318" s="32">
        <f t="shared" si="5"/>
        <v>0</v>
      </c>
      <c r="K318" s="32">
        <f t="shared" ref="K318:L349" si="6">O41</f>
        <v>0</v>
      </c>
      <c r="L318" s="32">
        <f t="shared" si="6"/>
        <v>0</v>
      </c>
      <c r="M318" s="32"/>
      <c r="N318" s="32"/>
    </row>
    <row r="319" spans="1:14" x14ac:dyDescent="0.2">
      <c r="A319" s="5">
        <v>0</v>
      </c>
      <c r="B319" s="32">
        <f t="shared" si="5"/>
        <v>617</v>
      </c>
      <c r="C319" s="32">
        <f t="shared" si="5"/>
        <v>4.6500000000000004</v>
      </c>
      <c r="D319" s="32">
        <f t="shared" si="5"/>
        <v>500</v>
      </c>
      <c r="E319" s="32">
        <f t="shared" si="5"/>
        <v>117</v>
      </c>
      <c r="F319" s="32">
        <f t="shared" si="5"/>
        <v>0</v>
      </c>
      <c r="G319" s="32">
        <f t="shared" si="5"/>
        <v>0</v>
      </c>
      <c r="H319" s="32">
        <f t="shared" si="5"/>
        <v>0</v>
      </c>
      <c r="I319" s="32">
        <f t="shared" si="5"/>
        <v>0</v>
      </c>
      <c r="J319" s="32">
        <f t="shared" si="5"/>
        <v>0</v>
      </c>
      <c r="K319" s="32">
        <f t="shared" si="6"/>
        <v>0</v>
      </c>
      <c r="L319" s="32">
        <f t="shared" si="6"/>
        <v>0</v>
      </c>
      <c r="M319" s="32"/>
      <c r="N319" s="32"/>
    </row>
    <row r="320" spans="1:14" x14ac:dyDescent="0.2">
      <c r="A320" s="5">
        <v>0</v>
      </c>
      <c r="B320" s="32">
        <f t="shared" si="5"/>
        <v>617</v>
      </c>
      <c r="C320" s="32">
        <f t="shared" si="5"/>
        <v>4.6500000000000004</v>
      </c>
      <c r="D320" s="32">
        <f t="shared" si="5"/>
        <v>500</v>
      </c>
      <c r="E320" s="32">
        <f t="shared" si="5"/>
        <v>117</v>
      </c>
      <c r="F320" s="32">
        <f t="shared" si="5"/>
        <v>0</v>
      </c>
      <c r="G320" s="32">
        <f t="shared" si="5"/>
        <v>0</v>
      </c>
      <c r="H320" s="32">
        <f t="shared" si="5"/>
        <v>0</v>
      </c>
      <c r="I320" s="32">
        <f t="shared" si="5"/>
        <v>0</v>
      </c>
      <c r="J320" s="32">
        <f t="shared" si="5"/>
        <v>0</v>
      </c>
      <c r="K320" s="32">
        <f t="shared" si="6"/>
        <v>0</v>
      </c>
      <c r="L320" s="32">
        <f t="shared" si="6"/>
        <v>0</v>
      </c>
      <c r="M320" s="32"/>
      <c r="N320" s="32"/>
    </row>
    <row r="321" spans="1:14" x14ac:dyDescent="0.2">
      <c r="A321" s="5">
        <v>0</v>
      </c>
      <c r="B321" s="32">
        <f t="shared" si="5"/>
        <v>617</v>
      </c>
      <c r="C321" s="32">
        <f t="shared" si="5"/>
        <v>4.6500000000000004</v>
      </c>
      <c r="D321" s="32">
        <f t="shared" si="5"/>
        <v>500</v>
      </c>
      <c r="E321" s="32">
        <f t="shared" si="5"/>
        <v>117</v>
      </c>
      <c r="F321" s="32">
        <f t="shared" si="5"/>
        <v>0</v>
      </c>
      <c r="G321" s="32">
        <f t="shared" si="5"/>
        <v>0</v>
      </c>
      <c r="H321" s="32">
        <f t="shared" si="5"/>
        <v>0</v>
      </c>
      <c r="I321" s="32">
        <f t="shared" si="5"/>
        <v>0</v>
      </c>
      <c r="J321" s="32">
        <f t="shared" si="5"/>
        <v>0</v>
      </c>
      <c r="K321" s="32">
        <f t="shared" si="6"/>
        <v>0</v>
      </c>
      <c r="L321" s="32">
        <f t="shared" si="6"/>
        <v>0</v>
      </c>
      <c r="M321" s="32"/>
      <c r="N321" s="32"/>
    </row>
    <row r="322" spans="1:14" x14ac:dyDescent="0.2">
      <c r="A322" s="5">
        <v>0</v>
      </c>
      <c r="B322" s="32">
        <f t="shared" si="5"/>
        <v>617</v>
      </c>
      <c r="C322" s="32">
        <f t="shared" si="5"/>
        <v>4.6500000000000004</v>
      </c>
      <c r="D322" s="32">
        <f t="shared" si="5"/>
        <v>500</v>
      </c>
      <c r="E322" s="32">
        <f t="shared" si="5"/>
        <v>117</v>
      </c>
      <c r="F322" s="32">
        <f t="shared" si="5"/>
        <v>0</v>
      </c>
      <c r="G322" s="32">
        <f t="shared" si="5"/>
        <v>0</v>
      </c>
      <c r="H322" s="32">
        <f t="shared" si="5"/>
        <v>0</v>
      </c>
      <c r="I322" s="32">
        <f t="shared" si="5"/>
        <v>0</v>
      </c>
      <c r="J322" s="32">
        <f t="shared" si="5"/>
        <v>0</v>
      </c>
      <c r="K322" s="32">
        <f t="shared" si="6"/>
        <v>0</v>
      </c>
      <c r="L322" s="32">
        <f t="shared" si="6"/>
        <v>0</v>
      </c>
      <c r="M322" s="32"/>
      <c r="N322" s="32"/>
    </row>
    <row r="323" spans="1:14" x14ac:dyDescent="0.2">
      <c r="A323" s="5">
        <v>0</v>
      </c>
      <c r="B323" s="32">
        <f t="shared" si="5"/>
        <v>617</v>
      </c>
      <c r="C323" s="32">
        <f t="shared" si="5"/>
        <v>4.6500000000000004</v>
      </c>
      <c r="D323" s="32">
        <f t="shared" si="5"/>
        <v>500</v>
      </c>
      <c r="E323" s="32">
        <f t="shared" si="5"/>
        <v>117</v>
      </c>
      <c r="F323" s="32">
        <f t="shared" si="5"/>
        <v>0</v>
      </c>
      <c r="G323" s="32">
        <f t="shared" si="5"/>
        <v>0</v>
      </c>
      <c r="H323" s="32">
        <f t="shared" si="5"/>
        <v>0</v>
      </c>
      <c r="I323" s="32">
        <f t="shared" si="5"/>
        <v>0</v>
      </c>
      <c r="J323" s="32">
        <f t="shared" si="5"/>
        <v>0</v>
      </c>
      <c r="K323" s="32">
        <f t="shared" si="6"/>
        <v>0</v>
      </c>
      <c r="L323" s="32">
        <f t="shared" si="6"/>
        <v>0</v>
      </c>
      <c r="M323" s="32"/>
      <c r="N323" s="32"/>
    </row>
    <row r="324" spans="1:14" x14ac:dyDescent="0.2">
      <c r="A324" s="5">
        <v>0</v>
      </c>
      <c r="B324" s="32">
        <f t="shared" si="5"/>
        <v>617</v>
      </c>
      <c r="C324" s="32">
        <f t="shared" si="5"/>
        <v>4.6500000000000004</v>
      </c>
      <c r="D324" s="32">
        <f t="shared" si="5"/>
        <v>500</v>
      </c>
      <c r="E324" s="32">
        <f t="shared" si="5"/>
        <v>117</v>
      </c>
      <c r="F324" s="32">
        <f t="shared" si="5"/>
        <v>0</v>
      </c>
      <c r="G324" s="32">
        <f t="shared" si="5"/>
        <v>0</v>
      </c>
      <c r="H324" s="32">
        <f t="shared" si="5"/>
        <v>0</v>
      </c>
      <c r="I324" s="32">
        <f t="shared" si="5"/>
        <v>0</v>
      </c>
      <c r="J324" s="32">
        <f t="shared" si="5"/>
        <v>0</v>
      </c>
      <c r="K324" s="32">
        <f t="shared" si="6"/>
        <v>0</v>
      </c>
      <c r="L324" s="32">
        <f t="shared" si="6"/>
        <v>0</v>
      </c>
      <c r="M324" s="32"/>
      <c r="N324" s="32"/>
    </row>
    <row r="325" spans="1:14" x14ac:dyDescent="0.2">
      <c r="A325" s="5">
        <v>0</v>
      </c>
      <c r="B325" s="32">
        <f t="shared" ref="B325:J353" si="7">D48</f>
        <v>617</v>
      </c>
      <c r="C325" s="32">
        <f t="shared" si="7"/>
        <v>4.6500000000000004</v>
      </c>
      <c r="D325" s="32">
        <f t="shared" si="7"/>
        <v>500</v>
      </c>
      <c r="E325" s="32">
        <f t="shared" si="7"/>
        <v>117</v>
      </c>
      <c r="F325" s="32">
        <f t="shared" si="7"/>
        <v>0</v>
      </c>
      <c r="G325" s="32">
        <f t="shared" si="7"/>
        <v>0</v>
      </c>
      <c r="H325" s="32">
        <f t="shared" si="7"/>
        <v>0</v>
      </c>
      <c r="I325" s="32">
        <f t="shared" si="7"/>
        <v>0</v>
      </c>
      <c r="J325" s="32">
        <f t="shared" si="7"/>
        <v>0</v>
      </c>
      <c r="K325" s="32">
        <f t="shared" si="6"/>
        <v>0</v>
      </c>
      <c r="L325" s="32">
        <f t="shared" si="6"/>
        <v>0</v>
      </c>
      <c r="M325" s="32"/>
      <c r="N325" s="32"/>
    </row>
    <row r="326" spans="1:14" x14ac:dyDescent="0.2">
      <c r="A326" s="5">
        <v>0</v>
      </c>
      <c r="B326" s="32">
        <f t="shared" si="7"/>
        <v>617</v>
      </c>
      <c r="C326" s="32">
        <f t="shared" si="7"/>
        <v>4.6500000000000004</v>
      </c>
      <c r="D326" s="32">
        <f t="shared" si="7"/>
        <v>500</v>
      </c>
      <c r="E326" s="32">
        <f t="shared" si="7"/>
        <v>117</v>
      </c>
      <c r="F326" s="32">
        <f t="shared" si="7"/>
        <v>0</v>
      </c>
      <c r="G326" s="32">
        <f t="shared" si="7"/>
        <v>0</v>
      </c>
      <c r="H326" s="32">
        <f t="shared" si="7"/>
        <v>0</v>
      </c>
      <c r="I326" s="32">
        <f t="shared" si="7"/>
        <v>0</v>
      </c>
      <c r="J326" s="32">
        <f t="shared" si="7"/>
        <v>0</v>
      </c>
      <c r="K326" s="32">
        <f t="shared" si="6"/>
        <v>0</v>
      </c>
      <c r="L326" s="32">
        <f t="shared" si="6"/>
        <v>0</v>
      </c>
      <c r="M326" s="32"/>
      <c r="N326" s="32"/>
    </row>
    <row r="327" spans="1:14" x14ac:dyDescent="0.2">
      <c r="A327" s="5">
        <v>0</v>
      </c>
      <c r="B327" s="32">
        <f t="shared" si="7"/>
        <v>617</v>
      </c>
      <c r="C327" s="32">
        <f t="shared" si="7"/>
        <v>4.6500000000000004</v>
      </c>
      <c r="D327" s="32">
        <f t="shared" si="7"/>
        <v>500</v>
      </c>
      <c r="E327" s="32">
        <f t="shared" si="7"/>
        <v>117</v>
      </c>
      <c r="F327" s="32">
        <f t="shared" si="7"/>
        <v>0</v>
      </c>
      <c r="G327" s="32">
        <f t="shared" si="7"/>
        <v>0</v>
      </c>
      <c r="H327" s="32">
        <f t="shared" si="7"/>
        <v>0</v>
      </c>
      <c r="I327" s="32">
        <f t="shared" si="7"/>
        <v>0</v>
      </c>
      <c r="J327" s="32">
        <f t="shared" si="7"/>
        <v>0</v>
      </c>
      <c r="K327" s="32">
        <f t="shared" si="6"/>
        <v>0</v>
      </c>
      <c r="L327" s="32">
        <f t="shared" si="6"/>
        <v>0</v>
      </c>
      <c r="M327" s="32"/>
      <c r="N327" s="32"/>
    </row>
    <row r="328" spans="1:14" x14ac:dyDescent="0.2">
      <c r="A328" s="5">
        <v>0</v>
      </c>
      <c r="B328" s="32">
        <f t="shared" si="7"/>
        <v>617</v>
      </c>
      <c r="C328" s="32">
        <f t="shared" si="7"/>
        <v>4.6500000000000004</v>
      </c>
      <c r="D328" s="32">
        <f t="shared" si="7"/>
        <v>500</v>
      </c>
      <c r="E328" s="32">
        <f t="shared" si="7"/>
        <v>117</v>
      </c>
      <c r="F328" s="32">
        <f t="shared" si="7"/>
        <v>0</v>
      </c>
      <c r="G328" s="32">
        <f t="shared" si="7"/>
        <v>0</v>
      </c>
      <c r="H328" s="32">
        <f t="shared" si="7"/>
        <v>0</v>
      </c>
      <c r="I328" s="32">
        <f t="shared" si="7"/>
        <v>0</v>
      </c>
      <c r="J328" s="32">
        <f t="shared" si="7"/>
        <v>0</v>
      </c>
      <c r="K328" s="32">
        <f t="shared" si="6"/>
        <v>0</v>
      </c>
      <c r="L328" s="32">
        <f t="shared" si="6"/>
        <v>0</v>
      </c>
      <c r="M328" s="32"/>
      <c r="N328" s="32"/>
    </row>
    <row r="329" spans="1:14" x14ac:dyDescent="0.2">
      <c r="A329" s="5">
        <v>0</v>
      </c>
      <c r="B329" s="32">
        <f t="shared" si="7"/>
        <v>617</v>
      </c>
      <c r="C329" s="32">
        <f t="shared" si="7"/>
        <v>4.6500000000000004</v>
      </c>
      <c r="D329" s="32">
        <f t="shared" si="7"/>
        <v>500</v>
      </c>
      <c r="E329" s="32">
        <f t="shared" si="7"/>
        <v>117</v>
      </c>
      <c r="F329" s="32">
        <f t="shared" si="7"/>
        <v>0</v>
      </c>
      <c r="G329" s="32">
        <f t="shared" si="7"/>
        <v>0</v>
      </c>
      <c r="H329" s="32">
        <f t="shared" si="7"/>
        <v>0</v>
      </c>
      <c r="I329" s="32">
        <f t="shared" si="7"/>
        <v>0</v>
      </c>
      <c r="J329" s="32">
        <f t="shared" si="7"/>
        <v>0</v>
      </c>
      <c r="K329" s="32">
        <f t="shared" si="6"/>
        <v>0</v>
      </c>
      <c r="L329" s="32">
        <f t="shared" si="6"/>
        <v>0</v>
      </c>
      <c r="M329" s="32"/>
      <c r="N329" s="32"/>
    </row>
    <row r="330" spans="1:14" x14ac:dyDescent="0.2">
      <c r="A330" s="5">
        <v>0</v>
      </c>
      <c r="B330" s="32">
        <f t="shared" si="7"/>
        <v>617</v>
      </c>
      <c r="C330" s="32">
        <f t="shared" si="7"/>
        <v>4.6500000000000004</v>
      </c>
      <c r="D330" s="32">
        <f t="shared" si="7"/>
        <v>500</v>
      </c>
      <c r="E330" s="32">
        <f t="shared" si="7"/>
        <v>117</v>
      </c>
      <c r="F330" s="32">
        <f t="shared" si="7"/>
        <v>0</v>
      </c>
      <c r="G330" s="32">
        <f t="shared" si="7"/>
        <v>0</v>
      </c>
      <c r="H330" s="32">
        <f t="shared" si="7"/>
        <v>0</v>
      </c>
      <c r="I330" s="32">
        <f t="shared" si="7"/>
        <v>0</v>
      </c>
      <c r="J330" s="32">
        <f t="shared" si="7"/>
        <v>0</v>
      </c>
      <c r="K330" s="32">
        <f t="shared" si="6"/>
        <v>0</v>
      </c>
      <c r="L330" s="32">
        <f t="shared" si="6"/>
        <v>0</v>
      </c>
      <c r="M330" s="32"/>
      <c r="N330" s="32"/>
    </row>
    <row r="331" spans="1:14" x14ac:dyDescent="0.2">
      <c r="A331" s="5">
        <v>0</v>
      </c>
      <c r="B331" s="32">
        <f t="shared" si="7"/>
        <v>617</v>
      </c>
      <c r="C331" s="32">
        <f t="shared" si="7"/>
        <v>4.6500000000000004</v>
      </c>
      <c r="D331" s="32">
        <f t="shared" si="7"/>
        <v>500</v>
      </c>
      <c r="E331" s="32">
        <f t="shared" si="7"/>
        <v>117</v>
      </c>
      <c r="F331" s="32">
        <f t="shared" si="7"/>
        <v>0</v>
      </c>
      <c r="G331" s="32">
        <f t="shared" si="7"/>
        <v>0</v>
      </c>
      <c r="H331" s="32">
        <f t="shared" si="7"/>
        <v>0</v>
      </c>
      <c r="I331" s="32">
        <f t="shared" si="7"/>
        <v>0</v>
      </c>
      <c r="J331" s="32">
        <f t="shared" si="7"/>
        <v>0</v>
      </c>
      <c r="K331" s="32">
        <f t="shared" si="6"/>
        <v>0</v>
      </c>
      <c r="L331" s="32">
        <f t="shared" si="6"/>
        <v>0</v>
      </c>
      <c r="M331" s="32"/>
      <c r="N331" s="32"/>
    </row>
    <row r="332" spans="1:14" x14ac:dyDescent="0.2">
      <c r="A332" s="5">
        <v>0</v>
      </c>
      <c r="B332" s="32">
        <f t="shared" si="7"/>
        <v>617</v>
      </c>
      <c r="C332" s="32">
        <f t="shared" si="7"/>
        <v>4.6500000000000004</v>
      </c>
      <c r="D332" s="32">
        <f t="shared" si="7"/>
        <v>500</v>
      </c>
      <c r="E332" s="32">
        <f t="shared" si="7"/>
        <v>117</v>
      </c>
      <c r="F332" s="32">
        <f t="shared" si="7"/>
        <v>0</v>
      </c>
      <c r="G332" s="32">
        <f t="shared" si="7"/>
        <v>0</v>
      </c>
      <c r="H332" s="32">
        <f t="shared" si="7"/>
        <v>0</v>
      </c>
      <c r="I332" s="32">
        <f t="shared" si="7"/>
        <v>0</v>
      </c>
      <c r="J332" s="32">
        <f t="shared" si="7"/>
        <v>0</v>
      </c>
      <c r="K332" s="32">
        <f t="shared" si="6"/>
        <v>0</v>
      </c>
      <c r="L332" s="32">
        <f t="shared" si="6"/>
        <v>0</v>
      </c>
      <c r="M332" s="32"/>
      <c r="N332" s="32"/>
    </row>
    <row r="333" spans="1:14" x14ac:dyDescent="0.2">
      <c r="A333" s="5">
        <v>0</v>
      </c>
      <c r="B333" s="32">
        <f t="shared" si="7"/>
        <v>617</v>
      </c>
      <c r="C333" s="32">
        <f t="shared" si="7"/>
        <v>4.6500000000000004</v>
      </c>
      <c r="D333" s="32">
        <f t="shared" si="7"/>
        <v>500</v>
      </c>
      <c r="E333" s="32">
        <f t="shared" si="7"/>
        <v>117</v>
      </c>
      <c r="F333" s="32">
        <f t="shared" si="7"/>
        <v>0</v>
      </c>
      <c r="G333" s="32">
        <f t="shared" si="7"/>
        <v>0</v>
      </c>
      <c r="H333" s="32">
        <f t="shared" si="7"/>
        <v>0</v>
      </c>
      <c r="I333" s="32">
        <f t="shared" si="7"/>
        <v>0</v>
      </c>
      <c r="J333" s="32">
        <f t="shared" si="7"/>
        <v>0</v>
      </c>
      <c r="K333" s="32">
        <f t="shared" si="6"/>
        <v>0</v>
      </c>
      <c r="L333" s="32">
        <f t="shared" si="6"/>
        <v>0</v>
      </c>
      <c r="M333" s="32"/>
      <c r="N333" s="32"/>
    </row>
    <row r="334" spans="1:14" x14ac:dyDescent="0.2">
      <c r="A334" s="5">
        <v>0</v>
      </c>
      <c r="B334" s="32">
        <f t="shared" si="7"/>
        <v>617</v>
      </c>
      <c r="C334" s="32">
        <f t="shared" si="7"/>
        <v>4.6500000000000004</v>
      </c>
      <c r="D334" s="32">
        <f t="shared" si="7"/>
        <v>500</v>
      </c>
      <c r="E334" s="32">
        <f t="shared" si="7"/>
        <v>117</v>
      </c>
      <c r="F334" s="32">
        <f t="shared" si="7"/>
        <v>0</v>
      </c>
      <c r="G334" s="32">
        <f t="shared" si="7"/>
        <v>0</v>
      </c>
      <c r="H334" s="32">
        <f t="shared" si="7"/>
        <v>0</v>
      </c>
      <c r="I334" s="32">
        <f t="shared" si="7"/>
        <v>0</v>
      </c>
      <c r="J334" s="32">
        <f t="shared" si="7"/>
        <v>0</v>
      </c>
      <c r="K334" s="32">
        <f t="shared" si="6"/>
        <v>0</v>
      </c>
      <c r="L334" s="32">
        <f t="shared" si="6"/>
        <v>0</v>
      </c>
      <c r="M334" s="32"/>
      <c r="N334" s="32"/>
    </row>
    <row r="335" spans="1:14" x14ac:dyDescent="0.2">
      <c r="A335" s="5">
        <v>0</v>
      </c>
      <c r="B335" s="32">
        <f t="shared" si="7"/>
        <v>617</v>
      </c>
      <c r="C335" s="32">
        <f t="shared" si="7"/>
        <v>4.6500000000000004</v>
      </c>
      <c r="D335" s="32">
        <f t="shared" si="7"/>
        <v>500</v>
      </c>
      <c r="E335" s="32">
        <f t="shared" si="7"/>
        <v>117</v>
      </c>
      <c r="F335" s="32">
        <f t="shared" si="7"/>
        <v>0</v>
      </c>
      <c r="G335" s="32">
        <f t="shared" si="7"/>
        <v>0</v>
      </c>
      <c r="H335" s="32">
        <f t="shared" si="7"/>
        <v>0</v>
      </c>
      <c r="I335" s="32">
        <f t="shared" si="7"/>
        <v>0</v>
      </c>
      <c r="J335" s="32">
        <f t="shared" si="7"/>
        <v>0</v>
      </c>
      <c r="K335" s="32">
        <f t="shared" si="6"/>
        <v>0</v>
      </c>
      <c r="L335" s="32">
        <f t="shared" si="6"/>
        <v>0</v>
      </c>
      <c r="M335" s="32"/>
      <c r="N335" s="32"/>
    </row>
    <row r="336" spans="1:14" x14ac:dyDescent="0.2">
      <c r="A336" s="5">
        <v>0</v>
      </c>
      <c r="B336" s="32">
        <f t="shared" si="7"/>
        <v>617</v>
      </c>
      <c r="C336" s="32">
        <f t="shared" si="7"/>
        <v>4.6500000000000004</v>
      </c>
      <c r="D336" s="32">
        <f t="shared" si="7"/>
        <v>500</v>
      </c>
      <c r="E336" s="32">
        <f t="shared" si="7"/>
        <v>117</v>
      </c>
      <c r="F336" s="32">
        <f t="shared" si="7"/>
        <v>0</v>
      </c>
      <c r="G336" s="32">
        <f t="shared" si="7"/>
        <v>0</v>
      </c>
      <c r="H336" s="32">
        <f t="shared" si="7"/>
        <v>0</v>
      </c>
      <c r="I336" s="32">
        <f t="shared" si="7"/>
        <v>0</v>
      </c>
      <c r="J336" s="32">
        <f t="shared" si="7"/>
        <v>0</v>
      </c>
      <c r="K336" s="32">
        <f t="shared" si="6"/>
        <v>0</v>
      </c>
      <c r="L336" s="32">
        <f t="shared" si="6"/>
        <v>0</v>
      </c>
      <c r="M336" s="32"/>
      <c r="N336" s="32"/>
    </row>
    <row r="337" spans="1:14" x14ac:dyDescent="0.2">
      <c r="A337" s="5">
        <v>0</v>
      </c>
      <c r="B337" s="32">
        <f t="shared" si="7"/>
        <v>617</v>
      </c>
      <c r="C337" s="32">
        <f t="shared" si="7"/>
        <v>4.6500000000000004</v>
      </c>
      <c r="D337" s="32">
        <f t="shared" si="7"/>
        <v>500</v>
      </c>
      <c r="E337" s="32">
        <f t="shared" si="7"/>
        <v>117</v>
      </c>
      <c r="F337" s="32">
        <f t="shared" si="7"/>
        <v>0</v>
      </c>
      <c r="G337" s="32">
        <f t="shared" si="7"/>
        <v>0</v>
      </c>
      <c r="H337" s="32">
        <f t="shared" si="7"/>
        <v>0</v>
      </c>
      <c r="I337" s="32">
        <f t="shared" si="7"/>
        <v>0</v>
      </c>
      <c r="J337" s="32">
        <f t="shared" si="7"/>
        <v>0</v>
      </c>
      <c r="K337" s="32">
        <f t="shared" si="6"/>
        <v>0</v>
      </c>
      <c r="L337" s="32">
        <f t="shared" si="6"/>
        <v>0</v>
      </c>
      <c r="M337" s="32"/>
      <c r="N337" s="32"/>
    </row>
    <row r="338" spans="1:14" x14ac:dyDescent="0.2">
      <c r="A338" s="5">
        <v>0</v>
      </c>
      <c r="B338" s="32">
        <f t="shared" si="7"/>
        <v>617</v>
      </c>
      <c r="C338" s="32">
        <f t="shared" si="7"/>
        <v>4.6500000000000004</v>
      </c>
      <c r="D338" s="32">
        <f t="shared" si="7"/>
        <v>500</v>
      </c>
      <c r="E338" s="32">
        <f t="shared" si="7"/>
        <v>117</v>
      </c>
      <c r="F338" s="32">
        <f t="shared" si="7"/>
        <v>0</v>
      </c>
      <c r="G338" s="32">
        <f t="shared" si="7"/>
        <v>0</v>
      </c>
      <c r="H338" s="32">
        <f t="shared" si="7"/>
        <v>0</v>
      </c>
      <c r="I338" s="32">
        <f t="shared" si="7"/>
        <v>0</v>
      </c>
      <c r="J338" s="32">
        <f t="shared" si="7"/>
        <v>0</v>
      </c>
      <c r="K338" s="32">
        <f t="shared" si="6"/>
        <v>0</v>
      </c>
      <c r="L338" s="32">
        <f t="shared" si="6"/>
        <v>0</v>
      </c>
      <c r="M338" s="32"/>
      <c r="N338" s="32"/>
    </row>
    <row r="339" spans="1:14" x14ac:dyDescent="0.2">
      <c r="A339" s="5">
        <v>0</v>
      </c>
      <c r="B339" s="32">
        <f t="shared" si="7"/>
        <v>617</v>
      </c>
      <c r="C339" s="32">
        <f t="shared" si="7"/>
        <v>4.6500000000000004</v>
      </c>
      <c r="D339" s="32">
        <f t="shared" si="7"/>
        <v>500</v>
      </c>
      <c r="E339" s="32">
        <f t="shared" si="7"/>
        <v>117</v>
      </c>
      <c r="F339" s="32">
        <f t="shared" si="7"/>
        <v>0</v>
      </c>
      <c r="G339" s="32">
        <f t="shared" si="7"/>
        <v>0</v>
      </c>
      <c r="H339" s="32">
        <f t="shared" si="7"/>
        <v>0</v>
      </c>
      <c r="I339" s="32">
        <f t="shared" si="7"/>
        <v>0</v>
      </c>
      <c r="J339" s="32">
        <f t="shared" si="7"/>
        <v>0</v>
      </c>
      <c r="K339" s="32">
        <f t="shared" si="6"/>
        <v>0</v>
      </c>
      <c r="L339" s="32">
        <f t="shared" si="6"/>
        <v>0</v>
      </c>
      <c r="M339" s="32"/>
      <c r="N339" s="32"/>
    </row>
    <row r="340" spans="1:14" x14ac:dyDescent="0.2">
      <c r="A340" s="5">
        <v>0</v>
      </c>
      <c r="B340" s="32">
        <f t="shared" si="7"/>
        <v>617</v>
      </c>
      <c r="C340" s="32">
        <f t="shared" si="7"/>
        <v>4.6500000000000004</v>
      </c>
      <c r="D340" s="32">
        <f t="shared" si="7"/>
        <v>500</v>
      </c>
      <c r="E340" s="32">
        <f t="shared" si="7"/>
        <v>117</v>
      </c>
      <c r="F340" s="32">
        <f t="shared" si="7"/>
        <v>0</v>
      </c>
      <c r="G340" s="32">
        <f t="shared" si="7"/>
        <v>0</v>
      </c>
      <c r="H340" s="32">
        <f t="shared" si="7"/>
        <v>0</v>
      </c>
      <c r="I340" s="32">
        <f t="shared" si="7"/>
        <v>0</v>
      </c>
      <c r="J340" s="32">
        <f t="shared" si="7"/>
        <v>0</v>
      </c>
      <c r="K340" s="32">
        <f t="shared" si="6"/>
        <v>0</v>
      </c>
      <c r="L340" s="32">
        <f t="shared" si="6"/>
        <v>0</v>
      </c>
      <c r="M340" s="32"/>
      <c r="N340" s="32"/>
    </row>
    <row r="341" spans="1:14" x14ac:dyDescent="0.2">
      <c r="A341" s="5">
        <v>0</v>
      </c>
      <c r="B341" s="32">
        <f t="shared" si="7"/>
        <v>617</v>
      </c>
      <c r="C341" s="32">
        <f t="shared" si="7"/>
        <v>4.6500000000000004</v>
      </c>
      <c r="D341" s="32">
        <f t="shared" si="7"/>
        <v>500</v>
      </c>
      <c r="E341" s="32">
        <f t="shared" si="7"/>
        <v>117</v>
      </c>
      <c r="F341" s="32">
        <f t="shared" si="7"/>
        <v>0</v>
      </c>
      <c r="G341" s="32">
        <f t="shared" si="7"/>
        <v>0</v>
      </c>
      <c r="H341" s="32">
        <f t="shared" si="7"/>
        <v>0</v>
      </c>
      <c r="I341" s="32">
        <f t="shared" si="7"/>
        <v>0</v>
      </c>
      <c r="J341" s="32">
        <f t="shared" si="7"/>
        <v>0</v>
      </c>
      <c r="K341" s="32">
        <f t="shared" si="6"/>
        <v>0</v>
      </c>
      <c r="L341" s="32">
        <f t="shared" si="6"/>
        <v>0</v>
      </c>
      <c r="M341" s="32"/>
      <c r="N341" s="32"/>
    </row>
    <row r="342" spans="1:14" x14ac:dyDescent="0.2">
      <c r="A342" s="5">
        <v>0</v>
      </c>
      <c r="B342" s="32">
        <f t="shared" si="7"/>
        <v>617</v>
      </c>
      <c r="C342" s="32">
        <f t="shared" si="7"/>
        <v>4.6500000000000004</v>
      </c>
      <c r="D342" s="32">
        <f t="shared" si="7"/>
        <v>500</v>
      </c>
      <c r="E342" s="32">
        <f t="shared" si="7"/>
        <v>117</v>
      </c>
      <c r="F342" s="32">
        <f t="shared" si="7"/>
        <v>0</v>
      </c>
      <c r="G342" s="32">
        <f t="shared" si="7"/>
        <v>0</v>
      </c>
      <c r="H342" s="32">
        <f t="shared" si="7"/>
        <v>0</v>
      </c>
      <c r="I342" s="32">
        <f t="shared" si="7"/>
        <v>0</v>
      </c>
      <c r="J342" s="32">
        <f t="shared" si="7"/>
        <v>0</v>
      </c>
      <c r="K342" s="32">
        <f t="shared" si="6"/>
        <v>0</v>
      </c>
      <c r="L342" s="32">
        <f t="shared" si="6"/>
        <v>0</v>
      </c>
      <c r="M342" s="32"/>
      <c r="N342" s="32"/>
    </row>
    <row r="343" spans="1:14" x14ac:dyDescent="0.2">
      <c r="A343" s="5">
        <v>0</v>
      </c>
      <c r="B343" s="32">
        <f t="shared" si="7"/>
        <v>617</v>
      </c>
      <c r="C343" s="32">
        <f t="shared" si="7"/>
        <v>4.6500000000000004</v>
      </c>
      <c r="D343" s="32">
        <f t="shared" si="7"/>
        <v>500</v>
      </c>
      <c r="E343" s="32">
        <f t="shared" si="7"/>
        <v>117</v>
      </c>
      <c r="F343" s="32">
        <f t="shared" si="7"/>
        <v>0</v>
      </c>
      <c r="G343" s="32">
        <f t="shared" si="7"/>
        <v>0</v>
      </c>
      <c r="H343" s="32">
        <f t="shared" si="7"/>
        <v>0</v>
      </c>
      <c r="I343" s="32">
        <f t="shared" si="7"/>
        <v>0</v>
      </c>
      <c r="J343" s="32">
        <f t="shared" si="7"/>
        <v>0</v>
      </c>
      <c r="K343" s="32">
        <f t="shared" si="6"/>
        <v>0</v>
      </c>
      <c r="L343" s="32">
        <f t="shared" si="6"/>
        <v>0</v>
      </c>
      <c r="M343" s="32"/>
      <c r="N343" s="32"/>
    </row>
    <row r="344" spans="1:14" x14ac:dyDescent="0.2">
      <c r="A344" s="5">
        <v>0</v>
      </c>
      <c r="B344" s="32">
        <f t="shared" si="7"/>
        <v>617</v>
      </c>
      <c r="C344" s="32">
        <f t="shared" si="7"/>
        <v>4.6500000000000004</v>
      </c>
      <c r="D344" s="32">
        <f t="shared" si="7"/>
        <v>500</v>
      </c>
      <c r="E344" s="32">
        <f t="shared" si="7"/>
        <v>117</v>
      </c>
      <c r="F344" s="32">
        <f t="shared" si="7"/>
        <v>0</v>
      </c>
      <c r="G344" s="32">
        <f t="shared" si="7"/>
        <v>0</v>
      </c>
      <c r="H344" s="32">
        <f t="shared" si="7"/>
        <v>0</v>
      </c>
      <c r="I344" s="32">
        <f t="shared" si="7"/>
        <v>0</v>
      </c>
      <c r="J344" s="32">
        <f t="shared" si="7"/>
        <v>0</v>
      </c>
      <c r="K344" s="32">
        <f t="shared" si="6"/>
        <v>0</v>
      </c>
      <c r="L344" s="32">
        <f t="shared" si="6"/>
        <v>0</v>
      </c>
      <c r="M344" s="32"/>
      <c r="N344" s="32"/>
    </row>
    <row r="345" spans="1:14" x14ac:dyDescent="0.2">
      <c r="A345" s="5">
        <v>0</v>
      </c>
      <c r="B345" s="32">
        <f t="shared" si="7"/>
        <v>617</v>
      </c>
      <c r="C345" s="32">
        <f t="shared" si="7"/>
        <v>4.6500000000000004</v>
      </c>
      <c r="D345" s="32">
        <f t="shared" si="7"/>
        <v>500</v>
      </c>
      <c r="E345" s="32">
        <f t="shared" si="7"/>
        <v>117</v>
      </c>
      <c r="F345" s="32">
        <f t="shared" si="7"/>
        <v>0</v>
      </c>
      <c r="G345" s="32">
        <f t="shared" si="7"/>
        <v>0</v>
      </c>
      <c r="H345" s="32">
        <f t="shared" si="7"/>
        <v>0</v>
      </c>
      <c r="I345" s="32">
        <f t="shared" si="7"/>
        <v>0</v>
      </c>
      <c r="J345" s="32">
        <f t="shared" si="7"/>
        <v>0</v>
      </c>
      <c r="K345" s="32">
        <f t="shared" si="6"/>
        <v>0</v>
      </c>
      <c r="L345" s="32">
        <f t="shared" si="6"/>
        <v>0</v>
      </c>
      <c r="M345" s="32"/>
      <c r="N345" s="32"/>
    </row>
    <row r="346" spans="1:14" x14ac:dyDescent="0.2">
      <c r="A346" s="5">
        <v>0</v>
      </c>
      <c r="B346" s="32">
        <f t="shared" si="7"/>
        <v>617</v>
      </c>
      <c r="C346" s="32">
        <f t="shared" si="7"/>
        <v>4.6500000000000004</v>
      </c>
      <c r="D346" s="32">
        <f t="shared" si="7"/>
        <v>500</v>
      </c>
      <c r="E346" s="32">
        <f t="shared" si="7"/>
        <v>117</v>
      </c>
      <c r="F346" s="32">
        <f t="shared" si="7"/>
        <v>0</v>
      </c>
      <c r="G346" s="32">
        <f t="shared" si="7"/>
        <v>0</v>
      </c>
      <c r="H346" s="32">
        <f t="shared" si="7"/>
        <v>0</v>
      </c>
      <c r="I346" s="32">
        <f t="shared" si="7"/>
        <v>0</v>
      </c>
      <c r="J346" s="32">
        <f t="shared" si="7"/>
        <v>0</v>
      </c>
      <c r="K346" s="32">
        <f t="shared" si="6"/>
        <v>0</v>
      </c>
      <c r="L346" s="32">
        <f t="shared" si="6"/>
        <v>0</v>
      </c>
      <c r="M346" s="32"/>
      <c r="N346" s="32"/>
    </row>
    <row r="347" spans="1:14" x14ac:dyDescent="0.2">
      <c r="A347" s="5">
        <v>0</v>
      </c>
      <c r="B347" s="32">
        <f t="shared" si="7"/>
        <v>617</v>
      </c>
      <c r="C347" s="32">
        <f t="shared" si="7"/>
        <v>4.6500000000000004</v>
      </c>
      <c r="D347" s="32">
        <f t="shared" si="7"/>
        <v>500</v>
      </c>
      <c r="E347" s="32">
        <f t="shared" si="7"/>
        <v>117</v>
      </c>
      <c r="F347" s="32">
        <f t="shared" si="7"/>
        <v>0</v>
      </c>
      <c r="G347" s="32">
        <f t="shared" si="7"/>
        <v>0</v>
      </c>
      <c r="H347" s="32">
        <f t="shared" si="7"/>
        <v>0</v>
      </c>
      <c r="I347" s="32">
        <f t="shared" si="7"/>
        <v>0</v>
      </c>
      <c r="J347" s="32">
        <f t="shared" si="7"/>
        <v>0</v>
      </c>
      <c r="K347" s="32">
        <f t="shared" si="6"/>
        <v>0</v>
      </c>
      <c r="L347" s="32">
        <f t="shared" si="6"/>
        <v>0</v>
      </c>
      <c r="M347" s="32"/>
      <c r="N347" s="32"/>
    </row>
    <row r="348" spans="1:14" x14ac:dyDescent="0.2">
      <c r="A348" s="5">
        <v>0</v>
      </c>
      <c r="B348" s="32">
        <f t="shared" si="7"/>
        <v>617</v>
      </c>
      <c r="C348" s="32">
        <f t="shared" si="7"/>
        <v>4.6500000000000004</v>
      </c>
      <c r="D348" s="32">
        <f t="shared" si="7"/>
        <v>500</v>
      </c>
      <c r="E348" s="32">
        <f t="shared" si="7"/>
        <v>117</v>
      </c>
      <c r="F348" s="32">
        <f t="shared" si="7"/>
        <v>0</v>
      </c>
      <c r="G348" s="32">
        <f t="shared" si="7"/>
        <v>0</v>
      </c>
      <c r="H348" s="32">
        <f t="shared" si="7"/>
        <v>0</v>
      </c>
      <c r="I348" s="32">
        <f t="shared" si="7"/>
        <v>0</v>
      </c>
      <c r="J348" s="32">
        <f t="shared" si="7"/>
        <v>0</v>
      </c>
      <c r="K348" s="32">
        <f t="shared" si="6"/>
        <v>0</v>
      </c>
      <c r="L348" s="32">
        <f t="shared" si="6"/>
        <v>0</v>
      </c>
      <c r="M348" s="32"/>
      <c r="N348" s="32"/>
    </row>
    <row r="349" spans="1:14" x14ac:dyDescent="0.2">
      <c r="A349" s="5">
        <v>0</v>
      </c>
      <c r="B349" s="32">
        <f t="shared" si="7"/>
        <v>617</v>
      </c>
      <c r="C349" s="32">
        <f t="shared" si="7"/>
        <v>4.6500000000000004</v>
      </c>
      <c r="D349" s="32">
        <f t="shared" si="7"/>
        <v>500</v>
      </c>
      <c r="E349" s="32">
        <f t="shared" si="7"/>
        <v>117</v>
      </c>
      <c r="F349" s="32">
        <f t="shared" si="7"/>
        <v>0</v>
      </c>
      <c r="G349" s="32">
        <f t="shared" si="7"/>
        <v>0</v>
      </c>
      <c r="H349" s="32">
        <f t="shared" si="7"/>
        <v>0</v>
      </c>
      <c r="I349" s="32">
        <f t="shared" si="7"/>
        <v>0</v>
      </c>
      <c r="J349" s="32">
        <f t="shared" si="7"/>
        <v>0</v>
      </c>
      <c r="K349" s="32">
        <f t="shared" si="6"/>
        <v>0</v>
      </c>
      <c r="L349" s="32">
        <f t="shared" si="6"/>
        <v>0</v>
      </c>
      <c r="M349" s="32"/>
      <c r="N349" s="32"/>
    </row>
    <row r="350" spans="1:14" x14ac:dyDescent="0.2">
      <c r="A350" s="5">
        <v>0</v>
      </c>
      <c r="B350" s="32">
        <f t="shared" si="7"/>
        <v>617</v>
      </c>
      <c r="C350" s="32">
        <f t="shared" si="7"/>
        <v>4.6500000000000004</v>
      </c>
      <c r="D350" s="32">
        <f t="shared" si="7"/>
        <v>500</v>
      </c>
      <c r="E350" s="32">
        <f t="shared" si="7"/>
        <v>117</v>
      </c>
      <c r="F350" s="32">
        <f t="shared" si="7"/>
        <v>0</v>
      </c>
      <c r="G350" s="32">
        <f t="shared" si="7"/>
        <v>0</v>
      </c>
      <c r="H350" s="32">
        <f t="shared" si="7"/>
        <v>0</v>
      </c>
      <c r="I350" s="32">
        <f t="shared" si="7"/>
        <v>0</v>
      </c>
      <c r="J350" s="32">
        <f t="shared" si="7"/>
        <v>0</v>
      </c>
      <c r="K350" s="32">
        <f t="shared" ref="K350:L381" si="8">O73</f>
        <v>0</v>
      </c>
      <c r="L350" s="32">
        <f t="shared" si="8"/>
        <v>0</v>
      </c>
      <c r="M350" s="32"/>
      <c r="N350" s="32"/>
    </row>
    <row r="351" spans="1:14" x14ac:dyDescent="0.2">
      <c r="A351" s="5">
        <v>0</v>
      </c>
      <c r="B351" s="32">
        <f t="shared" si="7"/>
        <v>617</v>
      </c>
      <c r="C351" s="32">
        <f t="shared" si="7"/>
        <v>4.6500000000000004</v>
      </c>
      <c r="D351" s="32">
        <f t="shared" si="7"/>
        <v>500</v>
      </c>
      <c r="E351" s="32">
        <f t="shared" si="7"/>
        <v>117</v>
      </c>
      <c r="F351" s="32">
        <f t="shared" si="7"/>
        <v>0</v>
      </c>
      <c r="G351" s="32">
        <f t="shared" si="7"/>
        <v>0</v>
      </c>
      <c r="H351" s="32">
        <f t="shared" si="7"/>
        <v>0</v>
      </c>
      <c r="I351" s="32">
        <f t="shared" si="7"/>
        <v>0</v>
      </c>
      <c r="J351" s="32">
        <f t="shared" si="7"/>
        <v>0</v>
      </c>
      <c r="K351" s="32">
        <f t="shared" si="8"/>
        <v>0</v>
      </c>
      <c r="L351" s="32">
        <f t="shared" si="8"/>
        <v>0</v>
      </c>
      <c r="M351" s="32"/>
      <c r="N351" s="32"/>
    </row>
    <row r="352" spans="1:14" x14ac:dyDescent="0.2">
      <c r="A352" s="5">
        <v>0</v>
      </c>
      <c r="B352" s="32">
        <f t="shared" si="7"/>
        <v>617</v>
      </c>
      <c r="C352" s="32">
        <f t="shared" si="7"/>
        <v>4.6500000000000004</v>
      </c>
      <c r="D352" s="32">
        <f t="shared" si="7"/>
        <v>500</v>
      </c>
      <c r="E352" s="32">
        <f t="shared" si="7"/>
        <v>117</v>
      </c>
      <c r="F352" s="32">
        <f t="shared" si="7"/>
        <v>0</v>
      </c>
      <c r="G352" s="32">
        <f t="shared" si="7"/>
        <v>0</v>
      </c>
      <c r="H352" s="32">
        <f t="shared" si="7"/>
        <v>0</v>
      </c>
      <c r="I352" s="32">
        <f t="shared" si="7"/>
        <v>0</v>
      </c>
      <c r="J352" s="32">
        <f t="shared" si="7"/>
        <v>0</v>
      </c>
      <c r="K352" s="32">
        <f t="shared" si="8"/>
        <v>0</v>
      </c>
      <c r="L352" s="32">
        <f t="shared" si="8"/>
        <v>0</v>
      </c>
      <c r="M352" s="32"/>
      <c r="N352" s="32"/>
    </row>
    <row r="353" spans="1:14" x14ac:dyDescent="0.2">
      <c r="A353" s="5">
        <v>0</v>
      </c>
      <c r="B353" s="32">
        <f t="shared" si="7"/>
        <v>617</v>
      </c>
      <c r="C353" s="32">
        <f t="shared" si="7"/>
        <v>4.6500000000000004</v>
      </c>
      <c r="D353" s="32">
        <f t="shared" si="7"/>
        <v>500</v>
      </c>
      <c r="E353" s="32">
        <f t="shared" ref="B353:J381" si="9">G76</f>
        <v>117</v>
      </c>
      <c r="F353" s="32">
        <f t="shared" si="9"/>
        <v>0</v>
      </c>
      <c r="G353" s="32">
        <f t="shared" si="9"/>
        <v>0</v>
      </c>
      <c r="H353" s="32">
        <f t="shared" si="9"/>
        <v>0</v>
      </c>
      <c r="I353" s="32">
        <f t="shared" si="9"/>
        <v>0</v>
      </c>
      <c r="J353" s="32">
        <f t="shared" si="9"/>
        <v>0</v>
      </c>
      <c r="K353" s="32">
        <f t="shared" si="8"/>
        <v>0</v>
      </c>
      <c r="L353" s="32">
        <f t="shared" si="8"/>
        <v>0</v>
      </c>
      <c r="M353" s="32"/>
      <c r="N353" s="32"/>
    </row>
    <row r="354" spans="1:14" x14ac:dyDescent="0.2">
      <c r="A354" s="5">
        <v>0</v>
      </c>
      <c r="B354" s="32">
        <f t="shared" si="9"/>
        <v>617</v>
      </c>
      <c r="C354" s="32">
        <f t="shared" si="9"/>
        <v>4.6500000000000004</v>
      </c>
      <c r="D354" s="32">
        <f t="shared" si="9"/>
        <v>500</v>
      </c>
      <c r="E354" s="32">
        <f t="shared" si="9"/>
        <v>117</v>
      </c>
      <c r="F354" s="32">
        <f t="shared" si="9"/>
        <v>0</v>
      </c>
      <c r="G354" s="32">
        <f t="shared" si="9"/>
        <v>0</v>
      </c>
      <c r="H354" s="32">
        <f t="shared" si="9"/>
        <v>0</v>
      </c>
      <c r="I354" s="32">
        <f t="shared" si="9"/>
        <v>0</v>
      </c>
      <c r="J354" s="32">
        <f t="shared" si="9"/>
        <v>0</v>
      </c>
      <c r="K354" s="32">
        <f t="shared" si="8"/>
        <v>0</v>
      </c>
      <c r="L354" s="32">
        <f t="shared" si="8"/>
        <v>0</v>
      </c>
      <c r="M354" s="32"/>
      <c r="N354" s="32"/>
    </row>
    <row r="355" spans="1:14" x14ac:dyDescent="0.2">
      <c r="A355" s="5">
        <v>0</v>
      </c>
      <c r="B355" s="32">
        <f t="shared" si="9"/>
        <v>617</v>
      </c>
      <c r="C355" s="32">
        <f t="shared" si="9"/>
        <v>4.6500000000000004</v>
      </c>
      <c r="D355" s="32">
        <f t="shared" si="9"/>
        <v>500</v>
      </c>
      <c r="E355" s="32">
        <f t="shared" si="9"/>
        <v>117</v>
      </c>
      <c r="F355" s="32">
        <f t="shared" si="9"/>
        <v>0</v>
      </c>
      <c r="G355" s="32">
        <f t="shared" si="9"/>
        <v>0</v>
      </c>
      <c r="H355" s="32">
        <f t="shared" si="9"/>
        <v>0</v>
      </c>
      <c r="I355" s="32">
        <f t="shared" si="9"/>
        <v>0</v>
      </c>
      <c r="J355" s="32">
        <f t="shared" si="9"/>
        <v>0</v>
      </c>
      <c r="K355" s="32">
        <f t="shared" si="8"/>
        <v>0</v>
      </c>
      <c r="L355" s="32">
        <f t="shared" si="8"/>
        <v>0</v>
      </c>
      <c r="M355" s="32"/>
      <c r="N355" s="32"/>
    </row>
    <row r="356" spans="1:14" x14ac:dyDescent="0.2">
      <c r="A356" s="5">
        <v>0</v>
      </c>
      <c r="B356" s="32">
        <f t="shared" si="9"/>
        <v>617</v>
      </c>
      <c r="C356" s="32">
        <f t="shared" si="9"/>
        <v>4.6500000000000004</v>
      </c>
      <c r="D356" s="32">
        <f t="shared" si="9"/>
        <v>500</v>
      </c>
      <c r="E356" s="32">
        <f t="shared" si="9"/>
        <v>117</v>
      </c>
      <c r="F356" s="32">
        <f t="shared" si="9"/>
        <v>0</v>
      </c>
      <c r="G356" s="32">
        <f t="shared" si="9"/>
        <v>0</v>
      </c>
      <c r="H356" s="32">
        <f t="shared" si="9"/>
        <v>0</v>
      </c>
      <c r="I356" s="32">
        <f t="shared" si="9"/>
        <v>0</v>
      </c>
      <c r="J356" s="32">
        <f t="shared" si="9"/>
        <v>0</v>
      </c>
      <c r="K356" s="32">
        <f t="shared" si="8"/>
        <v>0</v>
      </c>
      <c r="L356" s="32">
        <f t="shared" si="8"/>
        <v>0</v>
      </c>
      <c r="M356" s="32"/>
      <c r="N356" s="32"/>
    </row>
    <row r="357" spans="1:14" x14ac:dyDescent="0.2">
      <c r="A357" s="5">
        <v>0</v>
      </c>
      <c r="B357" s="32">
        <f t="shared" si="9"/>
        <v>617</v>
      </c>
      <c r="C357" s="32">
        <f t="shared" si="9"/>
        <v>4.6500000000000004</v>
      </c>
      <c r="D357" s="32">
        <f t="shared" si="9"/>
        <v>500</v>
      </c>
      <c r="E357" s="32">
        <f t="shared" si="9"/>
        <v>117</v>
      </c>
      <c r="F357" s="32">
        <f t="shared" si="9"/>
        <v>0</v>
      </c>
      <c r="G357" s="32">
        <f t="shared" si="9"/>
        <v>0</v>
      </c>
      <c r="H357" s="32">
        <f t="shared" si="9"/>
        <v>0</v>
      </c>
      <c r="I357" s="32">
        <f t="shared" si="9"/>
        <v>0</v>
      </c>
      <c r="J357" s="32">
        <f t="shared" si="9"/>
        <v>0</v>
      </c>
      <c r="K357" s="32">
        <f t="shared" si="8"/>
        <v>0</v>
      </c>
      <c r="L357" s="32">
        <f t="shared" si="8"/>
        <v>0</v>
      </c>
      <c r="M357" s="32"/>
      <c r="N357" s="32"/>
    </row>
    <row r="358" spans="1:14" x14ac:dyDescent="0.2">
      <c r="A358" s="5">
        <v>0</v>
      </c>
      <c r="B358" s="32">
        <f t="shared" si="9"/>
        <v>617</v>
      </c>
      <c r="C358" s="32">
        <f t="shared" si="9"/>
        <v>4.6500000000000004</v>
      </c>
      <c r="D358" s="32">
        <f t="shared" si="9"/>
        <v>500</v>
      </c>
      <c r="E358" s="32">
        <f t="shared" si="9"/>
        <v>117</v>
      </c>
      <c r="F358" s="32">
        <f t="shared" si="9"/>
        <v>0</v>
      </c>
      <c r="G358" s="32">
        <f t="shared" si="9"/>
        <v>0</v>
      </c>
      <c r="H358" s="32">
        <f t="shared" si="9"/>
        <v>0</v>
      </c>
      <c r="I358" s="32">
        <f t="shared" si="9"/>
        <v>0</v>
      </c>
      <c r="J358" s="32">
        <f t="shared" si="9"/>
        <v>0</v>
      </c>
      <c r="K358" s="32">
        <f t="shared" si="8"/>
        <v>0</v>
      </c>
      <c r="L358" s="32">
        <f t="shared" si="8"/>
        <v>0</v>
      </c>
      <c r="M358" s="32"/>
      <c r="N358" s="32"/>
    </row>
    <row r="359" spans="1:14" x14ac:dyDescent="0.2">
      <c r="A359" s="5">
        <v>0</v>
      </c>
      <c r="B359" s="32">
        <f t="shared" si="9"/>
        <v>617</v>
      </c>
      <c r="C359" s="32">
        <f t="shared" si="9"/>
        <v>4.6500000000000004</v>
      </c>
      <c r="D359" s="32">
        <f t="shared" si="9"/>
        <v>500</v>
      </c>
      <c r="E359" s="32">
        <f t="shared" si="9"/>
        <v>117</v>
      </c>
      <c r="F359" s="32">
        <f t="shared" si="9"/>
        <v>0</v>
      </c>
      <c r="G359" s="32">
        <f t="shared" si="9"/>
        <v>0</v>
      </c>
      <c r="H359" s="32">
        <f t="shared" si="9"/>
        <v>0</v>
      </c>
      <c r="I359" s="32">
        <f t="shared" si="9"/>
        <v>0</v>
      </c>
      <c r="J359" s="32">
        <f t="shared" si="9"/>
        <v>0</v>
      </c>
      <c r="K359" s="32">
        <f t="shared" si="8"/>
        <v>0</v>
      </c>
      <c r="L359" s="32">
        <f t="shared" si="8"/>
        <v>0</v>
      </c>
      <c r="M359" s="32"/>
      <c r="N359" s="32"/>
    </row>
    <row r="360" spans="1:14" x14ac:dyDescent="0.2">
      <c r="A360" s="5">
        <v>0</v>
      </c>
      <c r="B360" s="32">
        <f t="shared" si="9"/>
        <v>617</v>
      </c>
      <c r="C360" s="32">
        <f t="shared" si="9"/>
        <v>4.6500000000000004</v>
      </c>
      <c r="D360" s="32">
        <f t="shared" si="9"/>
        <v>500</v>
      </c>
      <c r="E360" s="32">
        <f t="shared" si="9"/>
        <v>117</v>
      </c>
      <c r="F360" s="32">
        <f t="shared" si="9"/>
        <v>0</v>
      </c>
      <c r="G360" s="32">
        <f t="shared" si="9"/>
        <v>0</v>
      </c>
      <c r="H360" s="32">
        <f t="shared" si="9"/>
        <v>0</v>
      </c>
      <c r="I360" s="32">
        <f t="shared" si="9"/>
        <v>0</v>
      </c>
      <c r="J360" s="32">
        <f t="shared" si="9"/>
        <v>0</v>
      </c>
      <c r="K360" s="32">
        <f t="shared" si="8"/>
        <v>0</v>
      </c>
      <c r="L360" s="32">
        <f t="shared" si="8"/>
        <v>0</v>
      </c>
      <c r="M360" s="32"/>
      <c r="N360" s="32"/>
    </row>
    <row r="361" spans="1:14" x14ac:dyDescent="0.2">
      <c r="A361" s="5">
        <v>0</v>
      </c>
      <c r="B361" s="32">
        <f t="shared" si="9"/>
        <v>617</v>
      </c>
      <c r="C361" s="32">
        <f t="shared" si="9"/>
        <v>4.6500000000000004</v>
      </c>
      <c r="D361" s="32">
        <f t="shared" si="9"/>
        <v>500</v>
      </c>
      <c r="E361" s="32">
        <f t="shared" si="9"/>
        <v>117</v>
      </c>
      <c r="F361" s="32">
        <f t="shared" si="9"/>
        <v>0</v>
      </c>
      <c r="G361" s="32">
        <f t="shared" si="9"/>
        <v>0</v>
      </c>
      <c r="H361" s="32">
        <f t="shared" si="9"/>
        <v>0</v>
      </c>
      <c r="I361" s="32">
        <f t="shared" si="9"/>
        <v>0</v>
      </c>
      <c r="J361" s="32">
        <f t="shared" si="9"/>
        <v>0</v>
      </c>
      <c r="K361" s="32">
        <f t="shared" si="8"/>
        <v>0</v>
      </c>
      <c r="L361" s="32">
        <f t="shared" si="8"/>
        <v>0</v>
      </c>
      <c r="M361" s="32"/>
      <c r="N361" s="32"/>
    </row>
    <row r="362" spans="1:14" x14ac:dyDescent="0.2">
      <c r="A362" s="5">
        <v>0</v>
      </c>
      <c r="B362" s="32">
        <f t="shared" si="9"/>
        <v>617</v>
      </c>
      <c r="C362" s="32">
        <f t="shared" si="9"/>
        <v>4.6500000000000004</v>
      </c>
      <c r="D362" s="32">
        <f t="shared" si="9"/>
        <v>500</v>
      </c>
      <c r="E362" s="32">
        <f t="shared" si="9"/>
        <v>117</v>
      </c>
      <c r="F362" s="32">
        <f t="shared" si="9"/>
        <v>0</v>
      </c>
      <c r="G362" s="32">
        <f t="shared" si="9"/>
        <v>0</v>
      </c>
      <c r="H362" s="32">
        <f t="shared" si="9"/>
        <v>0</v>
      </c>
      <c r="I362" s="32">
        <f t="shared" si="9"/>
        <v>0</v>
      </c>
      <c r="J362" s="32">
        <f t="shared" si="9"/>
        <v>0</v>
      </c>
      <c r="K362" s="32">
        <f t="shared" si="8"/>
        <v>0</v>
      </c>
      <c r="L362" s="32">
        <f t="shared" si="8"/>
        <v>0</v>
      </c>
      <c r="M362" s="32"/>
      <c r="N362" s="32"/>
    </row>
    <row r="363" spans="1:14" x14ac:dyDescent="0.2">
      <c r="A363" s="5">
        <v>0</v>
      </c>
      <c r="B363" s="32">
        <f t="shared" si="9"/>
        <v>617</v>
      </c>
      <c r="C363" s="32">
        <f t="shared" si="9"/>
        <v>4.6500000000000004</v>
      </c>
      <c r="D363" s="32">
        <f t="shared" si="9"/>
        <v>500</v>
      </c>
      <c r="E363" s="32">
        <f t="shared" si="9"/>
        <v>117</v>
      </c>
      <c r="F363" s="32">
        <f t="shared" si="9"/>
        <v>0</v>
      </c>
      <c r="G363" s="32">
        <f t="shared" si="9"/>
        <v>0</v>
      </c>
      <c r="H363" s="32">
        <f t="shared" si="9"/>
        <v>0</v>
      </c>
      <c r="I363" s="32">
        <f t="shared" si="9"/>
        <v>0</v>
      </c>
      <c r="J363" s="32">
        <f t="shared" si="9"/>
        <v>0</v>
      </c>
      <c r="K363" s="32">
        <f t="shared" si="8"/>
        <v>0</v>
      </c>
      <c r="L363" s="32">
        <f t="shared" si="8"/>
        <v>0</v>
      </c>
      <c r="M363" s="32"/>
      <c r="N363" s="32"/>
    </row>
    <row r="364" spans="1:14" x14ac:dyDescent="0.2">
      <c r="A364" s="5">
        <v>0</v>
      </c>
      <c r="B364" s="32">
        <f t="shared" si="9"/>
        <v>617</v>
      </c>
      <c r="C364" s="32">
        <f t="shared" si="9"/>
        <v>4.6500000000000004</v>
      </c>
      <c r="D364" s="32">
        <f t="shared" si="9"/>
        <v>500</v>
      </c>
      <c r="E364" s="32">
        <f t="shared" si="9"/>
        <v>117</v>
      </c>
      <c r="F364" s="32">
        <f t="shared" si="9"/>
        <v>0</v>
      </c>
      <c r="G364" s="32">
        <f t="shared" si="9"/>
        <v>0</v>
      </c>
      <c r="H364" s="32">
        <f t="shared" si="9"/>
        <v>0</v>
      </c>
      <c r="I364" s="32">
        <f t="shared" si="9"/>
        <v>0</v>
      </c>
      <c r="J364" s="32">
        <f t="shared" si="9"/>
        <v>0</v>
      </c>
      <c r="K364" s="32">
        <f t="shared" si="8"/>
        <v>0</v>
      </c>
      <c r="L364" s="32">
        <f t="shared" si="8"/>
        <v>0</v>
      </c>
      <c r="M364" s="32"/>
      <c r="N364" s="32"/>
    </row>
    <row r="365" spans="1:14" x14ac:dyDescent="0.2">
      <c r="A365" s="5">
        <v>0</v>
      </c>
      <c r="B365" s="32">
        <f t="shared" si="9"/>
        <v>617</v>
      </c>
      <c r="C365" s="32">
        <f t="shared" si="9"/>
        <v>4.6500000000000004</v>
      </c>
      <c r="D365" s="32">
        <f t="shared" si="9"/>
        <v>500</v>
      </c>
      <c r="E365" s="32">
        <f t="shared" si="9"/>
        <v>117</v>
      </c>
      <c r="F365" s="32">
        <f t="shared" si="9"/>
        <v>0</v>
      </c>
      <c r="G365" s="32">
        <f t="shared" si="9"/>
        <v>0</v>
      </c>
      <c r="H365" s="32">
        <f t="shared" si="9"/>
        <v>0</v>
      </c>
      <c r="I365" s="32">
        <f t="shared" si="9"/>
        <v>0</v>
      </c>
      <c r="J365" s="32">
        <f t="shared" si="9"/>
        <v>0</v>
      </c>
      <c r="K365" s="32">
        <f t="shared" si="8"/>
        <v>0</v>
      </c>
      <c r="L365" s="32">
        <f t="shared" si="8"/>
        <v>0</v>
      </c>
      <c r="M365" s="32"/>
      <c r="N365" s="32"/>
    </row>
    <row r="366" spans="1:14" x14ac:dyDescent="0.2">
      <c r="A366" s="5">
        <v>0</v>
      </c>
      <c r="B366" s="32">
        <f t="shared" si="9"/>
        <v>617</v>
      </c>
      <c r="C366" s="32">
        <f t="shared" si="9"/>
        <v>4.6500000000000004</v>
      </c>
      <c r="D366" s="32">
        <f t="shared" si="9"/>
        <v>500</v>
      </c>
      <c r="E366" s="32">
        <f t="shared" si="9"/>
        <v>117</v>
      </c>
      <c r="F366" s="32">
        <f t="shared" si="9"/>
        <v>0</v>
      </c>
      <c r="G366" s="32">
        <f t="shared" si="9"/>
        <v>0</v>
      </c>
      <c r="H366" s="32">
        <f t="shared" si="9"/>
        <v>0</v>
      </c>
      <c r="I366" s="32">
        <f t="shared" si="9"/>
        <v>0</v>
      </c>
      <c r="J366" s="32">
        <f t="shared" si="9"/>
        <v>0</v>
      </c>
      <c r="K366" s="32">
        <f t="shared" si="8"/>
        <v>0</v>
      </c>
      <c r="L366" s="32">
        <f t="shared" si="8"/>
        <v>0</v>
      </c>
      <c r="M366" s="32"/>
      <c r="N366" s="32"/>
    </row>
    <row r="367" spans="1:14" x14ac:dyDescent="0.2">
      <c r="A367" s="5">
        <v>0</v>
      </c>
      <c r="B367" s="32">
        <f t="shared" si="9"/>
        <v>617</v>
      </c>
      <c r="C367" s="32">
        <f t="shared" si="9"/>
        <v>4.6500000000000004</v>
      </c>
      <c r="D367" s="32">
        <f t="shared" si="9"/>
        <v>500</v>
      </c>
      <c r="E367" s="32">
        <f t="shared" si="9"/>
        <v>117</v>
      </c>
      <c r="F367" s="32">
        <f t="shared" si="9"/>
        <v>0</v>
      </c>
      <c r="G367" s="32">
        <f t="shared" si="9"/>
        <v>0</v>
      </c>
      <c r="H367" s="32">
        <f t="shared" si="9"/>
        <v>0</v>
      </c>
      <c r="I367" s="32">
        <f t="shared" si="9"/>
        <v>0</v>
      </c>
      <c r="J367" s="32">
        <f t="shared" si="9"/>
        <v>0</v>
      </c>
      <c r="K367" s="32">
        <f t="shared" si="8"/>
        <v>0</v>
      </c>
      <c r="L367" s="32">
        <f t="shared" si="8"/>
        <v>0</v>
      </c>
      <c r="M367" s="32"/>
      <c r="N367" s="32"/>
    </row>
    <row r="368" spans="1:14" x14ac:dyDescent="0.2">
      <c r="A368" s="5">
        <v>0</v>
      </c>
      <c r="B368" s="32">
        <f t="shared" si="9"/>
        <v>617</v>
      </c>
      <c r="C368" s="32">
        <f t="shared" si="9"/>
        <v>4.6500000000000004</v>
      </c>
      <c r="D368" s="32">
        <f t="shared" si="9"/>
        <v>500</v>
      </c>
      <c r="E368" s="32">
        <f t="shared" si="9"/>
        <v>117</v>
      </c>
      <c r="F368" s="32">
        <f t="shared" si="9"/>
        <v>0</v>
      </c>
      <c r="G368" s="32">
        <f t="shared" si="9"/>
        <v>0</v>
      </c>
      <c r="H368" s="32">
        <f t="shared" si="9"/>
        <v>0</v>
      </c>
      <c r="I368" s="32">
        <f t="shared" si="9"/>
        <v>0</v>
      </c>
      <c r="J368" s="32">
        <f t="shared" si="9"/>
        <v>0</v>
      </c>
      <c r="K368" s="32">
        <f t="shared" si="8"/>
        <v>0</v>
      </c>
      <c r="L368" s="32">
        <f t="shared" si="8"/>
        <v>0</v>
      </c>
      <c r="M368" s="32"/>
      <c r="N368" s="32"/>
    </row>
    <row r="369" spans="1:14" x14ac:dyDescent="0.2">
      <c r="A369" s="5">
        <v>0</v>
      </c>
      <c r="B369" s="32">
        <f t="shared" si="9"/>
        <v>617</v>
      </c>
      <c r="C369" s="32">
        <f t="shared" si="9"/>
        <v>4.6500000000000004</v>
      </c>
      <c r="D369" s="32">
        <f t="shared" si="9"/>
        <v>500</v>
      </c>
      <c r="E369" s="32">
        <f t="shared" si="9"/>
        <v>117</v>
      </c>
      <c r="F369" s="32">
        <f t="shared" si="9"/>
        <v>0</v>
      </c>
      <c r="G369" s="32">
        <f t="shared" si="9"/>
        <v>0</v>
      </c>
      <c r="H369" s="32">
        <f t="shared" si="9"/>
        <v>0</v>
      </c>
      <c r="I369" s="32">
        <f t="shared" si="9"/>
        <v>0</v>
      </c>
      <c r="J369" s="32">
        <f t="shared" si="9"/>
        <v>0</v>
      </c>
      <c r="K369" s="32">
        <f t="shared" si="8"/>
        <v>0</v>
      </c>
      <c r="L369" s="32">
        <f t="shared" si="8"/>
        <v>0</v>
      </c>
      <c r="M369" s="32"/>
      <c r="N369" s="32"/>
    </row>
    <row r="370" spans="1:14" x14ac:dyDescent="0.2">
      <c r="A370" s="5">
        <v>0</v>
      </c>
      <c r="B370" s="32">
        <f t="shared" si="9"/>
        <v>617</v>
      </c>
      <c r="C370" s="32">
        <f t="shared" si="9"/>
        <v>4.6500000000000004</v>
      </c>
      <c r="D370" s="32">
        <f t="shared" si="9"/>
        <v>500</v>
      </c>
      <c r="E370" s="32">
        <f t="shared" si="9"/>
        <v>117</v>
      </c>
      <c r="F370" s="32">
        <f t="shared" si="9"/>
        <v>0</v>
      </c>
      <c r="G370" s="32">
        <f t="shared" si="9"/>
        <v>0</v>
      </c>
      <c r="H370" s="32">
        <f t="shared" si="9"/>
        <v>0</v>
      </c>
      <c r="I370" s="32">
        <f t="shared" si="9"/>
        <v>0</v>
      </c>
      <c r="J370" s="32">
        <f t="shared" si="9"/>
        <v>0</v>
      </c>
      <c r="K370" s="32">
        <f t="shared" si="8"/>
        <v>0</v>
      </c>
      <c r="L370" s="32">
        <f t="shared" si="8"/>
        <v>0</v>
      </c>
      <c r="M370" s="32"/>
      <c r="N370" s="32"/>
    </row>
    <row r="371" spans="1:14" x14ac:dyDescent="0.2">
      <c r="A371" s="5">
        <v>0</v>
      </c>
      <c r="B371" s="32">
        <f t="shared" si="9"/>
        <v>617</v>
      </c>
      <c r="C371" s="32">
        <f t="shared" si="9"/>
        <v>4.6500000000000004</v>
      </c>
      <c r="D371" s="32">
        <f t="shared" si="9"/>
        <v>500</v>
      </c>
      <c r="E371" s="32">
        <f t="shared" si="9"/>
        <v>117</v>
      </c>
      <c r="F371" s="32">
        <f t="shared" si="9"/>
        <v>0</v>
      </c>
      <c r="G371" s="32">
        <f t="shared" si="9"/>
        <v>0</v>
      </c>
      <c r="H371" s="32">
        <f t="shared" si="9"/>
        <v>0</v>
      </c>
      <c r="I371" s="32">
        <f t="shared" si="9"/>
        <v>0</v>
      </c>
      <c r="J371" s="32">
        <f t="shared" si="9"/>
        <v>0</v>
      </c>
      <c r="K371" s="32">
        <f t="shared" si="8"/>
        <v>0</v>
      </c>
      <c r="L371" s="32">
        <f t="shared" si="8"/>
        <v>0</v>
      </c>
      <c r="M371" s="32"/>
      <c r="N371" s="32"/>
    </row>
    <row r="372" spans="1:14" x14ac:dyDescent="0.2">
      <c r="A372" s="5">
        <v>0</v>
      </c>
      <c r="B372" s="32">
        <f t="shared" si="9"/>
        <v>617</v>
      </c>
      <c r="C372" s="32">
        <f t="shared" si="9"/>
        <v>4.6500000000000004</v>
      </c>
      <c r="D372" s="32">
        <f t="shared" si="9"/>
        <v>500</v>
      </c>
      <c r="E372" s="32">
        <f t="shared" si="9"/>
        <v>117</v>
      </c>
      <c r="F372" s="32">
        <f t="shared" si="9"/>
        <v>0</v>
      </c>
      <c r="G372" s="32">
        <f t="shared" si="9"/>
        <v>0</v>
      </c>
      <c r="H372" s="32">
        <f t="shared" si="9"/>
        <v>0</v>
      </c>
      <c r="I372" s="32">
        <f t="shared" si="9"/>
        <v>0</v>
      </c>
      <c r="J372" s="32">
        <f t="shared" si="9"/>
        <v>0</v>
      </c>
      <c r="K372" s="32">
        <f t="shared" si="8"/>
        <v>0</v>
      </c>
      <c r="L372" s="32">
        <f t="shared" si="8"/>
        <v>0</v>
      </c>
      <c r="M372" s="32"/>
      <c r="N372" s="32"/>
    </row>
    <row r="373" spans="1:14" x14ac:dyDescent="0.2">
      <c r="A373" s="5">
        <v>0</v>
      </c>
      <c r="B373" s="32">
        <f t="shared" si="9"/>
        <v>617</v>
      </c>
      <c r="C373" s="32">
        <f t="shared" si="9"/>
        <v>4.6500000000000004</v>
      </c>
      <c r="D373" s="32">
        <f t="shared" si="9"/>
        <v>500</v>
      </c>
      <c r="E373" s="32">
        <f t="shared" si="9"/>
        <v>117</v>
      </c>
      <c r="F373" s="32">
        <f t="shared" si="9"/>
        <v>0</v>
      </c>
      <c r="G373" s="32">
        <f t="shared" si="9"/>
        <v>0</v>
      </c>
      <c r="H373" s="32">
        <f t="shared" si="9"/>
        <v>0</v>
      </c>
      <c r="I373" s="32">
        <f t="shared" si="9"/>
        <v>0</v>
      </c>
      <c r="J373" s="32">
        <f t="shared" si="9"/>
        <v>0</v>
      </c>
      <c r="K373" s="32">
        <f t="shared" si="8"/>
        <v>0</v>
      </c>
      <c r="L373" s="32">
        <f t="shared" si="8"/>
        <v>0</v>
      </c>
      <c r="M373" s="32"/>
      <c r="N373" s="32"/>
    </row>
    <row r="374" spans="1:14" x14ac:dyDescent="0.2">
      <c r="A374" s="5">
        <v>0</v>
      </c>
      <c r="B374" s="32">
        <f t="shared" si="9"/>
        <v>617</v>
      </c>
      <c r="C374" s="32">
        <f t="shared" si="9"/>
        <v>4.6500000000000004</v>
      </c>
      <c r="D374" s="32">
        <f t="shared" si="9"/>
        <v>500</v>
      </c>
      <c r="E374" s="32">
        <f t="shared" si="9"/>
        <v>117</v>
      </c>
      <c r="F374" s="32">
        <f t="shared" si="9"/>
        <v>0</v>
      </c>
      <c r="G374" s="32">
        <f t="shared" si="9"/>
        <v>0</v>
      </c>
      <c r="H374" s="32">
        <f t="shared" si="9"/>
        <v>0</v>
      </c>
      <c r="I374" s="32">
        <f t="shared" si="9"/>
        <v>0</v>
      </c>
      <c r="J374" s="32">
        <f t="shared" si="9"/>
        <v>0</v>
      </c>
      <c r="K374" s="32">
        <f t="shared" si="8"/>
        <v>0</v>
      </c>
      <c r="L374" s="32">
        <f t="shared" si="8"/>
        <v>0</v>
      </c>
      <c r="M374" s="32"/>
      <c r="N374" s="32"/>
    </row>
    <row r="375" spans="1:14" x14ac:dyDescent="0.2">
      <c r="A375" s="5">
        <v>0</v>
      </c>
      <c r="B375" s="32">
        <f t="shared" si="9"/>
        <v>617</v>
      </c>
      <c r="C375" s="32">
        <f t="shared" si="9"/>
        <v>4.6500000000000004</v>
      </c>
      <c r="D375" s="32">
        <f t="shared" si="9"/>
        <v>500</v>
      </c>
      <c r="E375" s="32">
        <f t="shared" si="9"/>
        <v>117</v>
      </c>
      <c r="F375" s="32">
        <f t="shared" si="9"/>
        <v>0</v>
      </c>
      <c r="G375" s="32">
        <f t="shared" si="9"/>
        <v>0</v>
      </c>
      <c r="H375" s="32">
        <f t="shared" si="9"/>
        <v>0</v>
      </c>
      <c r="I375" s="32">
        <f t="shared" si="9"/>
        <v>0</v>
      </c>
      <c r="J375" s="32">
        <f t="shared" si="9"/>
        <v>0</v>
      </c>
      <c r="K375" s="32">
        <f t="shared" si="8"/>
        <v>0</v>
      </c>
      <c r="L375" s="32">
        <f t="shared" si="8"/>
        <v>0</v>
      </c>
      <c r="M375" s="32"/>
      <c r="N375" s="32"/>
    </row>
    <row r="376" spans="1:14" x14ac:dyDescent="0.2">
      <c r="A376" s="5">
        <v>0</v>
      </c>
      <c r="B376" s="32">
        <f t="shared" si="9"/>
        <v>617</v>
      </c>
      <c r="C376" s="32">
        <f t="shared" si="9"/>
        <v>4.6500000000000004</v>
      </c>
      <c r="D376" s="32">
        <f t="shared" si="9"/>
        <v>500</v>
      </c>
      <c r="E376" s="32">
        <f t="shared" si="9"/>
        <v>117</v>
      </c>
      <c r="F376" s="32">
        <f t="shared" si="9"/>
        <v>0</v>
      </c>
      <c r="G376" s="32">
        <f t="shared" si="9"/>
        <v>0</v>
      </c>
      <c r="H376" s="32">
        <f t="shared" si="9"/>
        <v>0</v>
      </c>
      <c r="I376" s="32">
        <f t="shared" si="9"/>
        <v>0</v>
      </c>
      <c r="J376" s="32">
        <f t="shared" si="9"/>
        <v>0</v>
      </c>
      <c r="K376" s="32">
        <f t="shared" si="8"/>
        <v>0</v>
      </c>
      <c r="L376" s="32">
        <f t="shared" si="8"/>
        <v>0</v>
      </c>
      <c r="M376" s="32"/>
      <c r="N376" s="32"/>
    </row>
    <row r="377" spans="1:14" x14ac:dyDescent="0.2">
      <c r="A377" s="5">
        <v>0</v>
      </c>
      <c r="B377" s="32">
        <f t="shared" si="9"/>
        <v>617</v>
      </c>
      <c r="C377" s="32">
        <f t="shared" si="9"/>
        <v>4.6500000000000004</v>
      </c>
      <c r="D377" s="32">
        <f t="shared" si="9"/>
        <v>500</v>
      </c>
      <c r="E377" s="32">
        <f t="shared" si="9"/>
        <v>117</v>
      </c>
      <c r="F377" s="32">
        <f t="shared" si="9"/>
        <v>0</v>
      </c>
      <c r="G377" s="32">
        <f t="shared" si="9"/>
        <v>0</v>
      </c>
      <c r="H377" s="32">
        <f t="shared" si="9"/>
        <v>0</v>
      </c>
      <c r="I377" s="32">
        <f t="shared" si="9"/>
        <v>0</v>
      </c>
      <c r="J377" s="32">
        <f t="shared" si="9"/>
        <v>0</v>
      </c>
      <c r="K377" s="32">
        <f t="shared" si="8"/>
        <v>0</v>
      </c>
      <c r="L377" s="32">
        <f t="shared" si="8"/>
        <v>0</v>
      </c>
      <c r="M377" s="32"/>
      <c r="N377" s="32"/>
    </row>
    <row r="378" spans="1:14" x14ac:dyDescent="0.2">
      <c r="A378" s="5">
        <v>0</v>
      </c>
      <c r="B378" s="32">
        <f t="shared" si="9"/>
        <v>617</v>
      </c>
      <c r="C378" s="32">
        <f t="shared" si="9"/>
        <v>4.6500000000000004</v>
      </c>
      <c r="D378" s="32">
        <f t="shared" si="9"/>
        <v>500</v>
      </c>
      <c r="E378" s="32">
        <f t="shared" si="9"/>
        <v>117</v>
      </c>
      <c r="F378" s="32">
        <f t="shared" si="9"/>
        <v>0</v>
      </c>
      <c r="G378" s="32">
        <f t="shared" si="9"/>
        <v>0</v>
      </c>
      <c r="H378" s="32">
        <f t="shared" si="9"/>
        <v>0</v>
      </c>
      <c r="I378" s="32">
        <f t="shared" si="9"/>
        <v>0</v>
      </c>
      <c r="J378" s="32">
        <f t="shared" si="9"/>
        <v>0</v>
      </c>
      <c r="K378" s="32">
        <f t="shared" si="8"/>
        <v>0</v>
      </c>
      <c r="L378" s="32">
        <f t="shared" si="8"/>
        <v>0</v>
      </c>
      <c r="M378" s="32"/>
      <c r="N378" s="32"/>
    </row>
    <row r="379" spans="1:14" x14ac:dyDescent="0.2">
      <c r="A379" s="5">
        <v>0</v>
      </c>
      <c r="B379" s="32">
        <f t="shared" si="9"/>
        <v>617</v>
      </c>
      <c r="C379" s="32">
        <f t="shared" si="9"/>
        <v>4.6500000000000004</v>
      </c>
      <c r="D379" s="32">
        <f t="shared" si="9"/>
        <v>500</v>
      </c>
      <c r="E379" s="32">
        <f t="shared" si="9"/>
        <v>117</v>
      </c>
      <c r="F379" s="32">
        <f t="shared" si="9"/>
        <v>0</v>
      </c>
      <c r="G379" s="32">
        <f t="shared" si="9"/>
        <v>0</v>
      </c>
      <c r="H379" s="32">
        <f t="shared" si="9"/>
        <v>0</v>
      </c>
      <c r="I379" s="32">
        <f t="shared" si="9"/>
        <v>0</v>
      </c>
      <c r="J379" s="32">
        <f t="shared" si="9"/>
        <v>0</v>
      </c>
      <c r="K379" s="32">
        <f t="shared" si="8"/>
        <v>0</v>
      </c>
      <c r="L379" s="32">
        <f t="shared" si="8"/>
        <v>0</v>
      </c>
      <c r="M379" s="32"/>
      <c r="N379" s="32"/>
    </row>
    <row r="380" spans="1:14" x14ac:dyDescent="0.2">
      <c r="A380" s="5">
        <v>0</v>
      </c>
      <c r="B380" s="32">
        <f t="shared" si="9"/>
        <v>617</v>
      </c>
      <c r="C380" s="32">
        <f t="shared" si="9"/>
        <v>4.6500000000000004</v>
      </c>
      <c r="D380" s="32">
        <f t="shared" si="9"/>
        <v>500</v>
      </c>
      <c r="E380" s="32">
        <f t="shared" si="9"/>
        <v>117</v>
      </c>
      <c r="F380" s="32">
        <f t="shared" si="9"/>
        <v>0</v>
      </c>
      <c r="G380" s="32">
        <f t="shared" si="9"/>
        <v>0</v>
      </c>
      <c r="H380" s="32">
        <f t="shared" si="9"/>
        <v>0</v>
      </c>
      <c r="I380" s="32">
        <f t="shared" si="9"/>
        <v>0</v>
      </c>
      <c r="J380" s="32">
        <f t="shared" si="9"/>
        <v>0</v>
      </c>
      <c r="K380" s="32">
        <f t="shared" si="8"/>
        <v>0</v>
      </c>
      <c r="L380" s="32">
        <f t="shared" si="8"/>
        <v>0</v>
      </c>
      <c r="M380" s="32"/>
      <c r="N380" s="32"/>
    </row>
    <row r="381" spans="1:14" x14ac:dyDescent="0.2">
      <c r="A381" s="5">
        <v>0</v>
      </c>
      <c r="B381" s="32">
        <f t="shared" si="9"/>
        <v>617</v>
      </c>
      <c r="C381" s="32">
        <f t="shared" si="9"/>
        <v>4.6500000000000004</v>
      </c>
      <c r="D381" s="32">
        <f t="shared" si="9"/>
        <v>500</v>
      </c>
      <c r="E381" s="32">
        <f t="shared" si="9"/>
        <v>117</v>
      </c>
      <c r="F381" s="32">
        <f t="shared" si="9"/>
        <v>0</v>
      </c>
      <c r="G381" s="32">
        <f t="shared" si="9"/>
        <v>0</v>
      </c>
      <c r="H381" s="32">
        <f t="shared" ref="H381:J381" si="10">J104</f>
        <v>0</v>
      </c>
      <c r="I381" s="32">
        <f t="shared" si="10"/>
        <v>0</v>
      </c>
      <c r="J381" s="32">
        <f t="shared" si="10"/>
        <v>0</v>
      </c>
      <c r="K381" s="32">
        <f t="shared" si="8"/>
        <v>0</v>
      </c>
      <c r="L381" s="32">
        <f t="shared" si="8"/>
        <v>0</v>
      </c>
      <c r="M381" s="32"/>
      <c r="N381" s="32"/>
    </row>
    <row r="485" spans="1:1" x14ac:dyDescent="0.2">
      <c r="A485" s="5" t="s">
        <v>23</v>
      </c>
    </row>
    <row r="486" spans="1:1" x14ac:dyDescent="0.2">
      <c r="A486" s="5" t="s">
        <v>24</v>
      </c>
    </row>
    <row r="487" spans="1:1" x14ac:dyDescent="0.2">
      <c r="A487" s="5" t="s">
        <v>25</v>
      </c>
    </row>
    <row r="488" spans="1:1" x14ac:dyDescent="0.2">
      <c r="A488" s="5" t="s">
        <v>26</v>
      </c>
    </row>
    <row r="489" spans="1:1" x14ac:dyDescent="0.2">
      <c r="A489" s="5" t="s">
        <v>27</v>
      </c>
    </row>
    <row r="490" spans="1:1" x14ac:dyDescent="0.2">
      <c r="A490" s="5" t="s">
        <v>28</v>
      </c>
    </row>
    <row r="491" spans="1:1" x14ac:dyDescent="0.2">
      <c r="A491" s="5" t="s">
        <v>29</v>
      </c>
    </row>
    <row r="492" spans="1:1" x14ac:dyDescent="0.2">
      <c r="A492" s="5" t="s">
        <v>30</v>
      </c>
    </row>
    <row r="493" spans="1:1" x14ac:dyDescent="0.2">
      <c r="A493" s="5" t="s">
        <v>31</v>
      </c>
    </row>
    <row r="494" spans="1:1" x14ac:dyDescent="0.2">
      <c r="A494" s="5" t="s">
        <v>32</v>
      </c>
    </row>
  </sheetData>
  <protectedRanges>
    <protectedRange algorithmName="SHA-512" hashValue="qQYn+m+b4UVdjF94fJY26EWyaL6NXSlMR0hjQ5/xNDkmthaz1VvGWbh/7nGtIdkgRT6aNUF0IIZNQcadTKpO7g==" saltValue="2NnoMCglf5tG+69kK64QMw==" spinCount="100000" sqref="H105:H107 F105:G105 G9:AL104" name="Range3"/>
    <protectedRange algorithmName="SHA-512" hashValue="CuSudXHW9P7CBQkrs8AwohLW+eqtBB1GgPvOQKTdoYabZsh7qeQNmlih2szINLu/Iv371wYh7iyn/B9fW+VuJQ==" saltValue="3apz8eMp+e3RXrdw+Rtnhw==" spinCount="100000" sqref="B6" name="Range1"/>
    <protectedRange algorithmName="SHA-512" hashValue="1jJWfUXWRRT08/cshb+Zq/RAMTya5nSG8yWpGVBg0Dfqhe3vup+3W9p/IBZi/Wrrv1DDhqG9wt/eD6EO1fnNvQ==" saltValue="VWP5arczVApFJ9oxlz3YOA==" spinCount="100000" sqref="D8:E8 AF8:AL8" name="Range2"/>
    <protectedRange algorithmName="SHA-512" hashValue="1jJWfUXWRRT08/cshb+Zq/RAMTya5nSG8yWpGVBg0Dfqhe3vup+3W9p/IBZi/Wrrv1DDhqG9wt/eD6EO1fnNvQ==" saltValue="VWP5arczVApFJ9oxlz3YOA==" spinCount="100000" sqref="S8:T8 V8:AE8" name="Range2_1"/>
    <protectedRange algorithmName="SHA-512" hashValue="1jJWfUXWRRT08/cshb+Zq/RAMTya5nSG8yWpGVBg0Dfqhe3vup+3W9p/IBZi/Wrrv1DDhqG9wt/eD6EO1fnNvQ==" saltValue="VWP5arczVApFJ9oxlz3YOA==" spinCount="100000" sqref="U8 H8:R8" name="Range2_3"/>
    <protectedRange algorithmName="SHA-512" hashValue="1jJWfUXWRRT08/cshb+Zq/RAMTya5nSG8yWpGVBg0Dfqhe3vup+3W9p/IBZi/Wrrv1DDhqG9wt/eD6EO1fnNvQ==" saltValue="VWP5arczVApFJ9oxlz3YOA==" spinCount="100000" sqref="F8:G8" name="Range2_3_2"/>
  </protectedRanges>
  <mergeCells count="7">
    <mergeCell ref="A1:P1"/>
    <mergeCell ref="A2:P2"/>
    <mergeCell ref="A3:A4"/>
    <mergeCell ref="B3:D4"/>
    <mergeCell ref="E3:E4"/>
    <mergeCell ref="F3:G4"/>
    <mergeCell ref="H3:K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CustomerData!$B$1:$B$483</xm:f>
          </x14:formula1>
          <xm:sqref>F8:AL8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theme="3" tint="0.79998168889431442"/>
  </sheetPr>
  <dimension ref="A1:AI978"/>
  <sheetViews>
    <sheetView topLeftCell="B1" zoomScaleNormal="100" workbookViewId="0">
      <pane ySplit="8" topLeftCell="A27" activePane="bottomLeft" state="frozen"/>
      <selection activeCell="D27" sqref="D27"/>
      <selection pane="bottomLeft" activeCell="J35" sqref="J35"/>
    </sheetView>
  </sheetViews>
  <sheetFormatPr defaultColWidth="9.140625" defaultRowHeight="12.75" x14ac:dyDescent="0.25"/>
  <cols>
    <col min="1" max="2" width="9.140625" style="34" customWidth="1"/>
    <col min="3" max="3" width="11.140625" style="34" customWidth="1"/>
    <col min="4" max="4" width="10.85546875" style="34" customWidth="1"/>
    <col min="5" max="5" width="13.5703125" style="34" customWidth="1"/>
    <col min="6" max="6" width="10.85546875" style="34" bestFit="1" customWidth="1"/>
    <col min="7" max="8" width="10.140625" style="34" bestFit="1" customWidth="1"/>
    <col min="9" max="9" width="10.7109375" style="34" bestFit="1" customWidth="1"/>
    <col min="10" max="10" width="11.85546875" style="34" bestFit="1" customWidth="1"/>
    <col min="11" max="11" width="11.85546875" style="34" customWidth="1"/>
    <col min="12" max="12" width="10.85546875" style="34" customWidth="1"/>
    <col min="13" max="16" width="9.140625" style="34" customWidth="1"/>
    <col min="17" max="17" width="15.7109375" style="34" customWidth="1"/>
    <col min="18" max="16384" width="9.140625" style="34"/>
  </cols>
  <sheetData>
    <row r="1" spans="1:35" ht="28.5" customHeight="1" x14ac:dyDescent="0.25">
      <c r="A1" s="156" t="s">
        <v>33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1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</row>
    <row r="2" spans="1:35" x14ac:dyDescent="0.25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14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</row>
    <row r="3" spans="1:35" s="38" customFormat="1" ht="13.5" customHeight="1" x14ac:dyDescent="0.25">
      <c r="A3" s="158" t="s">
        <v>10</v>
      </c>
      <c r="B3" s="159"/>
      <c r="C3" s="160"/>
      <c r="D3" s="160"/>
      <c r="E3" s="161">
        <f ca="1">TODAY()</f>
        <v>45398</v>
      </c>
      <c r="F3" s="160" t="s">
        <v>11</v>
      </c>
      <c r="G3" s="160"/>
      <c r="H3" s="162" t="s">
        <v>12</v>
      </c>
      <c r="I3" s="163"/>
      <c r="J3" s="163"/>
      <c r="K3" s="163"/>
      <c r="L3" s="163"/>
      <c r="M3" s="8" t="s">
        <v>117</v>
      </c>
      <c r="N3" s="36"/>
      <c r="O3" s="37"/>
      <c r="P3" s="36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3"/>
      <c r="AC3" s="151"/>
      <c r="AD3" s="151"/>
      <c r="AE3" s="151"/>
      <c r="AF3" s="151"/>
      <c r="AG3" s="151"/>
      <c r="AH3" s="151"/>
      <c r="AI3" s="151"/>
    </row>
    <row r="4" spans="1:35" s="38" customFormat="1" ht="13.5" customHeight="1" x14ac:dyDescent="0.25">
      <c r="A4" s="158"/>
      <c r="B4" s="159"/>
      <c r="C4" s="160"/>
      <c r="D4" s="160"/>
      <c r="E4" s="161"/>
      <c r="F4" s="160"/>
      <c r="G4" s="160"/>
      <c r="H4" s="164"/>
      <c r="I4" s="165"/>
      <c r="J4" s="165"/>
      <c r="K4" s="165"/>
      <c r="L4" s="165"/>
      <c r="M4" s="39"/>
      <c r="N4" s="39"/>
      <c r="O4" s="40"/>
      <c r="P4" s="39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5"/>
      <c r="AC4" s="151"/>
      <c r="AD4" s="151"/>
      <c r="AE4" s="151"/>
      <c r="AF4" s="151"/>
      <c r="AG4" s="151"/>
      <c r="AH4" s="151"/>
      <c r="AI4" s="151"/>
    </row>
    <row r="5" spans="1:35" s="38" customFormat="1" ht="15.75" x14ac:dyDescent="0.25">
      <c r="A5" s="41" t="s">
        <v>13</v>
      </c>
      <c r="B5" s="41" t="s">
        <v>14</v>
      </c>
      <c r="C5" s="41" t="s">
        <v>15</v>
      </c>
      <c r="D5" s="42">
        <v>1</v>
      </c>
      <c r="E5" s="43" t="s">
        <v>16</v>
      </c>
      <c r="F5" s="42">
        <v>96</v>
      </c>
      <c r="G5" s="44" t="s">
        <v>34</v>
      </c>
      <c r="H5" s="45">
        <v>1200</v>
      </c>
      <c r="I5" s="46" t="s">
        <v>17</v>
      </c>
      <c r="J5" s="47">
        <v>4</v>
      </c>
      <c r="K5" s="47"/>
      <c r="L5" s="48"/>
    </row>
    <row r="6" spans="1:35" s="38" customFormat="1" ht="15" x14ac:dyDescent="0.25">
      <c r="A6" s="145"/>
      <c r="B6" s="146"/>
      <c r="C6" s="147"/>
      <c r="D6" s="64" t="s">
        <v>18</v>
      </c>
      <c r="E6" s="49">
        <f>VLOOKUP(E8,CustomerData!$B:$I,4,FALSE)</f>
        <v>1010</v>
      </c>
      <c r="F6" s="49">
        <f>VLOOKUP(F8,CustomerData!$B:$I,4,FALSE)</f>
        <v>1267</v>
      </c>
      <c r="G6" s="49">
        <f>VLOOKUP(G8,CustomerData!$B:$I,4,FALSE)</f>
        <v>1392</v>
      </c>
      <c r="H6" s="49" t="e">
        <f>VLOOKUP(H8,CustomerData!$B:$I,4,FALSE)</f>
        <v>#N/A</v>
      </c>
      <c r="I6" s="49" t="e">
        <f>VLOOKUP(I8,CustomerData!$B:$I,4,FALSE)</f>
        <v>#N/A</v>
      </c>
      <c r="J6" s="49" t="e">
        <f>VLOOKUP(J8,CustomerData!$B:$I,4,FALSE)</f>
        <v>#N/A</v>
      </c>
      <c r="K6" s="49" t="e">
        <f>VLOOKUP(K8,CustomerData!$B:$I,4,FALSE)</f>
        <v>#N/A</v>
      </c>
      <c r="L6" s="49" t="e">
        <f>VLOOKUP(L8,CustomerData!$B:$I,4,FALSE)</f>
        <v>#N/A</v>
      </c>
      <c r="M6" s="49" t="e">
        <f>VLOOKUP(M8,CustomerData!$B:$I,4,FALSE)</f>
        <v>#N/A</v>
      </c>
      <c r="N6" s="49" t="e">
        <f>VLOOKUP(N8,CustomerData!$B:$I,4,FALSE)</f>
        <v>#N/A</v>
      </c>
      <c r="O6" s="49" t="e">
        <f>VLOOKUP(O8,CustomerData!$B:$I,4,FALSE)</f>
        <v>#N/A</v>
      </c>
      <c r="P6" s="49"/>
      <c r="Q6" s="49" t="e">
        <f>VLOOKUP(Q8,CustomerData!$B:$I,4,FALSE)</f>
        <v>#N/A</v>
      </c>
      <c r="R6" s="49" t="e">
        <f>VLOOKUP(R8,CustomerData!$B:$I,4,FALSE)</f>
        <v>#N/A</v>
      </c>
      <c r="S6" s="49" t="e">
        <f>VLOOKUP(S8,CustomerData!$B:$I,4,FALSE)</f>
        <v>#N/A</v>
      </c>
      <c r="T6" s="49" t="e">
        <f>VLOOKUP(T8,CustomerData!$B:$I,4,FALSE)</f>
        <v>#N/A</v>
      </c>
      <c r="U6" s="49" t="e">
        <f>VLOOKUP(U8,CustomerData!$B:$I,4,FALSE)</f>
        <v>#N/A</v>
      </c>
      <c r="V6" s="49" t="e">
        <f>VLOOKUP(V8,CustomerData!$B:$I,4,FALSE)</f>
        <v>#N/A</v>
      </c>
      <c r="W6" s="49" t="e">
        <f>VLOOKUP(W8,CustomerData!$B:$I,4,FALSE)</f>
        <v>#N/A</v>
      </c>
      <c r="X6" s="49" t="e">
        <f>VLOOKUP(X8,CustomerData!$B:$I,4,FALSE)</f>
        <v>#N/A</v>
      </c>
      <c r="Y6" s="49" t="e">
        <f>VLOOKUP(Y8,CustomerData!$B:$I,4,FALSE)</f>
        <v>#N/A</v>
      </c>
      <c r="Z6" s="49" t="e">
        <f>VLOOKUP(Z8,CustomerData!$B:$I,4,FALSE)</f>
        <v>#N/A</v>
      </c>
      <c r="AA6" s="49" t="e">
        <f>VLOOKUP(AA8,CustomerData!$B:$I,4,FALSE)</f>
        <v>#N/A</v>
      </c>
      <c r="AB6" s="49" t="e">
        <f>VLOOKUP(AB8,CustomerData!$B:$I,4,FALSE)</f>
        <v>#N/A</v>
      </c>
      <c r="AC6" s="49" t="e">
        <f>VLOOKUP(AC8,CustomerData!$B:$I,4,FALSE)</f>
        <v>#N/A</v>
      </c>
      <c r="AD6" s="49" t="e">
        <f>VLOOKUP(AD8,CustomerData!$B:$I,4,FALSE)</f>
        <v>#N/A</v>
      </c>
      <c r="AE6" s="49" t="e">
        <f>VLOOKUP(AE8,CustomerData!$B:$I,4,FALSE)</f>
        <v>#N/A</v>
      </c>
      <c r="AF6" s="49" t="e">
        <f>VLOOKUP(AF8,CustomerData!$B:$I,4,FALSE)</f>
        <v>#N/A</v>
      </c>
      <c r="AG6" s="49" t="e">
        <f>VLOOKUP(AG8,CustomerData!$B:$I,4,FALSE)</f>
        <v>#N/A</v>
      </c>
      <c r="AH6" s="49" t="e">
        <f>VLOOKUP(AH8,CustomerData!$B:$I,4,FALSE)</f>
        <v>#N/A</v>
      </c>
      <c r="AI6" s="49" t="e">
        <f>VLOOKUP(AI8,CustomerData!$B:$I,4,FALSE)</f>
        <v>#N/A</v>
      </c>
    </row>
    <row r="7" spans="1:35" s="38" customFormat="1" ht="18.75" x14ac:dyDescent="0.25">
      <c r="A7" s="148"/>
      <c r="B7" s="149"/>
      <c r="C7" s="150"/>
      <c r="D7" s="64" t="s">
        <v>19</v>
      </c>
      <c r="E7" s="50" t="str">
        <f>VLOOKUP(E8,CustomerData!$B:$I,8,FALSE)</f>
        <v xml:space="preserve">LT        </v>
      </c>
      <c r="F7" s="50" t="str">
        <f>VLOOKUP(F8,CustomerData!$B:$I,8,FALSE)</f>
        <v xml:space="preserve">LT        </v>
      </c>
      <c r="G7" s="50" t="str">
        <f>VLOOKUP(G8,CustomerData!$B:$I,8,FALSE)</f>
        <v xml:space="preserve">ST        </v>
      </c>
      <c r="H7" s="50" t="e">
        <f>VLOOKUP(H8,CustomerData!$B:$I,8,FALSE)</f>
        <v>#N/A</v>
      </c>
      <c r="I7" s="50" t="e">
        <f>VLOOKUP(I8,CustomerData!$B:$I,8,FALSE)</f>
        <v>#N/A</v>
      </c>
      <c r="J7" s="50" t="e">
        <f>VLOOKUP(J8,CustomerData!$B:$I,8,FALSE)</f>
        <v>#N/A</v>
      </c>
      <c r="K7" s="50" t="e">
        <f>VLOOKUP(K8,CustomerData!$B:$I,8,FALSE)</f>
        <v>#N/A</v>
      </c>
      <c r="L7" s="50" t="e">
        <f>VLOOKUP(L8,CustomerData!$B:$I,8,FALSE)</f>
        <v>#N/A</v>
      </c>
      <c r="M7" s="50" t="e">
        <f>VLOOKUP(M8,CustomerData!$B:$I,8,FALSE)</f>
        <v>#N/A</v>
      </c>
      <c r="N7" s="50" t="e">
        <f>VLOOKUP(N8,CustomerData!$B:$I,8,FALSE)</f>
        <v>#N/A</v>
      </c>
      <c r="O7" s="50" t="e">
        <f>VLOOKUP(O8,CustomerData!$B:$I,8,FALSE)</f>
        <v>#N/A</v>
      </c>
      <c r="P7" s="50"/>
      <c r="Q7" s="50" t="e">
        <f>VLOOKUP(Q8,CustomerData!$B:$I,8,FALSE)</f>
        <v>#N/A</v>
      </c>
      <c r="R7" s="50" t="e">
        <f>VLOOKUP(R8,CustomerData!$B:$I,8,FALSE)</f>
        <v>#N/A</v>
      </c>
      <c r="S7" s="50" t="e">
        <f>VLOOKUP(S8,CustomerData!$B:$I,8,FALSE)</f>
        <v>#N/A</v>
      </c>
      <c r="T7" s="50" t="e">
        <f>VLOOKUP(T8,CustomerData!$B:$I,8,FALSE)</f>
        <v>#N/A</v>
      </c>
      <c r="U7" s="50" t="e">
        <f>VLOOKUP(U8,CustomerData!$B:$I,8,FALSE)</f>
        <v>#N/A</v>
      </c>
      <c r="V7" s="50" t="e">
        <f>VLOOKUP(V8,CustomerData!$B:$I,8,FALSE)</f>
        <v>#N/A</v>
      </c>
      <c r="W7" s="50" t="e">
        <f>VLOOKUP(W8,CustomerData!$B:$I,8,FALSE)</f>
        <v>#N/A</v>
      </c>
      <c r="X7" s="50" t="e">
        <f>VLOOKUP(X8,CustomerData!$B:$I,8,FALSE)</f>
        <v>#N/A</v>
      </c>
      <c r="Y7" s="50" t="e">
        <f>VLOOKUP(Y8,CustomerData!$B:$I,8,FALSE)</f>
        <v>#N/A</v>
      </c>
      <c r="Z7" s="50" t="e">
        <f>VLOOKUP(Z8,CustomerData!$B:$I,8,FALSE)</f>
        <v>#N/A</v>
      </c>
      <c r="AA7" s="50" t="e">
        <f>VLOOKUP(AA8,CustomerData!$B:$I,8,FALSE)</f>
        <v>#N/A</v>
      </c>
      <c r="AB7" s="50" t="e">
        <f>VLOOKUP(AB8,CustomerData!$B:$I,8,FALSE)</f>
        <v>#N/A</v>
      </c>
      <c r="AC7" s="50" t="e">
        <f>VLOOKUP(AC8,CustomerData!$B:$I,8,FALSE)</f>
        <v>#N/A</v>
      </c>
      <c r="AD7" s="50" t="e">
        <f>VLOOKUP(AD8,CustomerData!$B:$I,8,FALSE)</f>
        <v>#N/A</v>
      </c>
      <c r="AE7" s="50" t="e">
        <f>VLOOKUP(AE8,CustomerData!$B:$I,8,FALSE)</f>
        <v>#N/A</v>
      </c>
      <c r="AF7" s="50" t="e">
        <f>VLOOKUP(AF8,CustomerData!$B:$I,8,FALSE)</f>
        <v>#N/A</v>
      </c>
      <c r="AG7" s="50" t="e">
        <f>VLOOKUP(AG8,CustomerData!$B:$I,8,FALSE)</f>
        <v>#N/A</v>
      </c>
      <c r="AH7" s="50" t="e">
        <f>VLOOKUP(AH8,CustomerData!$B:$I,8,FALSE)</f>
        <v>#N/A</v>
      </c>
      <c r="AI7" s="50" t="e">
        <f>VLOOKUP(AI8,CustomerData!$B:$I,8,FALSE)</f>
        <v>#N/A</v>
      </c>
    </row>
    <row r="8" spans="1:35" s="38" customFormat="1" ht="30" customHeight="1" x14ac:dyDescent="0.25">
      <c r="A8" s="51" t="s">
        <v>20</v>
      </c>
      <c r="B8" s="52" t="s">
        <v>14</v>
      </c>
      <c r="C8" s="52" t="s">
        <v>16</v>
      </c>
      <c r="D8" s="52" t="s">
        <v>35</v>
      </c>
      <c r="E8" s="132" t="s">
        <v>556</v>
      </c>
      <c r="F8" s="132" t="s">
        <v>559</v>
      </c>
      <c r="G8" s="132" t="s">
        <v>613</v>
      </c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</row>
    <row r="9" spans="1:35" s="38" customFormat="1" ht="15" x14ac:dyDescent="0.25">
      <c r="A9" s="53">
        <v>1</v>
      </c>
      <c r="B9" s="54">
        <v>0</v>
      </c>
      <c r="C9" s="54">
        <v>0.15</v>
      </c>
      <c r="D9" s="117">
        <f>SUM(E9:AI9)</f>
        <v>617</v>
      </c>
      <c r="E9" s="77">
        <v>500</v>
      </c>
      <c r="F9" s="27">
        <v>117</v>
      </c>
      <c r="G9" s="27">
        <v>0</v>
      </c>
      <c r="H9" s="27"/>
      <c r="I9" s="27"/>
      <c r="J9" s="27"/>
      <c r="K9" s="27"/>
      <c r="L9" s="27"/>
      <c r="M9" s="27"/>
      <c r="N9" s="27"/>
      <c r="O9" s="27"/>
      <c r="P9" s="27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</row>
    <row r="10" spans="1:35" s="38" customFormat="1" ht="15" x14ac:dyDescent="0.25">
      <c r="A10" s="53">
        <v>2</v>
      </c>
      <c r="B10" s="54">
        <v>0.15</v>
      </c>
      <c r="C10" s="54">
        <v>0.3</v>
      </c>
      <c r="D10" s="117">
        <f t="shared" ref="D10:D73" si="0">SUM(E10:AI10)</f>
        <v>617</v>
      </c>
      <c r="E10" s="77">
        <v>500</v>
      </c>
      <c r="F10" s="27">
        <v>117</v>
      </c>
      <c r="G10" s="27">
        <v>0</v>
      </c>
      <c r="H10" s="27"/>
      <c r="I10" s="27"/>
      <c r="J10" s="27"/>
      <c r="K10" s="27"/>
      <c r="L10" s="27"/>
      <c r="M10" s="27"/>
      <c r="N10" s="27"/>
      <c r="O10" s="27"/>
      <c r="P10" s="27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</row>
    <row r="11" spans="1:35" s="38" customFormat="1" ht="15" x14ac:dyDescent="0.25">
      <c r="A11" s="53">
        <v>3</v>
      </c>
      <c r="B11" s="54">
        <v>0.3</v>
      </c>
      <c r="C11" s="54">
        <v>0.45</v>
      </c>
      <c r="D11" s="117">
        <f t="shared" si="0"/>
        <v>617</v>
      </c>
      <c r="E11" s="77">
        <v>500</v>
      </c>
      <c r="F11" s="27">
        <v>117</v>
      </c>
      <c r="G11" s="27">
        <v>0</v>
      </c>
      <c r="H11" s="27"/>
      <c r="I11" s="27"/>
      <c r="J11" s="27"/>
      <c r="K11" s="27"/>
      <c r="L11" s="27"/>
      <c r="M11" s="27"/>
      <c r="N11" s="27"/>
      <c r="O11" s="27"/>
      <c r="P11" s="27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</row>
    <row r="12" spans="1:35" s="38" customFormat="1" ht="15" x14ac:dyDescent="0.25">
      <c r="A12" s="53">
        <v>4</v>
      </c>
      <c r="B12" s="54">
        <v>0.45</v>
      </c>
      <c r="C12" s="54">
        <v>1</v>
      </c>
      <c r="D12" s="117">
        <f t="shared" si="0"/>
        <v>617</v>
      </c>
      <c r="E12" s="77">
        <v>500</v>
      </c>
      <c r="F12" s="27">
        <v>117</v>
      </c>
      <c r="G12" s="27">
        <v>0</v>
      </c>
      <c r="H12" s="27"/>
      <c r="I12" s="27"/>
      <c r="J12" s="27"/>
      <c r="K12" s="27"/>
      <c r="L12" s="27"/>
      <c r="M12" s="27"/>
      <c r="N12" s="27"/>
      <c r="O12" s="27"/>
      <c r="P12" s="27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</row>
    <row r="13" spans="1:35" s="38" customFormat="1" ht="15" x14ac:dyDescent="0.25">
      <c r="A13" s="53">
        <v>5</v>
      </c>
      <c r="B13" s="54">
        <v>1</v>
      </c>
      <c r="C13" s="54">
        <v>1.1499999999999999</v>
      </c>
      <c r="D13" s="117">
        <f t="shared" si="0"/>
        <v>617</v>
      </c>
      <c r="E13" s="77">
        <v>500</v>
      </c>
      <c r="F13" s="27">
        <v>117</v>
      </c>
      <c r="G13" s="27">
        <v>0</v>
      </c>
      <c r="H13" s="27"/>
      <c r="I13" s="27"/>
      <c r="J13" s="27"/>
      <c r="K13" s="27"/>
      <c r="L13" s="27"/>
      <c r="M13" s="27"/>
      <c r="N13" s="27"/>
      <c r="O13" s="27"/>
      <c r="P13" s="27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</row>
    <row r="14" spans="1:35" s="38" customFormat="1" ht="15" x14ac:dyDescent="0.25">
      <c r="A14" s="53">
        <v>6</v>
      </c>
      <c r="B14" s="54">
        <v>1.1499999999999999</v>
      </c>
      <c r="C14" s="54">
        <v>1.3</v>
      </c>
      <c r="D14" s="117">
        <f t="shared" si="0"/>
        <v>617</v>
      </c>
      <c r="E14" s="77">
        <v>500</v>
      </c>
      <c r="F14" s="27">
        <v>117</v>
      </c>
      <c r="G14" s="27">
        <v>0</v>
      </c>
      <c r="H14" s="27"/>
      <c r="I14" s="27"/>
      <c r="J14" s="27"/>
      <c r="K14" s="27"/>
      <c r="L14" s="27"/>
      <c r="M14" s="27"/>
      <c r="N14" s="27"/>
      <c r="O14" s="27"/>
      <c r="P14" s="27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</row>
    <row r="15" spans="1:35" s="38" customFormat="1" ht="15" x14ac:dyDescent="0.25">
      <c r="A15" s="53">
        <v>7</v>
      </c>
      <c r="B15" s="54">
        <v>1.3</v>
      </c>
      <c r="C15" s="54">
        <v>1.45</v>
      </c>
      <c r="D15" s="117">
        <f t="shared" si="0"/>
        <v>617</v>
      </c>
      <c r="E15" s="77">
        <v>500</v>
      </c>
      <c r="F15" s="27">
        <v>117</v>
      </c>
      <c r="G15" s="27">
        <v>0</v>
      </c>
      <c r="H15" s="27"/>
      <c r="I15" s="27"/>
      <c r="J15" s="27"/>
      <c r="K15" s="27"/>
      <c r="L15" s="27"/>
      <c r="M15" s="27"/>
      <c r="N15" s="27"/>
      <c r="O15" s="27"/>
      <c r="P15" s="27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</row>
    <row r="16" spans="1:35" s="38" customFormat="1" ht="15" x14ac:dyDescent="0.25">
      <c r="A16" s="53">
        <v>8</v>
      </c>
      <c r="B16" s="54">
        <v>1.45</v>
      </c>
      <c r="C16" s="54">
        <v>2</v>
      </c>
      <c r="D16" s="117">
        <f t="shared" si="0"/>
        <v>617</v>
      </c>
      <c r="E16" s="77">
        <v>500</v>
      </c>
      <c r="F16" s="27">
        <v>117</v>
      </c>
      <c r="G16" s="27">
        <v>0</v>
      </c>
      <c r="H16" s="27"/>
      <c r="I16" s="27"/>
      <c r="J16" s="27"/>
      <c r="K16" s="27"/>
      <c r="L16" s="27"/>
      <c r="M16" s="27"/>
      <c r="N16" s="27"/>
      <c r="O16" s="27"/>
      <c r="P16" s="27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</row>
    <row r="17" spans="1:35" s="38" customFormat="1" ht="15" x14ac:dyDescent="0.25">
      <c r="A17" s="53">
        <v>9</v>
      </c>
      <c r="B17" s="54">
        <v>2</v>
      </c>
      <c r="C17" s="54">
        <v>2.15</v>
      </c>
      <c r="D17" s="117">
        <f t="shared" si="0"/>
        <v>617</v>
      </c>
      <c r="E17" s="77">
        <v>500</v>
      </c>
      <c r="F17" s="27">
        <v>117</v>
      </c>
      <c r="G17" s="27">
        <v>0</v>
      </c>
      <c r="H17" s="27"/>
      <c r="I17" s="27"/>
      <c r="J17" s="27"/>
      <c r="K17" s="27"/>
      <c r="L17" s="27"/>
      <c r="M17" s="27"/>
      <c r="N17" s="27"/>
      <c r="O17" s="27"/>
      <c r="P17" s="27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</row>
    <row r="18" spans="1:35" s="38" customFormat="1" ht="15" x14ac:dyDescent="0.25">
      <c r="A18" s="53">
        <v>10</v>
      </c>
      <c r="B18" s="54">
        <v>2.15</v>
      </c>
      <c r="C18" s="54">
        <v>2.2999999999999998</v>
      </c>
      <c r="D18" s="117">
        <f t="shared" si="0"/>
        <v>617</v>
      </c>
      <c r="E18" s="77">
        <v>500</v>
      </c>
      <c r="F18" s="27">
        <v>117</v>
      </c>
      <c r="G18" s="27">
        <v>0</v>
      </c>
      <c r="H18" s="27"/>
      <c r="I18" s="27"/>
      <c r="J18" s="27"/>
      <c r="K18" s="27"/>
      <c r="L18" s="27"/>
      <c r="M18" s="27"/>
      <c r="N18" s="27"/>
      <c r="O18" s="27"/>
      <c r="P18" s="27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</row>
    <row r="19" spans="1:35" s="38" customFormat="1" ht="15" x14ac:dyDescent="0.25">
      <c r="A19" s="53">
        <v>11</v>
      </c>
      <c r="B19" s="54">
        <v>2.2999999999999998</v>
      </c>
      <c r="C19" s="54">
        <v>2.4500000000000002</v>
      </c>
      <c r="D19" s="117">
        <f t="shared" si="0"/>
        <v>617</v>
      </c>
      <c r="E19" s="77">
        <v>500</v>
      </c>
      <c r="F19" s="27">
        <v>117</v>
      </c>
      <c r="G19" s="27">
        <v>0</v>
      </c>
      <c r="H19" s="27"/>
      <c r="I19" s="27"/>
      <c r="J19" s="27"/>
      <c r="K19" s="27"/>
      <c r="L19" s="27"/>
      <c r="M19" s="27"/>
      <c r="N19" s="27"/>
      <c r="O19" s="27"/>
      <c r="P19" s="27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</row>
    <row r="20" spans="1:35" s="38" customFormat="1" ht="15" x14ac:dyDescent="0.25">
      <c r="A20" s="53">
        <v>12</v>
      </c>
      <c r="B20" s="54">
        <v>2.4500000000000002</v>
      </c>
      <c r="C20" s="54">
        <v>3</v>
      </c>
      <c r="D20" s="117">
        <f t="shared" si="0"/>
        <v>617</v>
      </c>
      <c r="E20" s="77">
        <v>500</v>
      </c>
      <c r="F20" s="27">
        <v>117</v>
      </c>
      <c r="G20" s="27">
        <v>0</v>
      </c>
      <c r="H20" s="27"/>
      <c r="I20" s="27"/>
      <c r="J20" s="27"/>
      <c r="K20" s="27"/>
      <c r="L20" s="27"/>
      <c r="M20" s="27"/>
      <c r="N20" s="27"/>
      <c r="O20" s="27"/>
      <c r="P20" s="27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</row>
    <row r="21" spans="1:35" s="38" customFormat="1" ht="15" x14ac:dyDescent="0.25">
      <c r="A21" s="53">
        <v>13</v>
      </c>
      <c r="B21" s="54">
        <v>3</v>
      </c>
      <c r="C21" s="54">
        <v>3.15</v>
      </c>
      <c r="D21" s="117">
        <f t="shared" si="0"/>
        <v>617</v>
      </c>
      <c r="E21" s="77">
        <v>500</v>
      </c>
      <c r="F21" s="27">
        <v>117</v>
      </c>
      <c r="G21" s="27">
        <v>0</v>
      </c>
      <c r="H21" s="27"/>
      <c r="I21" s="27"/>
      <c r="J21" s="27"/>
      <c r="K21" s="27"/>
      <c r="L21" s="27"/>
      <c r="M21" s="27"/>
      <c r="N21" s="27"/>
      <c r="O21" s="27"/>
      <c r="P21" s="27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</row>
    <row r="22" spans="1:35" s="38" customFormat="1" ht="15" x14ac:dyDescent="0.25">
      <c r="A22" s="53">
        <v>14</v>
      </c>
      <c r="B22" s="54">
        <v>3.15</v>
      </c>
      <c r="C22" s="54">
        <v>3.3</v>
      </c>
      <c r="D22" s="117">
        <f t="shared" si="0"/>
        <v>617</v>
      </c>
      <c r="E22" s="77">
        <v>500</v>
      </c>
      <c r="F22" s="27">
        <v>117</v>
      </c>
      <c r="G22" s="27">
        <v>0</v>
      </c>
      <c r="H22" s="27"/>
      <c r="I22" s="27"/>
      <c r="J22" s="27"/>
      <c r="K22" s="27"/>
      <c r="L22" s="27"/>
      <c r="M22" s="27"/>
      <c r="N22" s="27"/>
      <c r="O22" s="27"/>
      <c r="P22" s="27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</row>
    <row r="23" spans="1:35" s="38" customFormat="1" ht="15" x14ac:dyDescent="0.25">
      <c r="A23" s="53">
        <v>15</v>
      </c>
      <c r="B23" s="54">
        <v>3.3</v>
      </c>
      <c r="C23" s="54">
        <v>3.45</v>
      </c>
      <c r="D23" s="117">
        <f t="shared" si="0"/>
        <v>617</v>
      </c>
      <c r="E23" s="77">
        <v>500</v>
      </c>
      <c r="F23" s="27">
        <v>117</v>
      </c>
      <c r="G23" s="27">
        <v>0</v>
      </c>
      <c r="H23" s="27"/>
      <c r="I23" s="27"/>
      <c r="J23" s="27"/>
      <c r="K23" s="27"/>
      <c r="L23" s="27"/>
      <c r="M23" s="27"/>
      <c r="N23" s="27"/>
      <c r="O23" s="27"/>
      <c r="P23" s="27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</row>
    <row r="24" spans="1:35" s="38" customFormat="1" ht="15" x14ac:dyDescent="0.25">
      <c r="A24" s="53">
        <v>16</v>
      </c>
      <c r="B24" s="54">
        <v>3.45</v>
      </c>
      <c r="C24" s="54">
        <v>4</v>
      </c>
      <c r="D24" s="117">
        <f t="shared" si="0"/>
        <v>617</v>
      </c>
      <c r="E24" s="77">
        <v>500</v>
      </c>
      <c r="F24" s="27">
        <v>117</v>
      </c>
      <c r="G24" s="27">
        <v>0</v>
      </c>
      <c r="H24" s="27"/>
      <c r="I24" s="27"/>
      <c r="J24" s="27"/>
      <c r="K24" s="27"/>
      <c r="L24" s="27"/>
      <c r="M24" s="27"/>
      <c r="N24" s="27"/>
      <c r="O24" s="27"/>
      <c r="P24" s="27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</row>
    <row r="25" spans="1:35" s="38" customFormat="1" ht="15" x14ac:dyDescent="0.25">
      <c r="A25" s="53">
        <v>17</v>
      </c>
      <c r="B25" s="54">
        <v>4</v>
      </c>
      <c r="C25" s="54">
        <v>4.1500000000000004</v>
      </c>
      <c r="D25" s="117">
        <f t="shared" si="0"/>
        <v>617</v>
      </c>
      <c r="E25" s="77">
        <v>500</v>
      </c>
      <c r="F25" s="27">
        <v>117</v>
      </c>
      <c r="G25" s="27">
        <v>0</v>
      </c>
      <c r="H25" s="27"/>
      <c r="I25" s="27"/>
      <c r="J25" s="27"/>
      <c r="K25" s="27"/>
      <c r="L25" s="27"/>
      <c r="M25" s="27"/>
      <c r="N25" s="27"/>
      <c r="O25" s="27"/>
      <c r="P25" s="27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</row>
    <row r="26" spans="1:35" s="38" customFormat="1" ht="15" x14ac:dyDescent="0.25">
      <c r="A26" s="53">
        <v>18</v>
      </c>
      <c r="B26" s="54">
        <v>4.1500000000000004</v>
      </c>
      <c r="C26" s="54">
        <v>4.3</v>
      </c>
      <c r="D26" s="117">
        <f t="shared" si="0"/>
        <v>617</v>
      </c>
      <c r="E26" s="77">
        <v>500</v>
      </c>
      <c r="F26" s="27">
        <v>117</v>
      </c>
      <c r="G26" s="27">
        <v>0</v>
      </c>
      <c r="H26" s="27"/>
      <c r="I26" s="27"/>
      <c r="J26" s="27"/>
      <c r="K26" s="27"/>
      <c r="L26" s="27"/>
      <c r="M26" s="27"/>
      <c r="N26" s="27"/>
      <c r="O26" s="27"/>
      <c r="P26" s="27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</row>
    <row r="27" spans="1:35" s="38" customFormat="1" ht="15" x14ac:dyDescent="0.25">
      <c r="A27" s="53">
        <v>19</v>
      </c>
      <c r="B27" s="54">
        <v>4.3</v>
      </c>
      <c r="C27" s="54">
        <v>4.45</v>
      </c>
      <c r="D27" s="117">
        <f t="shared" si="0"/>
        <v>617</v>
      </c>
      <c r="E27" s="77">
        <v>500</v>
      </c>
      <c r="F27" s="27">
        <v>117</v>
      </c>
      <c r="G27" s="27">
        <v>0</v>
      </c>
      <c r="H27" s="27"/>
      <c r="I27" s="27"/>
      <c r="J27" s="27"/>
      <c r="K27" s="27"/>
      <c r="L27" s="27"/>
      <c r="M27" s="27"/>
      <c r="N27" s="27"/>
      <c r="O27" s="27"/>
      <c r="P27" s="27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</row>
    <row r="28" spans="1:35" s="38" customFormat="1" ht="15" x14ac:dyDescent="0.25">
      <c r="A28" s="53">
        <v>20</v>
      </c>
      <c r="B28" s="54">
        <v>4.45</v>
      </c>
      <c r="C28" s="54">
        <v>5</v>
      </c>
      <c r="D28" s="117">
        <f t="shared" si="0"/>
        <v>617</v>
      </c>
      <c r="E28" s="77">
        <v>500</v>
      </c>
      <c r="F28" s="27">
        <v>117</v>
      </c>
      <c r="G28" s="27">
        <v>0</v>
      </c>
      <c r="H28" s="27"/>
      <c r="I28" s="27"/>
      <c r="J28" s="27"/>
      <c r="K28" s="27"/>
      <c r="L28" s="27"/>
      <c r="M28" s="27"/>
      <c r="N28" s="27"/>
      <c r="O28" s="27"/>
      <c r="P28" s="27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</row>
    <row r="29" spans="1:35" s="38" customFormat="1" ht="15" x14ac:dyDescent="0.25">
      <c r="A29" s="53">
        <v>21</v>
      </c>
      <c r="B29" s="54">
        <v>5</v>
      </c>
      <c r="C29" s="54">
        <v>5.15</v>
      </c>
      <c r="D29" s="117">
        <f t="shared" si="0"/>
        <v>617</v>
      </c>
      <c r="E29" s="77">
        <v>500</v>
      </c>
      <c r="F29" s="27">
        <v>117</v>
      </c>
      <c r="G29" s="27">
        <v>0</v>
      </c>
      <c r="H29" s="27"/>
      <c r="I29" s="27"/>
      <c r="J29" s="27"/>
      <c r="K29" s="27"/>
      <c r="L29" s="27"/>
      <c r="M29" s="27"/>
      <c r="N29" s="27"/>
      <c r="O29" s="27"/>
      <c r="P29" s="27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</row>
    <row r="30" spans="1:35" s="38" customFormat="1" ht="15" x14ac:dyDescent="0.25">
      <c r="A30" s="53">
        <v>22</v>
      </c>
      <c r="B30" s="54">
        <v>5.15</v>
      </c>
      <c r="C30" s="54">
        <v>5.3</v>
      </c>
      <c r="D30" s="117">
        <f t="shared" si="0"/>
        <v>617</v>
      </c>
      <c r="E30" s="77">
        <v>500</v>
      </c>
      <c r="F30" s="27">
        <v>117</v>
      </c>
      <c r="G30" s="27">
        <v>0</v>
      </c>
      <c r="H30" s="27"/>
      <c r="I30" s="27"/>
      <c r="J30" s="27"/>
      <c r="K30" s="27"/>
      <c r="L30" s="27"/>
      <c r="M30" s="27"/>
      <c r="N30" s="27"/>
      <c r="O30" s="27"/>
      <c r="P30" s="27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</row>
    <row r="31" spans="1:35" s="38" customFormat="1" ht="15" x14ac:dyDescent="0.25">
      <c r="A31" s="53">
        <v>23</v>
      </c>
      <c r="B31" s="54">
        <v>5.3</v>
      </c>
      <c r="C31" s="54">
        <v>5.45</v>
      </c>
      <c r="D31" s="117">
        <f t="shared" si="0"/>
        <v>617</v>
      </c>
      <c r="E31" s="77">
        <v>500</v>
      </c>
      <c r="F31" s="27">
        <v>117</v>
      </c>
      <c r="G31" s="27">
        <v>0</v>
      </c>
      <c r="H31" s="27"/>
      <c r="I31" s="27"/>
      <c r="J31" s="27"/>
      <c r="K31" s="27"/>
      <c r="L31" s="27"/>
      <c r="M31" s="27"/>
      <c r="N31" s="27"/>
      <c r="O31" s="27"/>
      <c r="P31" s="27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</row>
    <row r="32" spans="1:35" s="38" customFormat="1" ht="15" x14ac:dyDescent="0.25">
      <c r="A32" s="53">
        <v>24</v>
      </c>
      <c r="B32" s="54">
        <v>5.45</v>
      </c>
      <c r="C32" s="54">
        <v>6</v>
      </c>
      <c r="D32" s="117">
        <f t="shared" si="0"/>
        <v>617</v>
      </c>
      <c r="E32" s="77">
        <v>500</v>
      </c>
      <c r="F32" s="27">
        <v>117</v>
      </c>
      <c r="G32" s="27">
        <v>0</v>
      </c>
      <c r="H32" s="27"/>
      <c r="I32" s="27"/>
      <c r="J32" s="27"/>
      <c r="K32" s="27"/>
      <c r="L32" s="27"/>
      <c r="M32" s="27"/>
      <c r="N32" s="27"/>
      <c r="O32" s="27"/>
      <c r="P32" s="27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</row>
    <row r="33" spans="1:35" s="38" customFormat="1" ht="15" x14ac:dyDescent="0.25">
      <c r="A33" s="53">
        <v>25</v>
      </c>
      <c r="B33" s="54">
        <v>6</v>
      </c>
      <c r="C33" s="54">
        <v>6.15</v>
      </c>
      <c r="D33" s="117">
        <f t="shared" si="0"/>
        <v>617</v>
      </c>
      <c r="E33" s="77">
        <v>500</v>
      </c>
      <c r="F33" s="27">
        <v>117</v>
      </c>
      <c r="G33" s="27">
        <v>0</v>
      </c>
      <c r="H33" s="27"/>
      <c r="I33" s="27"/>
      <c r="J33" s="27"/>
      <c r="K33" s="27"/>
      <c r="L33" s="27"/>
      <c r="M33" s="27"/>
      <c r="N33" s="27"/>
      <c r="O33" s="27"/>
      <c r="P33" s="27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</row>
    <row r="34" spans="1:35" s="38" customFormat="1" ht="15" x14ac:dyDescent="0.25">
      <c r="A34" s="53">
        <v>26</v>
      </c>
      <c r="B34" s="54">
        <v>6.15</v>
      </c>
      <c r="C34" s="54">
        <v>6.3</v>
      </c>
      <c r="D34" s="117">
        <f t="shared" si="0"/>
        <v>617</v>
      </c>
      <c r="E34" s="77">
        <v>500</v>
      </c>
      <c r="F34" s="27">
        <v>117</v>
      </c>
      <c r="G34" s="27">
        <v>0</v>
      </c>
      <c r="H34" s="27"/>
      <c r="I34" s="27"/>
      <c r="J34" s="27"/>
      <c r="K34" s="27"/>
      <c r="L34" s="27"/>
      <c r="M34" s="27"/>
      <c r="N34" s="27"/>
      <c r="O34" s="27"/>
      <c r="P34" s="27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</row>
    <row r="35" spans="1:35" s="38" customFormat="1" ht="18" customHeight="1" x14ac:dyDescent="0.25">
      <c r="A35" s="53">
        <v>27</v>
      </c>
      <c r="B35" s="54">
        <v>6.3</v>
      </c>
      <c r="C35" s="54">
        <v>6.45</v>
      </c>
      <c r="D35" s="117">
        <f t="shared" si="0"/>
        <v>617</v>
      </c>
      <c r="E35" s="77">
        <v>500</v>
      </c>
      <c r="F35" s="27">
        <v>117</v>
      </c>
      <c r="G35" s="27">
        <v>0</v>
      </c>
      <c r="H35" s="27"/>
      <c r="I35" s="27"/>
      <c r="J35" s="27"/>
      <c r="K35" s="27"/>
      <c r="L35" s="27"/>
      <c r="M35" s="27"/>
      <c r="N35" s="27"/>
      <c r="O35" s="27"/>
      <c r="P35" s="27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</row>
    <row r="36" spans="1:35" s="38" customFormat="1" ht="15" x14ac:dyDescent="0.25">
      <c r="A36" s="53">
        <v>28</v>
      </c>
      <c r="B36" s="54">
        <v>6.45</v>
      </c>
      <c r="C36" s="54">
        <v>7</v>
      </c>
      <c r="D36" s="117">
        <f t="shared" si="0"/>
        <v>617</v>
      </c>
      <c r="E36" s="77">
        <v>500</v>
      </c>
      <c r="F36" s="27">
        <v>117</v>
      </c>
      <c r="G36" s="27">
        <v>0</v>
      </c>
      <c r="H36" s="27"/>
      <c r="I36" s="27"/>
      <c r="J36" s="27"/>
      <c r="K36" s="27"/>
      <c r="L36" s="27"/>
      <c r="M36" s="27"/>
      <c r="N36" s="27"/>
      <c r="O36" s="27"/>
      <c r="P36" s="27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</row>
    <row r="37" spans="1:35" s="38" customFormat="1" ht="15" x14ac:dyDescent="0.25">
      <c r="A37" s="53">
        <v>29</v>
      </c>
      <c r="B37" s="54">
        <v>7</v>
      </c>
      <c r="C37" s="54">
        <v>7.15</v>
      </c>
      <c r="D37" s="117">
        <f t="shared" si="0"/>
        <v>617</v>
      </c>
      <c r="E37" s="77">
        <v>500</v>
      </c>
      <c r="F37" s="27">
        <v>117</v>
      </c>
      <c r="G37" s="27">
        <v>0</v>
      </c>
      <c r="H37" s="27"/>
      <c r="I37" s="27"/>
      <c r="J37" s="27"/>
      <c r="K37" s="27"/>
      <c r="L37" s="27"/>
      <c r="M37" s="27"/>
      <c r="N37" s="27"/>
      <c r="O37" s="27"/>
      <c r="P37" s="27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</row>
    <row r="38" spans="1:35" s="38" customFormat="1" ht="15" x14ac:dyDescent="0.25">
      <c r="A38" s="53">
        <v>30</v>
      </c>
      <c r="B38" s="54">
        <v>7.15</v>
      </c>
      <c r="C38" s="54">
        <v>7.3</v>
      </c>
      <c r="D38" s="117">
        <f t="shared" si="0"/>
        <v>617</v>
      </c>
      <c r="E38" s="77">
        <v>500</v>
      </c>
      <c r="F38" s="27">
        <v>117</v>
      </c>
      <c r="G38" s="27">
        <v>0</v>
      </c>
      <c r="H38" s="27"/>
      <c r="I38" s="27"/>
      <c r="J38" s="27"/>
      <c r="K38" s="27"/>
      <c r="L38" s="27"/>
      <c r="M38" s="27"/>
      <c r="N38" s="27"/>
      <c r="O38" s="27"/>
      <c r="P38" s="27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</row>
    <row r="39" spans="1:35" s="38" customFormat="1" ht="15" x14ac:dyDescent="0.25">
      <c r="A39" s="53">
        <v>31</v>
      </c>
      <c r="B39" s="54">
        <v>7.3</v>
      </c>
      <c r="C39" s="54">
        <v>7.45</v>
      </c>
      <c r="D39" s="117">
        <f t="shared" si="0"/>
        <v>617</v>
      </c>
      <c r="E39" s="77">
        <v>500</v>
      </c>
      <c r="F39" s="27">
        <v>117</v>
      </c>
      <c r="G39" s="27">
        <v>0</v>
      </c>
      <c r="H39" s="27"/>
      <c r="I39" s="27"/>
      <c r="J39" s="27"/>
      <c r="K39" s="27"/>
      <c r="L39" s="27"/>
      <c r="M39" s="27"/>
      <c r="N39" s="27"/>
      <c r="O39" s="27"/>
      <c r="P39" s="27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</row>
    <row r="40" spans="1:35" s="38" customFormat="1" ht="15" x14ac:dyDescent="0.25">
      <c r="A40" s="53">
        <v>32</v>
      </c>
      <c r="B40" s="54">
        <v>7.45</v>
      </c>
      <c r="C40" s="54">
        <v>8</v>
      </c>
      <c r="D40" s="117">
        <f t="shared" si="0"/>
        <v>617</v>
      </c>
      <c r="E40" s="77">
        <v>500</v>
      </c>
      <c r="F40" s="27">
        <v>117</v>
      </c>
      <c r="G40" s="27">
        <v>0</v>
      </c>
      <c r="H40" s="27"/>
      <c r="I40" s="27"/>
      <c r="J40" s="27"/>
      <c r="K40" s="27"/>
      <c r="L40" s="27"/>
      <c r="M40" s="27"/>
      <c r="N40" s="27"/>
      <c r="O40" s="27"/>
      <c r="P40" s="27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</row>
    <row r="41" spans="1:35" ht="15" x14ac:dyDescent="0.25">
      <c r="A41" s="53">
        <v>33</v>
      </c>
      <c r="B41" s="54">
        <v>8</v>
      </c>
      <c r="C41" s="54">
        <v>8.15</v>
      </c>
      <c r="D41" s="117">
        <f t="shared" si="0"/>
        <v>617</v>
      </c>
      <c r="E41" s="77">
        <v>500</v>
      </c>
      <c r="F41" s="27">
        <v>117</v>
      </c>
      <c r="G41" s="27">
        <v>0</v>
      </c>
      <c r="H41" s="27"/>
      <c r="I41" s="27"/>
      <c r="J41" s="27"/>
      <c r="K41" s="27"/>
      <c r="L41" s="27"/>
      <c r="M41" s="27"/>
      <c r="N41" s="27"/>
      <c r="O41" s="27"/>
      <c r="P41" s="27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</row>
    <row r="42" spans="1:35" ht="15" x14ac:dyDescent="0.25">
      <c r="A42" s="53">
        <v>34</v>
      </c>
      <c r="B42" s="54">
        <v>8.15</v>
      </c>
      <c r="C42" s="56">
        <v>8.3000000000000007</v>
      </c>
      <c r="D42" s="117">
        <f t="shared" si="0"/>
        <v>617</v>
      </c>
      <c r="E42" s="77">
        <v>500</v>
      </c>
      <c r="F42" s="27">
        <v>117</v>
      </c>
      <c r="G42" s="27">
        <v>0</v>
      </c>
      <c r="H42" s="27"/>
      <c r="I42" s="27"/>
      <c r="J42" s="27"/>
      <c r="K42" s="27"/>
      <c r="L42" s="27"/>
      <c r="M42" s="27"/>
      <c r="N42" s="27"/>
      <c r="O42" s="27"/>
      <c r="P42" s="27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</row>
    <row r="43" spans="1:35" ht="15" x14ac:dyDescent="0.25">
      <c r="A43" s="53">
        <v>35</v>
      </c>
      <c r="B43" s="54">
        <v>8.3000000000000007</v>
      </c>
      <c r="C43" s="54">
        <v>8.4499999999999993</v>
      </c>
      <c r="D43" s="117">
        <f t="shared" si="0"/>
        <v>617</v>
      </c>
      <c r="E43" s="77">
        <v>500</v>
      </c>
      <c r="F43" s="27">
        <v>117</v>
      </c>
      <c r="G43" s="27">
        <v>0</v>
      </c>
      <c r="H43" s="27"/>
      <c r="I43" s="27"/>
      <c r="J43" s="27"/>
      <c r="K43" s="27"/>
      <c r="L43" s="27"/>
      <c r="M43" s="27"/>
      <c r="N43" s="27"/>
      <c r="O43" s="27"/>
      <c r="P43" s="27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</row>
    <row r="44" spans="1:35" ht="15" x14ac:dyDescent="0.25">
      <c r="A44" s="53">
        <v>36</v>
      </c>
      <c r="B44" s="54">
        <v>8.4499999999999993</v>
      </c>
      <c r="C44" s="54">
        <v>9</v>
      </c>
      <c r="D44" s="117">
        <f t="shared" si="0"/>
        <v>567</v>
      </c>
      <c r="E44" s="77">
        <v>500</v>
      </c>
      <c r="F44" s="27">
        <v>67</v>
      </c>
      <c r="G44" s="27">
        <v>0</v>
      </c>
      <c r="H44" s="27"/>
      <c r="I44" s="27"/>
      <c r="J44" s="27"/>
      <c r="K44" s="27"/>
      <c r="L44" s="27"/>
      <c r="M44" s="27"/>
      <c r="N44" s="27"/>
      <c r="O44" s="27"/>
      <c r="P44" s="27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</row>
    <row r="45" spans="1:35" ht="15" x14ac:dyDescent="0.25">
      <c r="A45" s="53">
        <v>37</v>
      </c>
      <c r="B45" s="54">
        <v>9</v>
      </c>
      <c r="C45" s="54">
        <v>9.15</v>
      </c>
      <c r="D45" s="117">
        <f t="shared" si="0"/>
        <v>500</v>
      </c>
      <c r="E45" s="77">
        <v>500</v>
      </c>
      <c r="F45" s="27">
        <v>0</v>
      </c>
      <c r="G45" s="27">
        <v>0</v>
      </c>
      <c r="H45" s="27"/>
      <c r="I45" s="27"/>
      <c r="J45" s="27"/>
      <c r="K45" s="27"/>
      <c r="L45" s="27"/>
      <c r="M45" s="27"/>
      <c r="N45" s="27"/>
      <c r="O45" s="27"/>
      <c r="P45" s="27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</row>
    <row r="46" spans="1:35" ht="15" x14ac:dyDescent="0.25">
      <c r="A46" s="53">
        <v>38</v>
      </c>
      <c r="B46" s="56">
        <v>9.15</v>
      </c>
      <c r="C46" s="56">
        <v>9.3000000000000007</v>
      </c>
      <c r="D46" s="117">
        <f t="shared" si="0"/>
        <v>500</v>
      </c>
      <c r="E46" s="77">
        <v>500</v>
      </c>
      <c r="F46" s="27">
        <v>0</v>
      </c>
      <c r="G46" s="27">
        <v>0</v>
      </c>
      <c r="H46" s="27"/>
      <c r="I46" s="27"/>
      <c r="J46" s="27"/>
      <c r="K46" s="27"/>
      <c r="L46" s="27"/>
      <c r="M46" s="27"/>
      <c r="N46" s="27"/>
      <c r="O46" s="27"/>
      <c r="P46" s="27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</row>
    <row r="47" spans="1:35" ht="15" x14ac:dyDescent="0.25">
      <c r="A47" s="53">
        <v>39</v>
      </c>
      <c r="B47" s="54">
        <v>9.3000000000000007</v>
      </c>
      <c r="C47" s="54">
        <v>9.4499999999999993</v>
      </c>
      <c r="D47" s="117">
        <f t="shared" si="0"/>
        <v>550</v>
      </c>
      <c r="E47" s="77">
        <v>500</v>
      </c>
      <c r="F47" s="27">
        <v>50</v>
      </c>
      <c r="G47" s="27">
        <v>0</v>
      </c>
      <c r="H47" s="27"/>
      <c r="I47" s="27"/>
      <c r="J47" s="27"/>
      <c r="K47" s="27"/>
      <c r="L47" s="27"/>
      <c r="M47" s="27"/>
      <c r="N47" s="27"/>
      <c r="O47" s="27"/>
      <c r="P47" s="27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</row>
    <row r="48" spans="1:35" ht="15" x14ac:dyDescent="0.25">
      <c r="A48" s="53">
        <v>40</v>
      </c>
      <c r="B48" s="54">
        <v>9.4499999999999993</v>
      </c>
      <c r="C48" s="54">
        <v>10</v>
      </c>
      <c r="D48" s="117">
        <f t="shared" si="0"/>
        <v>600</v>
      </c>
      <c r="E48" s="77">
        <v>500</v>
      </c>
      <c r="F48" s="27">
        <v>100</v>
      </c>
      <c r="G48" s="27">
        <v>0</v>
      </c>
      <c r="H48" s="27"/>
      <c r="I48" s="27"/>
      <c r="J48" s="27"/>
      <c r="K48" s="27"/>
      <c r="L48" s="27"/>
      <c r="M48" s="27"/>
      <c r="N48" s="27"/>
      <c r="O48" s="27"/>
      <c r="P48" s="27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</row>
    <row r="49" spans="1:35" ht="15" x14ac:dyDescent="0.25">
      <c r="A49" s="53">
        <v>41</v>
      </c>
      <c r="B49" s="54">
        <v>10</v>
      </c>
      <c r="C49" s="54">
        <v>10.15</v>
      </c>
      <c r="D49" s="117">
        <f t="shared" si="0"/>
        <v>617</v>
      </c>
      <c r="E49" s="77">
        <v>500</v>
      </c>
      <c r="F49" s="27">
        <v>117</v>
      </c>
      <c r="G49" s="27">
        <v>0</v>
      </c>
      <c r="H49" s="27"/>
      <c r="I49" s="27"/>
      <c r="J49" s="27"/>
      <c r="K49" s="27"/>
      <c r="L49" s="27"/>
      <c r="M49" s="27"/>
      <c r="N49" s="27"/>
      <c r="O49" s="27"/>
      <c r="P49" s="27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</row>
    <row r="50" spans="1:35" ht="15" x14ac:dyDescent="0.25">
      <c r="A50" s="53">
        <v>42</v>
      </c>
      <c r="B50" s="54">
        <v>10.15</v>
      </c>
      <c r="C50" s="54">
        <v>10.3</v>
      </c>
      <c r="D50" s="117">
        <f t="shared" si="0"/>
        <v>617</v>
      </c>
      <c r="E50" s="77">
        <v>500</v>
      </c>
      <c r="F50" s="27">
        <v>117</v>
      </c>
      <c r="G50" s="27">
        <v>0</v>
      </c>
      <c r="H50" s="27"/>
      <c r="I50" s="27"/>
      <c r="J50" s="27"/>
      <c r="K50" s="27"/>
      <c r="L50" s="27"/>
      <c r="M50" s="27"/>
      <c r="N50" s="27"/>
      <c r="O50" s="27"/>
      <c r="P50" s="27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</row>
    <row r="51" spans="1:35" ht="15" x14ac:dyDescent="0.25">
      <c r="A51" s="53">
        <v>43</v>
      </c>
      <c r="B51" s="54">
        <v>10.3</v>
      </c>
      <c r="C51" s="54">
        <v>10.45</v>
      </c>
      <c r="D51" s="117">
        <f t="shared" si="0"/>
        <v>617</v>
      </c>
      <c r="E51" s="77">
        <v>500</v>
      </c>
      <c r="F51" s="27">
        <v>117</v>
      </c>
      <c r="G51" s="27">
        <v>0</v>
      </c>
      <c r="H51" s="27"/>
      <c r="I51" s="27"/>
      <c r="J51" s="27"/>
      <c r="K51" s="27"/>
      <c r="L51" s="27"/>
      <c r="M51" s="27"/>
      <c r="N51" s="27"/>
      <c r="O51" s="27"/>
      <c r="P51" s="27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</row>
    <row r="52" spans="1:35" ht="15" x14ac:dyDescent="0.25">
      <c r="A52" s="53">
        <v>44</v>
      </c>
      <c r="B52" s="54">
        <v>10.45</v>
      </c>
      <c r="C52" s="54">
        <v>11</v>
      </c>
      <c r="D52" s="117">
        <f t="shared" si="0"/>
        <v>617</v>
      </c>
      <c r="E52" s="77">
        <v>500</v>
      </c>
      <c r="F52" s="27">
        <v>117</v>
      </c>
      <c r="G52" s="27">
        <v>0</v>
      </c>
      <c r="H52" s="27"/>
      <c r="I52" s="27"/>
      <c r="J52" s="27"/>
      <c r="K52" s="27"/>
      <c r="L52" s="27"/>
      <c r="M52" s="27"/>
      <c r="N52" s="27"/>
      <c r="O52" s="27"/>
      <c r="P52" s="27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</row>
    <row r="53" spans="1:35" ht="15" x14ac:dyDescent="0.25">
      <c r="A53" s="53">
        <v>45</v>
      </c>
      <c r="B53" s="54">
        <v>11</v>
      </c>
      <c r="C53" s="54">
        <v>11.15</v>
      </c>
      <c r="D53" s="117">
        <f t="shared" si="0"/>
        <v>617</v>
      </c>
      <c r="E53" s="77">
        <v>500</v>
      </c>
      <c r="F53" s="27">
        <v>117</v>
      </c>
      <c r="G53" s="27">
        <v>0</v>
      </c>
      <c r="H53" s="27"/>
      <c r="I53" s="27"/>
      <c r="J53" s="27"/>
      <c r="K53" s="27"/>
      <c r="L53" s="27"/>
      <c r="M53" s="27"/>
      <c r="N53" s="27"/>
      <c r="O53" s="27"/>
      <c r="P53" s="27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</row>
    <row r="54" spans="1:35" ht="15" x14ac:dyDescent="0.25">
      <c r="A54" s="53">
        <v>46</v>
      </c>
      <c r="B54" s="54">
        <v>11.15</v>
      </c>
      <c r="C54" s="54">
        <v>11.3</v>
      </c>
      <c r="D54" s="117">
        <f t="shared" si="0"/>
        <v>617</v>
      </c>
      <c r="E54" s="77">
        <v>500</v>
      </c>
      <c r="F54" s="27">
        <v>117</v>
      </c>
      <c r="G54" s="27">
        <v>0</v>
      </c>
      <c r="H54" s="27"/>
      <c r="I54" s="27"/>
      <c r="J54" s="27"/>
      <c r="K54" s="27"/>
      <c r="L54" s="27"/>
      <c r="M54" s="27"/>
      <c r="N54" s="27"/>
      <c r="O54" s="27"/>
      <c r="P54" s="27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</row>
    <row r="55" spans="1:35" ht="15" x14ac:dyDescent="0.25">
      <c r="A55" s="53">
        <v>47</v>
      </c>
      <c r="B55" s="54">
        <v>11.3</v>
      </c>
      <c r="C55" s="54">
        <v>11.45</v>
      </c>
      <c r="D55" s="117">
        <f t="shared" si="0"/>
        <v>617</v>
      </c>
      <c r="E55" s="77">
        <v>500</v>
      </c>
      <c r="F55" s="27">
        <v>117</v>
      </c>
      <c r="G55" s="27">
        <v>0</v>
      </c>
      <c r="H55" s="27"/>
      <c r="I55" s="27"/>
      <c r="J55" s="27"/>
      <c r="K55" s="27"/>
      <c r="L55" s="27"/>
      <c r="M55" s="27"/>
      <c r="N55" s="27"/>
      <c r="O55" s="27"/>
      <c r="P55" s="27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</row>
    <row r="56" spans="1:35" ht="15" x14ac:dyDescent="0.25">
      <c r="A56" s="53">
        <v>48</v>
      </c>
      <c r="B56" s="54">
        <v>11.45</v>
      </c>
      <c r="C56" s="54">
        <v>12</v>
      </c>
      <c r="D56" s="117">
        <f t="shared" si="0"/>
        <v>617</v>
      </c>
      <c r="E56" s="77">
        <v>500</v>
      </c>
      <c r="F56" s="27">
        <v>117</v>
      </c>
      <c r="G56" s="27">
        <v>0</v>
      </c>
      <c r="H56" s="27"/>
      <c r="I56" s="27"/>
      <c r="J56" s="27"/>
      <c r="K56" s="27"/>
      <c r="L56" s="27"/>
      <c r="M56" s="27"/>
      <c r="N56" s="27"/>
      <c r="O56" s="27"/>
      <c r="P56" s="27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</row>
    <row r="57" spans="1:35" ht="15" x14ac:dyDescent="0.25">
      <c r="A57" s="53">
        <v>49</v>
      </c>
      <c r="B57" s="54">
        <v>12</v>
      </c>
      <c r="C57" s="54">
        <v>12.15</v>
      </c>
      <c r="D57" s="117">
        <f t="shared" si="0"/>
        <v>617</v>
      </c>
      <c r="E57" s="77">
        <v>500</v>
      </c>
      <c r="F57" s="27">
        <v>117</v>
      </c>
      <c r="G57" s="27">
        <v>0</v>
      </c>
      <c r="H57" s="27"/>
      <c r="I57" s="27"/>
      <c r="J57" s="27"/>
      <c r="K57" s="27"/>
      <c r="L57" s="27"/>
      <c r="M57" s="27"/>
      <c r="N57" s="27"/>
      <c r="O57" s="27"/>
      <c r="P57" s="27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</row>
    <row r="58" spans="1:35" ht="15" x14ac:dyDescent="0.25">
      <c r="A58" s="53">
        <v>50</v>
      </c>
      <c r="B58" s="54">
        <v>12.15</v>
      </c>
      <c r="C58" s="54">
        <v>12.3</v>
      </c>
      <c r="D58" s="117">
        <f t="shared" si="0"/>
        <v>617</v>
      </c>
      <c r="E58" s="77">
        <v>500</v>
      </c>
      <c r="F58" s="27">
        <v>117</v>
      </c>
      <c r="G58" s="27">
        <v>0</v>
      </c>
      <c r="H58" s="27"/>
      <c r="I58" s="27"/>
      <c r="J58" s="27"/>
      <c r="K58" s="27"/>
      <c r="L58" s="27"/>
      <c r="M58" s="27"/>
      <c r="N58" s="27"/>
      <c r="O58" s="27"/>
      <c r="P58" s="27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</row>
    <row r="59" spans="1:35" ht="15" x14ac:dyDescent="0.25">
      <c r="A59" s="53">
        <v>51</v>
      </c>
      <c r="B59" s="54">
        <v>12.3</v>
      </c>
      <c r="C59" s="54">
        <v>12.45</v>
      </c>
      <c r="D59" s="117">
        <f t="shared" si="0"/>
        <v>617</v>
      </c>
      <c r="E59" s="77">
        <v>500</v>
      </c>
      <c r="F59" s="27">
        <v>117</v>
      </c>
      <c r="G59" s="27">
        <v>0</v>
      </c>
      <c r="H59" s="27"/>
      <c r="I59" s="27"/>
      <c r="J59" s="27"/>
      <c r="K59" s="27"/>
      <c r="L59" s="27"/>
      <c r="M59" s="27"/>
      <c r="N59" s="27"/>
      <c r="O59" s="27"/>
      <c r="P59" s="27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</row>
    <row r="60" spans="1:35" ht="15" x14ac:dyDescent="0.25">
      <c r="A60" s="53">
        <v>52</v>
      </c>
      <c r="B60" s="54">
        <v>12.45</v>
      </c>
      <c r="C60" s="54">
        <v>13</v>
      </c>
      <c r="D60" s="117">
        <f t="shared" si="0"/>
        <v>617</v>
      </c>
      <c r="E60" s="77">
        <v>500</v>
      </c>
      <c r="F60" s="27">
        <v>117</v>
      </c>
      <c r="G60" s="27">
        <v>0</v>
      </c>
      <c r="H60" s="27"/>
      <c r="I60" s="27"/>
      <c r="J60" s="27"/>
      <c r="K60" s="27"/>
      <c r="L60" s="27"/>
      <c r="M60" s="27"/>
      <c r="N60" s="27"/>
      <c r="O60" s="27"/>
      <c r="P60" s="27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</row>
    <row r="61" spans="1:35" ht="14.25" customHeight="1" x14ac:dyDescent="0.25">
      <c r="A61" s="53">
        <v>53</v>
      </c>
      <c r="B61" s="54">
        <v>13</v>
      </c>
      <c r="C61" s="54">
        <v>13.15</v>
      </c>
      <c r="D61" s="117">
        <f t="shared" si="0"/>
        <v>617</v>
      </c>
      <c r="E61" s="77">
        <v>500</v>
      </c>
      <c r="F61" s="27">
        <v>117</v>
      </c>
      <c r="G61" s="27">
        <v>0</v>
      </c>
      <c r="H61" s="27"/>
      <c r="I61" s="27"/>
      <c r="J61" s="27"/>
      <c r="K61" s="27"/>
      <c r="L61" s="27"/>
      <c r="M61" s="27"/>
      <c r="N61" s="27"/>
      <c r="O61" s="27"/>
      <c r="P61" s="27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</row>
    <row r="62" spans="1:35" ht="15" x14ac:dyDescent="0.25">
      <c r="A62" s="53">
        <v>54</v>
      </c>
      <c r="B62" s="54">
        <v>13.15</v>
      </c>
      <c r="C62" s="54">
        <v>13.3</v>
      </c>
      <c r="D62" s="117">
        <f t="shared" si="0"/>
        <v>617</v>
      </c>
      <c r="E62" s="77">
        <v>500</v>
      </c>
      <c r="F62" s="27">
        <v>117</v>
      </c>
      <c r="G62" s="27">
        <v>0</v>
      </c>
      <c r="H62" s="27"/>
      <c r="I62" s="27"/>
      <c r="J62" s="27"/>
      <c r="K62" s="27"/>
      <c r="L62" s="27"/>
      <c r="M62" s="27"/>
      <c r="N62" s="27"/>
      <c r="O62" s="27"/>
      <c r="P62" s="27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</row>
    <row r="63" spans="1:35" ht="15" x14ac:dyDescent="0.25">
      <c r="A63" s="53">
        <v>55</v>
      </c>
      <c r="B63" s="54">
        <v>13.3</v>
      </c>
      <c r="C63" s="54">
        <v>13.45</v>
      </c>
      <c r="D63" s="117">
        <f t="shared" si="0"/>
        <v>617</v>
      </c>
      <c r="E63" s="77">
        <v>500</v>
      </c>
      <c r="F63" s="27">
        <v>117</v>
      </c>
      <c r="G63" s="27">
        <v>0</v>
      </c>
      <c r="H63" s="27"/>
      <c r="I63" s="27"/>
      <c r="J63" s="27"/>
      <c r="K63" s="27"/>
      <c r="L63" s="27"/>
      <c r="M63" s="27"/>
      <c r="N63" s="27"/>
      <c r="O63" s="27"/>
      <c r="P63" s="27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</row>
    <row r="64" spans="1:35" ht="15" x14ac:dyDescent="0.25">
      <c r="A64" s="53">
        <v>56</v>
      </c>
      <c r="B64" s="54">
        <v>13.45</v>
      </c>
      <c r="C64" s="54">
        <v>14</v>
      </c>
      <c r="D64" s="117">
        <f t="shared" si="0"/>
        <v>617</v>
      </c>
      <c r="E64" s="77">
        <v>500</v>
      </c>
      <c r="F64" s="27">
        <v>117</v>
      </c>
      <c r="G64" s="27">
        <v>0</v>
      </c>
      <c r="H64" s="27"/>
      <c r="I64" s="27"/>
      <c r="J64" s="27"/>
      <c r="K64" s="27"/>
      <c r="L64" s="27"/>
      <c r="M64" s="27"/>
      <c r="N64" s="27"/>
      <c r="O64" s="27"/>
      <c r="P64" s="27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</row>
    <row r="65" spans="1:35" ht="15" x14ac:dyDescent="0.25">
      <c r="A65" s="53">
        <v>57</v>
      </c>
      <c r="B65" s="54">
        <v>14</v>
      </c>
      <c r="C65" s="54">
        <v>14.15</v>
      </c>
      <c r="D65" s="117">
        <f t="shared" si="0"/>
        <v>617</v>
      </c>
      <c r="E65" s="77">
        <v>500</v>
      </c>
      <c r="F65" s="27">
        <v>117</v>
      </c>
      <c r="G65" s="27">
        <v>0</v>
      </c>
      <c r="H65" s="27"/>
      <c r="I65" s="27"/>
      <c r="J65" s="27"/>
      <c r="K65" s="27"/>
      <c r="L65" s="27"/>
      <c r="M65" s="27"/>
      <c r="N65" s="27"/>
      <c r="O65" s="27"/>
      <c r="P65" s="27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</row>
    <row r="66" spans="1:35" ht="15" x14ac:dyDescent="0.25">
      <c r="A66" s="53">
        <v>58</v>
      </c>
      <c r="B66" s="54">
        <v>14.15</v>
      </c>
      <c r="C66" s="54">
        <v>14.3</v>
      </c>
      <c r="D66" s="117">
        <f t="shared" si="0"/>
        <v>617</v>
      </c>
      <c r="E66" s="77">
        <v>500</v>
      </c>
      <c r="F66" s="27">
        <v>117</v>
      </c>
      <c r="G66" s="27">
        <v>0</v>
      </c>
      <c r="H66" s="27"/>
      <c r="I66" s="27"/>
      <c r="J66" s="27"/>
      <c r="K66" s="27"/>
      <c r="L66" s="27"/>
      <c r="M66" s="27"/>
      <c r="N66" s="27"/>
      <c r="O66" s="27"/>
      <c r="P66" s="27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</row>
    <row r="67" spans="1:35" ht="15" x14ac:dyDescent="0.25">
      <c r="A67" s="53">
        <v>59</v>
      </c>
      <c r="B67" s="54">
        <v>14.3</v>
      </c>
      <c r="C67" s="54">
        <v>14.45</v>
      </c>
      <c r="D67" s="117">
        <f t="shared" si="0"/>
        <v>617</v>
      </c>
      <c r="E67" s="77">
        <v>500</v>
      </c>
      <c r="F67" s="27">
        <v>117</v>
      </c>
      <c r="G67" s="27">
        <v>0</v>
      </c>
      <c r="H67" s="27"/>
      <c r="I67" s="27"/>
      <c r="J67" s="27"/>
      <c r="K67" s="27"/>
      <c r="L67" s="27"/>
      <c r="M67" s="27"/>
      <c r="N67" s="27"/>
      <c r="O67" s="27"/>
      <c r="P67" s="27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</row>
    <row r="68" spans="1:35" ht="15" x14ac:dyDescent="0.25">
      <c r="A68" s="53">
        <v>60</v>
      </c>
      <c r="B68" s="54">
        <v>14.45</v>
      </c>
      <c r="C68" s="54">
        <v>15</v>
      </c>
      <c r="D68" s="117">
        <f t="shared" si="0"/>
        <v>617</v>
      </c>
      <c r="E68" s="77">
        <v>500</v>
      </c>
      <c r="F68" s="27">
        <v>117</v>
      </c>
      <c r="G68" s="27">
        <v>0</v>
      </c>
      <c r="H68" s="27"/>
      <c r="I68" s="27"/>
      <c r="J68" s="27"/>
      <c r="K68" s="27"/>
      <c r="L68" s="27"/>
      <c r="M68" s="27"/>
      <c r="N68" s="27"/>
      <c r="O68" s="27"/>
      <c r="P68" s="27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</row>
    <row r="69" spans="1:35" ht="15" x14ac:dyDescent="0.25">
      <c r="A69" s="53">
        <v>61</v>
      </c>
      <c r="B69" s="54">
        <v>15</v>
      </c>
      <c r="C69" s="54">
        <v>15.15</v>
      </c>
      <c r="D69" s="117">
        <f t="shared" si="0"/>
        <v>617</v>
      </c>
      <c r="E69" s="77">
        <v>500</v>
      </c>
      <c r="F69" s="27">
        <v>117</v>
      </c>
      <c r="G69" s="27">
        <v>0</v>
      </c>
      <c r="H69" s="27"/>
      <c r="I69" s="27"/>
      <c r="J69" s="27"/>
      <c r="K69" s="27"/>
      <c r="L69" s="27"/>
      <c r="M69" s="27"/>
      <c r="N69" s="27"/>
      <c r="O69" s="27"/>
      <c r="P69" s="27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</row>
    <row r="70" spans="1:35" ht="15" x14ac:dyDescent="0.25">
      <c r="A70" s="53">
        <v>62</v>
      </c>
      <c r="B70" s="54">
        <v>15.15</v>
      </c>
      <c r="C70" s="54">
        <v>15.3</v>
      </c>
      <c r="D70" s="117">
        <f t="shared" si="0"/>
        <v>617</v>
      </c>
      <c r="E70" s="77">
        <v>500</v>
      </c>
      <c r="F70" s="27">
        <v>117</v>
      </c>
      <c r="G70" s="27">
        <v>0</v>
      </c>
      <c r="H70" s="27"/>
      <c r="I70" s="27"/>
      <c r="J70" s="27"/>
      <c r="K70" s="27"/>
      <c r="L70" s="27"/>
      <c r="M70" s="27"/>
      <c r="N70" s="27"/>
      <c r="O70" s="27"/>
      <c r="P70" s="27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</row>
    <row r="71" spans="1:35" ht="15" x14ac:dyDescent="0.25">
      <c r="A71" s="53">
        <v>63</v>
      </c>
      <c r="B71" s="54">
        <v>15.3</v>
      </c>
      <c r="C71" s="54">
        <v>15.45</v>
      </c>
      <c r="D71" s="117">
        <f t="shared" si="0"/>
        <v>617</v>
      </c>
      <c r="E71" s="77">
        <v>500</v>
      </c>
      <c r="F71" s="27">
        <v>117</v>
      </c>
      <c r="G71" s="27">
        <v>0</v>
      </c>
      <c r="H71" s="27"/>
      <c r="I71" s="27"/>
      <c r="J71" s="27"/>
      <c r="K71" s="27"/>
      <c r="L71" s="27"/>
      <c r="M71" s="27"/>
      <c r="N71" s="27"/>
      <c r="O71" s="27"/>
      <c r="P71" s="27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</row>
    <row r="72" spans="1:35" ht="15" x14ac:dyDescent="0.25">
      <c r="A72" s="53">
        <v>64</v>
      </c>
      <c r="B72" s="54">
        <v>15.45</v>
      </c>
      <c r="C72" s="54">
        <v>16</v>
      </c>
      <c r="D72" s="117">
        <f t="shared" si="0"/>
        <v>617</v>
      </c>
      <c r="E72" s="77">
        <v>500</v>
      </c>
      <c r="F72" s="27">
        <v>117</v>
      </c>
      <c r="G72" s="27">
        <v>0</v>
      </c>
      <c r="H72" s="27"/>
      <c r="I72" s="27"/>
      <c r="J72" s="27"/>
      <c r="K72" s="27"/>
      <c r="L72" s="27"/>
      <c r="M72" s="27"/>
      <c r="N72" s="27"/>
      <c r="O72" s="27"/>
      <c r="P72" s="27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</row>
    <row r="73" spans="1:35" ht="15" x14ac:dyDescent="0.25">
      <c r="A73" s="53">
        <v>65</v>
      </c>
      <c r="B73" s="54">
        <v>16</v>
      </c>
      <c r="C73" s="54">
        <v>16.149999999999999</v>
      </c>
      <c r="D73" s="117">
        <f t="shared" si="0"/>
        <v>617</v>
      </c>
      <c r="E73" s="77">
        <v>500</v>
      </c>
      <c r="F73" s="27">
        <v>117</v>
      </c>
      <c r="G73" s="27">
        <v>0</v>
      </c>
      <c r="H73" s="27"/>
      <c r="I73" s="27"/>
      <c r="J73" s="27"/>
      <c r="K73" s="27"/>
      <c r="L73" s="27"/>
      <c r="M73" s="27"/>
      <c r="N73" s="27"/>
      <c r="O73" s="27"/>
      <c r="P73" s="27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</row>
    <row r="74" spans="1:35" ht="15" x14ac:dyDescent="0.25">
      <c r="A74" s="53">
        <v>66</v>
      </c>
      <c r="B74" s="54">
        <v>16.149999999999999</v>
      </c>
      <c r="C74" s="54">
        <v>16.3</v>
      </c>
      <c r="D74" s="117">
        <f t="shared" ref="D74:D104" si="1">SUM(E74:AI74)</f>
        <v>617</v>
      </c>
      <c r="E74" s="77">
        <v>500</v>
      </c>
      <c r="F74" s="27">
        <v>117</v>
      </c>
      <c r="G74" s="27">
        <v>0</v>
      </c>
      <c r="H74" s="27"/>
      <c r="I74" s="27"/>
      <c r="J74" s="27"/>
      <c r="K74" s="27"/>
      <c r="L74" s="27"/>
      <c r="M74" s="27"/>
      <c r="N74" s="27"/>
      <c r="O74" s="27"/>
      <c r="P74" s="27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</row>
    <row r="75" spans="1:35" ht="15" x14ac:dyDescent="0.25">
      <c r="A75" s="53">
        <v>67</v>
      </c>
      <c r="B75" s="54">
        <v>16.3</v>
      </c>
      <c r="C75" s="54">
        <v>16.45</v>
      </c>
      <c r="D75" s="117">
        <f t="shared" si="1"/>
        <v>617</v>
      </c>
      <c r="E75" s="77">
        <v>500</v>
      </c>
      <c r="F75" s="27">
        <v>117</v>
      </c>
      <c r="G75" s="27">
        <v>0</v>
      </c>
      <c r="H75" s="27"/>
      <c r="I75" s="27"/>
      <c r="J75" s="27"/>
      <c r="K75" s="27"/>
      <c r="L75" s="27"/>
      <c r="M75" s="27"/>
      <c r="N75" s="27"/>
      <c r="O75" s="27"/>
      <c r="P75" s="27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</row>
    <row r="76" spans="1:35" ht="15" x14ac:dyDescent="0.25">
      <c r="A76" s="53">
        <v>68</v>
      </c>
      <c r="B76" s="54">
        <v>16.45</v>
      </c>
      <c r="C76" s="54">
        <v>17</v>
      </c>
      <c r="D76" s="117">
        <f t="shared" si="1"/>
        <v>617</v>
      </c>
      <c r="E76" s="77">
        <v>500</v>
      </c>
      <c r="F76" s="27">
        <v>117</v>
      </c>
      <c r="G76" s="27">
        <v>0</v>
      </c>
      <c r="H76" s="27"/>
      <c r="I76" s="27"/>
      <c r="J76" s="27"/>
      <c r="K76" s="27"/>
      <c r="L76" s="27"/>
      <c r="M76" s="27"/>
      <c r="N76" s="27"/>
      <c r="O76" s="27"/>
      <c r="P76" s="27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</row>
    <row r="77" spans="1:35" ht="15" x14ac:dyDescent="0.25">
      <c r="A77" s="53">
        <v>69</v>
      </c>
      <c r="B77" s="54">
        <v>17</v>
      </c>
      <c r="C77" s="54">
        <v>17.149999999999999</v>
      </c>
      <c r="D77" s="117">
        <f t="shared" si="1"/>
        <v>617</v>
      </c>
      <c r="E77" s="77">
        <v>500</v>
      </c>
      <c r="F77" s="27">
        <v>117</v>
      </c>
      <c r="G77" s="27">
        <v>0</v>
      </c>
      <c r="H77" s="27"/>
      <c r="I77" s="27"/>
      <c r="J77" s="27"/>
      <c r="K77" s="27"/>
      <c r="L77" s="27"/>
      <c r="M77" s="27"/>
      <c r="N77" s="27"/>
      <c r="O77" s="27"/>
      <c r="P77" s="27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</row>
    <row r="78" spans="1:35" ht="15" x14ac:dyDescent="0.25">
      <c r="A78" s="53">
        <v>70</v>
      </c>
      <c r="B78" s="54">
        <v>17.149999999999999</v>
      </c>
      <c r="C78" s="54">
        <v>17.3</v>
      </c>
      <c r="D78" s="117">
        <f t="shared" si="1"/>
        <v>617</v>
      </c>
      <c r="E78" s="77">
        <v>500</v>
      </c>
      <c r="F78" s="27">
        <v>117</v>
      </c>
      <c r="G78" s="27">
        <v>0</v>
      </c>
      <c r="H78" s="27"/>
      <c r="I78" s="27"/>
      <c r="J78" s="27"/>
      <c r="K78" s="27"/>
      <c r="L78" s="27"/>
      <c r="M78" s="27"/>
      <c r="N78" s="27"/>
      <c r="O78" s="27"/>
      <c r="P78" s="27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</row>
    <row r="79" spans="1:35" ht="15" x14ac:dyDescent="0.25">
      <c r="A79" s="53">
        <v>71</v>
      </c>
      <c r="B79" s="54">
        <v>17.3</v>
      </c>
      <c r="C79" s="54">
        <v>17.45</v>
      </c>
      <c r="D79" s="117">
        <f t="shared" si="1"/>
        <v>617</v>
      </c>
      <c r="E79" s="77">
        <v>500</v>
      </c>
      <c r="F79" s="27">
        <v>117</v>
      </c>
      <c r="G79" s="27">
        <v>0</v>
      </c>
      <c r="H79" s="27"/>
      <c r="I79" s="27"/>
      <c r="J79" s="27"/>
      <c r="K79" s="27"/>
      <c r="L79" s="27"/>
      <c r="M79" s="27"/>
      <c r="N79" s="27"/>
      <c r="O79" s="27"/>
      <c r="P79" s="27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</row>
    <row r="80" spans="1:35" ht="15" x14ac:dyDescent="0.25">
      <c r="A80" s="53">
        <v>72</v>
      </c>
      <c r="B80" s="54">
        <v>17.45</v>
      </c>
      <c r="C80" s="54">
        <v>18</v>
      </c>
      <c r="D80" s="117">
        <f t="shared" si="1"/>
        <v>617</v>
      </c>
      <c r="E80" s="77">
        <v>500</v>
      </c>
      <c r="F80" s="27">
        <v>117</v>
      </c>
      <c r="G80" s="27">
        <v>0</v>
      </c>
      <c r="H80" s="27"/>
      <c r="I80" s="27"/>
      <c r="J80" s="27"/>
      <c r="K80" s="27"/>
      <c r="L80" s="27"/>
      <c r="M80" s="27"/>
      <c r="N80" s="27"/>
      <c r="O80" s="27"/>
      <c r="P80" s="27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</row>
    <row r="81" spans="1:35" ht="15" x14ac:dyDescent="0.25">
      <c r="A81" s="53">
        <v>73</v>
      </c>
      <c r="B81" s="54">
        <v>18</v>
      </c>
      <c r="C81" s="54">
        <v>18.149999999999999</v>
      </c>
      <c r="D81" s="117">
        <f t="shared" si="1"/>
        <v>617</v>
      </c>
      <c r="E81" s="77">
        <v>500</v>
      </c>
      <c r="F81" s="27">
        <v>117</v>
      </c>
      <c r="G81" s="27">
        <v>0</v>
      </c>
      <c r="H81" s="27"/>
      <c r="I81" s="27"/>
      <c r="J81" s="27"/>
      <c r="K81" s="27"/>
      <c r="L81" s="27"/>
      <c r="M81" s="27"/>
      <c r="N81" s="27"/>
      <c r="O81" s="27"/>
      <c r="P81" s="27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</row>
    <row r="82" spans="1:35" ht="15" x14ac:dyDescent="0.25">
      <c r="A82" s="53">
        <v>74</v>
      </c>
      <c r="B82" s="54">
        <v>18.149999999999999</v>
      </c>
      <c r="C82" s="54">
        <v>18.3</v>
      </c>
      <c r="D82" s="117">
        <f t="shared" si="1"/>
        <v>617</v>
      </c>
      <c r="E82" s="77">
        <v>500</v>
      </c>
      <c r="F82" s="27">
        <v>117</v>
      </c>
      <c r="G82" s="27">
        <v>0</v>
      </c>
      <c r="H82" s="27"/>
      <c r="I82" s="27"/>
      <c r="J82" s="27"/>
      <c r="K82" s="27"/>
      <c r="L82" s="27"/>
      <c r="M82" s="27"/>
      <c r="N82" s="27"/>
      <c r="O82" s="27"/>
      <c r="P82" s="27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</row>
    <row r="83" spans="1:35" ht="15" x14ac:dyDescent="0.25">
      <c r="A83" s="53">
        <v>75</v>
      </c>
      <c r="B83" s="54">
        <v>18.3</v>
      </c>
      <c r="C83" s="54">
        <v>18.45</v>
      </c>
      <c r="D83" s="117">
        <f t="shared" si="1"/>
        <v>617</v>
      </c>
      <c r="E83" s="77">
        <v>500</v>
      </c>
      <c r="F83" s="27">
        <v>117</v>
      </c>
      <c r="G83" s="27">
        <v>0</v>
      </c>
      <c r="H83" s="27"/>
      <c r="I83" s="27"/>
      <c r="J83" s="27"/>
      <c r="K83" s="27"/>
      <c r="L83" s="27"/>
      <c r="M83" s="27"/>
      <c r="N83" s="27"/>
      <c r="O83" s="27"/>
      <c r="P83" s="27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</row>
    <row r="84" spans="1:35" ht="15" x14ac:dyDescent="0.25">
      <c r="A84" s="53">
        <v>76</v>
      </c>
      <c r="B84" s="54">
        <v>18.45</v>
      </c>
      <c r="C84" s="54">
        <v>19</v>
      </c>
      <c r="D84" s="117">
        <f t="shared" si="1"/>
        <v>617</v>
      </c>
      <c r="E84" s="77">
        <v>500</v>
      </c>
      <c r="F84" s="27">
        <v>117</v>
      </c>
      <c r="G84" s="27">
        <v>0</v>
      </c>
      <c r="H84" s="27"/>
      <c r="I84" s="27"/>
      <c r="J84" s="27"/>
      <c r="K84" s="27"/>
      <c r="L84" s="27"/>
      <c r="M84" s="27"/>
      <c r="N84" s="27"/>
      <c r="O84" s="27"/>
      <c r="P84" s="27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</row>
    <row r="85" spans="1:35" ht="15" x14ac:dyDescent="0.25">
      <c r="A85" s="53">
        <v>77</v>
      </c>
      <c r="B85" s="54">
        <v>19</v>
      </c>
      <c r="C85" s="54">
        <v>19.149999999999999</v>
      </c>
      <c r="D85" s="117">
        <f t="shared" si="1"/>
        <v>617</v>
      </c>
      <c r="E85" s="77">
        <v>500</v>
      </c>
      <c r="F85" s="27">
        <v>117</v>
      </c>
      <c r="G85" s="27">
        <v>0</v>
      </c>
      <c r="H85" s="27"/>
      <c r="I85" s="27"/>
      <c r="J85" s="27"/>
      <c r="K85" s="27"/>
      <c r="L85" s="27"/>
      <c r="M85" s="27"/>
      <c r="N85" s="27"/>
      <c r="O85" s="27"/>
      <c r="P85" s="27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</row>
    <row r="86" spans="1:35" ht="15" x14ac:dyDescent="0.25">
      <c r="A86" s="53">
        <v>78</v>
      </c>
      <c r="B86" s="54">
        <v>19.149999999999999</v>
      </c>
      <c r="C86" s="54">
        <v>19.3</v>
      </c>
      <c r="D86" s="117">
        <f t="shared" si="1"/>
        <v>617</v>
      </c>
      <c r="E86" s="77">
        <v>500</v>
      </c>
      <c r="F86" s="27">
        <v>117</v>
      </c>
      <c r="G86" s="27">
        <v>0</v>
      </c>
      <c r="H86" s="27"/>
      <c r="I86" s="27"/>
      <c r="J86" s="27"/>
      <c r="K86" s="27"/>
      <c r="L86" s="27"/>
      <c r="M86" s="27"/>
      <c r="N86" s="27"/>
      <c r="O86" s="27"/>
      <c r="P86" s="27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</row>
    <row r="87" spans="1:35" ht="15" x14ac:dyDescent="0.25">
      <c r="A87" s="53">
        <v>79</v>
      </c>
      <c r="B87" s="54">
        <v>19.3</v>
      </c>
      <c r="C87" s="54">
        <v>19.45</v>
      </c>
      <c r="D87" s="117">
        <f t="shared" si="1"/>
        <v>617</v>
      </c>
      <c r="E87" s="77">
        <v>500</v>
      </c>
      <c r="F87" s="27">
        <v>117</v>
      </c>
      <c r="G87" s="27">
        <v>0</v>
      </c>
      <c r="H87" s="27"/>
      <c r="I87" s="27"/>
      <c r="J87" s="27"/>
      <c r="K87" s="27"/>
      <c r="L87" s="27"/>
      <c r="M87" s="27"/>
      <c r="N87" s="27"/>
      <c r="O87" s="27"/>
      <c r="P87" s="27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</row>
    <row r="88" spans="1:35" ht="15" x14ac:dyDescent="0.25">
      <c r="A88" s="53">
        <v>80</v>
      </c>
      <c r="B88" s="54">
        <v>19.45</v>
      </c>
      <c r="C88" s="54">
        <v>20</v>
      </c>
      <c r="D88" s="117">
        <f t="shared" si="1"/>
        <v>617</v>
      </c>
      <c r="E88" s="77">
        <v>500</v>
      </c>
      <c r="F88" s="27">
        <v>117</v>
      </c>
      <c r="G88" s="27">
        <v>0</v>
      </c>
      <c r="H88" s="27"/>
      <c r="I88" s="27"/>
      <c r="J88" s="27"/>
      <c r="K88" s="27"/>
      <c r="L88" s="27"/>
      <c r="M88" s="27"/>
      <c r="N88" s="27"/>
      <c r="O88" s="27"/>
      <c r="P88" s="27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</row>
    <row r="89" spans="1:35" ht="15" x14ac:dyDescent="0.25">
      <c r="A89" s="53">
        <v>81</v>
      </c>
      <c r="B89" s="54">
        <v>20</v>
      </c>
      <c r="C89" s="54">
        <v>20.149999999999999</v>
      </c>
      <c r="D89" s="117">
        <f t="shared" si="1"/>
        <v>617</v>
      </c>
      <c r="E89" s="77">
        <v>500</v>
      </c>
      <c r="F89" s="27">
        <v>117</v>
      </c>
      <c r="G89" s="27">
        <v>0</v>
      </c>
      <c r="H89" s="27"/>
      <c r="I89" s="27"/>
      <c r="J89" s="27"/>
      <c r="K89" s="27"/>
      <c r="L89" s="27"/>
      <c r="M89" s="27"/>
      <c r="N89" s="27"/>
      <c r="O89" s="27"/>
      <c r="P89" s="27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</row>
    <row r="90" spans="1:35" ht="15" x14ac:dyDescent="0.25">
      <c r="A90" s="53">
        <v>82</v>
      </c>
      <c r="B90" s="54">
        <v>20.149999999999999</v>
      </c>
      <c r="C90" s="54">
        <v>20.3</v>
      </c>
      <c r="D90" s="117">
        <f t="shared" si="1"/>
        <v>617</v>
      </c>
      <c r="E90" s="77">
        <v>500</v>
      </c>
      <c r="F90" s="27">
        <v>117</v>
      </c>
      <c r="G90" s="27">
        <v>0</v>
      </c>
      <c r="H90" s="27"/>
      <c r="I90" s="27"/>
      <c r="J90" s="27"/>
      <c r="K90" s="27"/>
      <c r="L90" s="27"/>
      <c r="M90" s="27"/>
      <c r="N90" s="27"/>
      <c r="O90" s="27"/>
      <c r="P90" s="27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</row>
    <row r="91" spans="1:35" ht="15" x14ac:dyDescent="0.25">
      <c r="A91" s="53">
        <v>83</v>
      </c>
      <c r="B91" s="54">
        <v>20.3</v>
      </c>
      <c r="C91" s="54">
        <v>20.45</v>
      </c>
      <c r="D91" s="117">
        <f t="shared" si="1"/>
        <v>617</v>
      </c>
      <c r="E91" s="77">
        <v>500</v>
      </c>
      <c r="F91" s="27">
        <v>117</v>
      </c>
      <c r="G91" s="27">
        <v>0</v>
      </c>
      <c r="H91" s="27"/>
      <c r="I91" s="27"/>
      <c r="J91" s="27"/>
      <c r="K91" s="27"/>
      <c r="L91" s="27"/>
      <c r="M91" s="27"/>
      <c r="N91" s="27"/>
      <c r="O91" s="27"/>
      <c r="P91" s="27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</row>
    <row r="92" spans="1:35" ht="15" x14ac:dyDescent="0.25">
      <c r="A92" s="53">
        <v>84</v>
      </c>
      <c r="B92" s="54">
        <v>20.45</v>
      </c>
      <c r="C92" s="54">
        <v>21</v>
      </c>
      <c r="D92" s="117">
        <f t="shared" si="1"/>
        <v>617</v>
      </c>
      <c r="E92" s="77">
        <v>500</v>
      </c>
      <c r="F92" s="27">
        <v>117</v>
      </c>
      <c r="G92" s="27">
        <v>0</v>
      </c>
      <c r="H92" s="27"/>
      <c r="I92" s="27"/>
      <c r="J92" s="27"/>
      <c r="K92" s="27"/>
      <c r="L92" s="27"/>
      <c r="M92" s="27"/>
      <c r="N92" s="27"/>
      <c r="O92" s="27"/>
      <c r="P92" s="27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</row>
    <row r="93" spans="1:35" ht="15" x14ac:dyDescent="0.25">
      <c r="A93" s="53">
        <v>85</v>
      </c>
      <c r="B93" s="54">
        <v>21</v>
      </c>
      <c r="C93" s="54">
        <v>21.15</v>
      </c>
      <c r="D93" s="117">
        <f t="shared" si="1"/>
        <v>617</v>
      </c>
      <c r="E93" s="77">
        <v>500</v>
      </c>
      <c r="F93" s="27">
        <v>117</v>
      </c>
      <c r="G93" s="27">
        <v>0</v>
      </c>
      <c r="H93" s="27"/>
      <c r="I93" s="27"/>
      <c r="J93" s="27"/>
      <c r="K93" s="27"/>
      <c r="L93" s="27"/>
      <c r="M93" s="27"/>
      <c r="N93" s="27"/>
      <c r="O93" s="27"/>
      <c r="P93" s="27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</row>
    <row r="94" spans="1:35" ht="15" x14ac:dyDescent="0.25">
      <c r="A94" s="53">
        <v>86</v>
      </c>
      <c r="B94" s="54">
        <v>21.15</v>
      </c>
      <c r="C94" s="54">
        <v>21.3</v>
      </c>
      <c r="D94" s="117">
        <f t="shared" si="1"/>
        <v>617</v>
      </c>
      <c r="E94" s="77">
        <v>500</v>
      </c>
      <c r="F94" s="27">
        <v>117</v>
      </c>
      <c r="G94" s="27">
        <v>0</v>
      </c>
      <c r="H94" s="27"/>
      <c r="I94" s="27"/>
      <c r="J94" s="27"/>
      <c r="K94" s="27"/>
      <c r="L94" s="27"/>
      <c r="M94" s="27"/>
      <c r="N94" s="27"/>
      <c r="O94" s="27"/>
      <c r="P94" s="27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</row>
    <row r="95" spans="1:35" ht="15" x14ac:dyDescent="0.25">
      <c r="A95" s="53">
        <v>87</v>
      </c>
      <c r="B95" s="54">
        <v>21.3</v>
      </c>
      <c r="C95" s="54">
        <v>21.45</v>
      </c>
      <c r="D95" s="117">
        <f t="shared" si="1"/>
        <v>617</v>
      </c>
      <c r="E95" s="77">
        <v>500</v>
      </c>
      <c r="F95" s="27">
        <v>117</v>
      </c>
      <c r="G95" s="27">
        <v>0</v>
      </c>
      <c r="H95" s="27"/>
      <c r="I95" s="27"/>
      <c r="J95" s="27"/>
      <c r="K95" s="27"/>
      <c r="L95" s="27"/>
      <c r="M95" s="27"/>
      <c r="N95" s="27"/>
      <c r="O95" s="27"/>
      <c r="P95" s="27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</row>
    <row r="96" spans="1:35" ht="15" x14ac:dyDescent="0.25">
      <c r="A96" s="53">
        <v>88</v>
      </c>
      <c r="B96" s="54">
        <v>21.45</v>
      </c>
      <c r="C96" s="54">
        <v>22</v>
      </c>
      <c r="D96" s="117">
        <f t="shared" si="1"/>
        <v>617</v>
      </c>
      <c r="E96" s="77">
        <v>500</v>
      </c>
      <c r="F96" s="27">
        <v>117</v>
      </c>
      <c r="G96" s="27">
        <v>0</v>
      </c>
      <c r="H96" s="27"/>
      <c r="I96" s="27"/>
      <c r="J96" s="27"/>
      <c r="K96" s="27"/>
      <c r="L96" s="27"/>
      <c r="M96" s="27"/>
      <c r="N96" s="27"/>
      <c r="O96" s="27"/>
      <c r="P96" s="27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</row>
    <row r="97" spans="1:35" ht="15" x14ac:dyDescent="0.25">
      <c r="A97" s="53">
        <v>89</v>
      </c>
      <c r="B97" s="54">
        <v>22</v>
      </c>
      <c r="C97" s="54">
        <v>22.15</v>
      </c>
      <c r="D97" s="117">
        <f t="shared" si="1"/>
        <v>617</v>
      </c>
      <c r="E97" s="77">
        <v>500</v>
      </c>
      <c r="F97" s="27">
        <v>117</v>
      </c>
      <c r="G97" s="27">
        <v>0</v>
      </c>
      <c r="H97" s="27"/>
      <c r="I97" s="27"/>
      <c r="J97" s="27"/>
      <c r="K97" s="27"/>
      <c r="L97" s="27"/>
      <c r="M97" s="27"/>
      <c r="N97" s="27"/>
      <c r="O97" s="27"/>
      <c r="P97" s="27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</row>
    <row r="98" spans="1:35" ht="15" x14ac:dyDescent="0.25">
      <c r="A98" s="53">
        <v>90</v>
      </c>
      <c r="B98" s="54">
        <v>22.15</v>
      </c>
      <c r="C98" s="54">
        <v>22.3</v>
      </c>
      <c r="D98" s="117">
        <f t="shared" si="1"/>
        <v>617</v>
      </c>
      <c r="E98" s="77">
        <v>500</v>
      </c>
      <c r="F98" s="27">
        <v>117</v>
      </c>
      <c r="G98" s="27">
        <v>0</v>
      </c>
      <c r="H98" s="27"/>
      <c r="I98" s="27"/>
      <c r="J98" s="27"/>
      <c r="K98" s="27"/>
      <c r="L98" s="27"/>
      <c r="M98" s="27"/>
      <c r="N98" s="27"/>
      <c r="O98" s="27"/>
      <c r="P98" s="27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</row>
    <row r="99" spans="1:35" ht="15" x14ac:dyDescent="0.25">
      <c r="A99" s="53">
        <v>91</v>
      </c>
      <c r="B99" s="54">
        <v>22.3</v>
      </c>
      <c r="C99" s="54">
        <v>22.45</v>
      </c>
      <c r="D99" s="117">
        <f t="shared" si="1"/>
        <v>617</v>
      </c>
      <c r="E99" s="77">
        <v>500</v>
      </c>
      <c r="F99" s="27">
        <v>117</v>
      </c>
      <c r="G99" s="27">
        <v>0</v>
      </c>
      <c r="H99" s="27"/>
      <c r="I99" s="27"/>
      <c r="J99" s="27"/>
      <c r="K99" s="27"/>
      <c r="L99" s="27"/>
      <c r="M99" s="27"/>
      <c r="N99" s="27"/>
      <c r="O99" s="27"/>
      <c r="P99" s="27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</row>
    <row r="100" spans="1:35" ht="15" x14ac:dyDescent="0.25">
      <c r="A100" s="53">
        <v>92</v>
      </c>
      <c r="B100" s="54">
        <v>22.45</v>
      </c>
      <c r="C100" s="54">
        <v>23</v>
      </c>
      <c r="D100" s="117">
        <f t="shared" si="1"/>
        <v>617</v>
      </c>
      <c r="E100" s="77">
        <v>500</v>
      </c>
      <c r="F100" s="27">
        <v>117</v>
      </c>
      <c r="G100" s="27">
        <v>0</v>
      </c>
      <c r="H100" s="27"/>
      <c r="I100" s="27"/>
      <c r="J100" s="27"/>
      <c r="K100" s="27"/>
      <c r="L100" s="27"/>
      <c r="M100" s="27"/>
      <c r="N100" s="27"/>
      <c r="O100" s="27"/>
      <c r="P100" s="27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</row>
    <row r="101" spans="1:35" ht="15" x14ac:dyDescent="0.25">
      <c r="A101" s="53">
        <v>93</v>
      </c>
      <c r="B101" s="54">
        <v>23</v>
      </c>
      <c r="C101" s="54">
        <v>23.15</v>
      </c>
      <c r="D101" s="117">
        <f t="shared" si="1"/>
        <v>617</v>
      </c>
      <c r="E101" s="77">
        <v>500</v>
      </c>
      <c r="F101" s="27">
        <v>117</v>
      </c>
      <c r="G101" s="27">
        <v>0</v>
      </c>
      <c r="H101" s="27"/>
      <c r="I101" s="27"/>
      <c r="J101" s="27"/>
      <c r="K101" s="27"/>
      <c r="L101" s="27"/>
      <c r="M101" s="27"/>
      <c r="N101" s="27"/>
      <c r="O101" s="27"/>
      <c r="P101" s="27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</row>
    <row r="102" spans="1:35" ht="15" x14ac:dyDescent="0.25">
      <c r="A102" s="53">
        <v>94</v>
      </c>
      <c r="B102" s="54">
        <v>23.15</v>
      </c>
      <c r="C102" s="54">
        <v>23.3</v>
      </c>
      <c r="D102" s="117">
        <f t="shared" si="1"/>
        <v>617</v>
      </c>
      <c r="E102" s="77">
        <v>500</v>
      </c>
      <c r="F102" s="27">
        <v>117</v>
      </c>
      <c r="G102" s="27">
        <v>0</v>
      </c>
      <c r="H102" s="27"/>
      <c r="I102" s="27"/>
      <c r="J102" s="27"/>
      <c r="K102" s="27"/>
      <c r="L102" s="27"/>
      <c r="M102" s="27"/>
      <c r="N102" s="27"/>
      <c r="O102" s="27"/>
      <c r="P102" s="27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</row>
    <row r="103" spans="1:35" ht="15" x14ac:dyDescent="0.25">
      <c r="A103" s="53">
        <v>95</v>
      </c>
      <c r="B103" s="54">
        <v>23.3</v>
      </c>
      <c r="C103" s="54">
        <v>23.45</v>
      </c>
      <c r="D103" s="117">
        <f t="shared" si="1"/>
        <v>617</v>
      </c>
      <c r="E103" s="77">
        <v>500</v>
      </c>
      <c r="F103" s="27">
        <v>117</v>
      </c>
      <c r="G103" s="27">
        <v>0</v>
      </c>
      <c r="H103" s="27"/>
      <c r="I103" s="27"/>
      <c r="J103" s="27"/>
      <c r="K103" s="27"/>
      <c r="L103" s="27"/>
      <c r="M103" s="27"/>
      <c r="N103" s="27"/>
      <c r="O103" s="27"/>
      <c r="P103" s="27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</row>
    <row r="104" spans="1:35" ht="15" x14ac:dyDescent="0.25">
      <c r="A104" s="53">
        <v>96</v>
      </c>
      <c r="B104" s="54">
        <v>23.45</v>
      </c>
      <c r="C104" s="54">
        <v>24</v>
      </c>
      <c r="D104" s="117">
        <f t="shared" si="1"/>
        <v>617</v>
      </c>
      <c r="E104" s="77">
        <v>500</v>
      </c>
      <c r="F104" s="27">
        <v>117</v>
      </c>
      <c r="G104" s="27">
        <v>0</v>
      </c>
      <c r="H104" s="27"/>
      <c r="I104" s="27"/>
      <c r="J104" s="27"/>
      <c r="K104" s="27"/>
      <c r="L104" s="27"/>
      <c r="M104" s="27"/>
      <c r="N104" s="27"/>
      <c r="O104" s="27"/>
      <c r="P104" s="27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</row>
    <row r="108" spans="1:35" x14ac:dyDescent="0.25">
      <c r="D108" s="63"/>
      <c r="E108" s="63"/>
    </row>
    <row r="290" spans="1:13" x14ac:dyDescent="0.25">
      <c r="A290" s="34">
        <f>SUM(E9:L104)</f>
        <v>58864</v>
      </c>
    </row>
    <row r="291" spans="1:13" x14ac:dyDescent="0.25">
      <c r="A291" s="34">
        <v>1</v>
      </c>
    </row>
    <row r="292" spans="1:13" x14ac:dyDescent="0.25">
      <c r="A292" s="34">
        <v>1</v>
      </c>
      <c r="B292" s="34">
        <v>521</v>
      </c>
      <c r="C292" s="34">
        <v>281</v>
      </c>
      <c r="D292" s="34">
        <v>3</v>
      </c>
      <c r="E292" s="34">
        <v>180</v>
      </c>
      <c r="F292" s="34">
        <v>0</v>
      </c>
      <c r="G292" s="34">
        <v>0</v>
      </c>
      <c r="H292" s="34">
        <v>45</v>
      </c>
      <c r="I292" s="34">
        <v>12</v>
      </c>
      <c r="J292" s="34">
        <v>0</v>
      </c>
    </row>
    <row r="293" spans="1:13" x14ac:dyDescent="0.25">
      <c r="A293" s="34">
        <v>0</v>
      </c>
      <c r="B293" s="57">
        <f>D9</f>
        <v>617</v>
      </c>
      <c r="C293" s="57">
        <f t="shared" ref="C293:M308" si="2">E9</f>
        <v>500</v>
      </c>
      <c r="D293" s="57">
        <f t="shared" si="2"/>
        <v>117</v>
      </c>
      <c r="E293" s="57">
        <f t="shared" si="2"/>
        <v>0</v>
      </c>
      <c r="F293" s="57">
        <f t="shared" si="2"/>
        <v>0</v>
      </c>
      <c r="G293" s="57">
        <f t="shared" si="2"/>
        <v>0</v>
      </c>
      <c r="H293" s="57">
        <f t="shared" si="2"/>
        <v>0</v>
      </c>
      <c r="I293" s="57">
        <f t="shared" ref="I293:J324" si="3">L9</f>
        <v>0</v>
      </c>
      <c r="J293" s="57">
        <f t="shared" si="3"/>
        <v>0</v>
      </c>
      <c r="K293" s="57"/>
      <c r="L293" s="57">
        <f t="shared" si="2"/>
        <v>0</v>
      </c>
      <c r="M293" s="57">
        <f t="shared" si="2"/>
        <v>0</v>
      </c>
    </row>
    <row r="294" spans="1:13" x14ac:dyDescent="0.25">
      <c r="A294" s="34">
        <v>0</v>
      </c>
      <c r="B294" s="57">
        <f t="shared" ref="B294:M330" si="4">D10</f>
        <v>617</v>
      </c>
      <c r="C294" s="57">
        <f t="shared" si="2"/>
        <v>500</v>
      </c>
      <c r="D294" s="57">
        <f t="shared" si="2"/>
        <v>117</v>
      </c>
      <c r="E294" s="57">
        <f t="shared" si="2"/>
        <v>0</v>
      </c>
      <c r="F294" s="57">
        <f t="shared" si="2"/>
        <v>0</v>
      </c>
      <c r="G294" s="57">
        <f t="shared" si="2"/>
        <v>0</v>
      </c>
      <c r="H294" s="57">
        <f t="shared" si="2"/>
        <v>0</v>
      </c>
      <c r="I294" s="57">
        <f t="shared" si="3"/>
        <v>0</v>
      </c>
      <c r="J294" s="57">
        <f t="shared" si="3"/>
        <v>0</v>
      </c>
      <c r="K294" s="57"/>
      <c r="L294" s="57">
        <f t="shared" si="2"/>
        <v>0</v>
      </c>
      <c r="M294" s="57">
        <f t="shared" si="2"/>
        <v>0</v>
      </c>
    </row>
    <row r="295" spans="1:13" x14ac:dyDescent="0.25">
      <c r="A295" s="34">
        <v>0</v>
      </c>
      <c r="B295" s="57">
        <f t="shared" si="4"/>
        <v>617</v>
      </c>
      <c r="C295" s="57">
        <f t="shared" si="2"/>
        <v>500</v>
      </c>
      <c r="D295" s="57">
        <f t="shared" si="2"/>
        <v>117</v>
      </c>
      <c r="E295" s="57">
        <f t="shared" si="2"/>
        <v>0</v>
      </c>
      <c r="F295" s="57">
        <f t="shared" si="2"/>
        <v>0</v>
      </c>
      <c r="G295" s="57">
        <f t="shared" si="2"/>
        <v>0</v>
      </c>
      <c r="H295" s="57">
        <f t="shared" si="2"/>
        <v>0</v>
      </c>
      <c r="I295" s="57">
        <f t="shared" si="3"/>
        <v>0</v>
      </c>
      <c r="J295" s="57">
        <f t="shared" si="3"/>
        <v>0</v>
      </c>
      <c r="K295" s="57"/>
      <c r="L295" s="57">
        <f t="shared" si="2"/>
        <v>0</v>
      </c>
      <c r="M295" s="57">
        <f t="shared" si="2"/>
        <v>0</v>
      </c>
    </row>
    <row r="296" spans="1:13" x14ac:dyDescent="0.25">
      <c r="A296" s="34">
        <v>0</v>
      </c>
      <c r="B296" s="57">
        <f t="shared" si="4"/>
        <v>617</v>
      </c>
      <c r="C296" s="57">
        <f t="shared" si="2"/>
        <v>500</v>
      </c>
      <c r="D296" s="57">
        <f t="shared" si="2"/>
        <v>117</v>
      </c>
      <c r="E296" s="57">
        <f t="shared" si="2"/>
        <v>0</v>
      </c>
      <c r="F296" s="57">
        <f t="shared" si="2"/>
        <v>0</v>
      </c>
      <c r="G296" s="57">
        <f t="shared" si="2"/>
        <v>0</v>
      </c>
      <c r="H296" s="57">
        <f t="shared" si="2"/>
        <v>0</v>
      </c>
      <c r="I296" s="57">
        <f t="shared" si="3"/>
        <v>0</v>
      </c>
      <c r="J296" s="57">
        <f t="shared" si="3"/>
        <v>0</v>
      </c>
      <c r="K296" s="57"/>
      <c r="L296" s="57">
        <f t="shared" si="2"/>
        <v>0</v>
      </c>
      <c r="M296" s="57">
        <f t="shared" si="2"/>
        <v>0</v>
      </c>
    </row>
    <row r="297" spans="1:13" x14ac:dyDescent="0.25">
      <c r="A297" s="34">
        <v>0</v>
      </c>
      <c r="B297" s="57">
        <f t="shared" si="4"/>
        <v>617</v>
      </c>
      <c r="C297" s="57">
        <f t="shared" si="2"/>
        <v>500</v>
      </c>
      <c r="D297" s="57">
        <f t="shared" si="2"/>
        <v>117</v>
      </c>
      <c r="E297" s="57">
        <f t="shared" si="2"/>
        <v>0</v>
      </c>
      <c r="F297" s="57">
        <f t="shared" si="2"/>
        <v>0</v>
      </c>
      <c r="G297" s="57">
        <f t="shared" si="2"/>
        <v>0</v>
      </c>
      <c r="H297" s="57">
        <f t="shared" si="2"/>
        <v>0</v>
      </c>
      <c r="I297" s="57">
        <f t="shared" si="3"/>
        <v>0</v>
      </c>
      <c r="J297" s="57">
        <f t="shared" si="3"/>
        <v>0</v>
      </c>
      <c r="K297" s="57"/>
      <c r="L297" s="57">
        <f t="shared" si="2"/>
        <v>0</v>
      </c>
      <c r="M297" s="57">
        <f t="shared" si="2"/>
        <v>0</v>
      </c>
    </row>
    <row r="298" spans="1:13" x14ac:dyDescent="0.25">
      <c r="A298" s="34">
        <v>0</v>
      </c>
      <c r="B298" s="57">
        <f t="shared" si="4"/>
        <v>617</v>
      </c>
      <c r="C298" s="57">
        <f t="shared" si="2"/>
        <v>500</v>
      </c>
      <c r="D298" s="57">
        <f t="shared" si="2"/>
        <v>117</v>
      </c>
      <c r="E298" s="57">
        <f t="shared" si="2"/>
        <v>0</v>
      </c>
      <c r="F298" s="57">
        <f t="shared" si="2"/>
        <v>0</v>
      </c>
      <c r="G298" s="57">
        <f t="shared" si="2"/>
        <v>0</v>
      </c>
      <c r="H298" s="57">
        <f t="shared" si="2"/>
        <v>0</v>
      </c>
      <c r="I298" s="57">
        <f t="shared" si="3"/>
        <v>0</v>
      </c>
      <c r="J298" s="57">
        <f t="shared" si="3"/>
        <v>0</v>
      </c>
      <c r="K298" s="57"/>
      <c r="L298" s="57">
        <f t="shared" si="2"/>
        <v>0</v>
      </c>
      <c r="M298" s="57">
        <f t="shared" si="2"/>
        <v>0</v>
      </c>
    </row>
    <row r="299" spans="1:13" x14ac:dyDescent="0.25">
      <c r="A299" s="34">
        <v>0</v>
      </c>
      <c r="B299" s="57">
        <f t="shared" si="4"/>
        <v>617</v>
      </c>
      <c r="C299" s="57">
        <f t="shared" si="2"/>
        <v>500</v>
      </c>
      <c r="D299" s="57">
        <f t="shared" si="2"/>
        <v>117</v>
      </c>
      <c r="E299" s="57">
        <f t="shared" si="2"/>
        <v>0</v>
      </c>
      <c r="F299" s="57">
        <f t="shared" si="2"/>
        <v>0</v>
      </c>
      <c r="G299" s="57">
        <f t="shared" si="2"/>
        <v>0</v>
      </c>
      <c r="H299" s="57">
        <f t="shared" si="2"/>
        <v>0</v>
      </c>
      <c r="I299" s="57">
        <f t="shared" si="3"/>
        <v>0</v>
      </c>
      <c r="J299" s="57">
        <f t="shared" si="3"/>
        <v>0</v>
      </c>
      <c r="K299" s="57"/>
      <c r="L299" s="57">
        <f t="shared" si="2"/>
        <v>0</v>
      </c>
      <c r="M299" s="57">
        <f t="shared" si="2"/>
        <v>0</v>
      </c>
    </row>
    <row r="300" spans="1:13" x14ac:dyDescent="0.25">
      <c r="A300" s="34">
        <v>0</v>
      </c>
      <c r="B300" s="57">
        <f t="shared" si="4"/>
        <v>617</v>
      </c>
      <c r="C300" s="57">
        <f t="shared" si="2"/>
        <v>500</v>
      </c>
      <c r="D300" s="57">
        <f t="shared" si="2"/>
        <v>117</v>
      </c>
      <c r="E300" s="57">
        <f t="shared" si="2"/>
        <v>0</v>
      </c>
      <c r="F300" s="57">
        <f t="shared" si="2"/>
        <v>0</v>
      </c>
      <c r="G300" s="57">
        <f t="shared" si="2"/>
        <v>0</v>
      </c>
      <c r="H300" s="57">
        <f t="shared" si="2"/>
        <v>0</v>
      </c>
      <c r="I300" s="57">
        <f t="shared" si="3"/>
        <v>0</v>
      </c>
      <c r="J300" s="57">
        <f t="shared" si="3"/>
        <v>0</v>
      </c>
      <c r="K300" s="57"/>
      <c r="L300" s="57">
        <f t="shared" si="2"/>
        <v>0</v>
      </c>
      <c r="M300" s="57">
        <f t="shared" si="2"/>
        <v>0</v>
      </c>
    </row>
    <row r="301" spans="1:13" x14ac:dyDescent="0.25">
      <c r="A301" s="34">
        <v>0</v>
      </c>
      <c r="B301" s="57">
        <f t="shared" si="4"/>
        <v>617</v>
      </c>
      <c r="C301" s="57">
        <f t="shared" si="2"/>
        <v>500</v>
      </c>
      <c r="D301" s="57">
        <f t="shared" si="2"/>
        <v>117</v>
      </c>
      <c r="E301" s="57">
        <f t="shared" si="2"/>
        <v>0</v>
      </c>
      <c r="F301" s="57">
        <f t="shared" si="2"/>
        <v>0</v>
      </c>
      <c r="G301" s="57">
        <f t="shared" si="2"/>
        <v>0</v>
      </c>
      <c r="H301" s="57">
        <f t="shared" si="2"/>
        <v>0</v>
      </c>
      <c r="I301" s="57">
        <f t="shared" si="3"/>
        <v>0</v>
      </c>
      <c r="J301" s="57">
        <f t="shared" si="3"/>
        <v>0</v>
      </c>
      <c r="K301" s="57"/>
      <c r="L301" s="57">
        <f t="shared" si="2"/>
        <v>0</v>
      </c>
      <c r="M301" s="57">
        <f t="shared" si="2"/>
        <v>0</v>
      </c>
    </row>
    <row r="302" spans="1:13" x14ac:dyDescent="0.25">
      <c r="A302" s="34">
        <v>0</v>
      </c>
      <c r="B302" s="57">
        <f t="shared" si="4"/>
        <v>617</v>
      </c>
      <c r="C302" s="57">
        <f t="shared" si="2"/>
        <v>500</v>
      </c>
      <c r="D302" s="57">
        <f t="shared" si="2"/>
        <v>117</v>
      </c>
      <c r="E302" s="57">
        <f t="shared" si="2"/>
        <v>0</v>
      </c>
      <c r="F302" s="57">
        <f t="shared" si="2"/>
        <v>0</v>
      </c>
      <c r="G302" s="57">
        <f t="shared" si="2"/>
        <v>0</v>
      </c>
      <c r="H302" s="57">
        <f t="shared" si="2"/>
        <v>0</v>
      </c>
      <c r="I302" s="57">
        <f t="shared" si="3"/>
        <v>0</v>
      </c>
      <c r="J302" s="57">
        <f t="shared" si="3"/>
        <v>0</v>
      </c>
      <c r="K302" s="57"/>
      <c r="L302" s="57">
        <f t="shared" si="2"/>
        <v>0</v>
      </c>
      <c r="M302" s="57">
        <f t="shared" si="2"/>
        <v>0</v>
      </c>
    </row>
    <row r="303" spans="1:13" x14ac:dyDescent="0.25">
      <c r="A303" s="34">
        <v>0</v>
      </c>
      <c r="B303" s="57">
        <f t="shared" si="4"/>
        <v>617</v>
      </c>
      <c r="C303" s="57">
        <f t="shared" si="2"/>
        <v>500</v>
      </c>
      <c r="D303" s="57">
        <f t="shared" si="2"/>
        <v>117</v>
      </c>
      <c r="E303" s="57">
        <f t="shared" si="2"/>
        <v>0</v>
      </c>
      <c r="F303" s="57">
        <f t="shared" si="2"/>
        <v>0</v>
      </c>
      <c r="G303" s="57">
        <f t="shared" si="2"/>
        <v>0</v>
      </c>
      <c r="H303" s="57">
        <f t="shared" si="2"/>
        <v>0</v>
      </c>
      <c r="I303" s="57">
        <f t="shared" si="3"/>
        <v>0</v>
      </c>
      <c r="J303" s="57">
        <f t="shared" si="3"/>
        <v>0</v>
      </c>
      <c r="K303" s="57"/>
      <c r="L303" s="57">
        <f t="shared" si="2"/>
        <v>0</v>
      </c>
      <c r="M303" s="57">
        <f t="shared" si="2"/>
        <v>0</v>
      </c>
    </row>
    <row r="304" spans="1:13" x14ac:dyDescent="0.25">
      <c r="A304" s="34">
        <v>0</v>
      </c>
      <c r="B304" s="57">
        <f t="shared" si="4"/>
        <v>617</v>
      </c>
      <c r="C304" s="57">
        <f t="shared" si="2"/>
        <v>500</v>
      </c>
      <c r="D304" s="57">
        <f t="shared" si="2"/>
        <v>117</v>
      </c>
      <c r="E304" s="57">
        <f t="shared" si="2"/>
        <v>0</v>
      </c>
      <c r="F304" s="57">
        <f t="shared" si="2"/>
        <v>0</v>
      </c>
      <c r="G304" s="57">
        <f t="shared" si="2"/>
        <v>0</v>
      </c>
      <c r="H304" s="57">
        <f t="shared" si="2"/>
        <v>0</v>
      </c>
      <c r="I304" s="57">
        <f t="shared" si="3"/>
        <v>0</v>
      </c>
      <c r="J304" s="57">
        <f t="shared" si="3"/>
        <v>0</v>
      </c>
      <c r="K304" s="57"/>
      <c r="L304" s="57">
        <f t="shared" si="2"/>
        <v>0</v>
      </c>
      <c r="M304" s="57">
        <f t="shared" si="2"/>
        <v>0</v>
      </c>
    </row>
    <row r="305" spans="1:13" x14ac:dyDescent="0.25">
      <c r="A305" s="34">
        <v>0</v>
      </c>
      <c r="B305" s="57">
        <f t="shared" si="4"/>
        <v>617</v>
      </c>
      <c r="C305" s="57">
        <f t="shared" si="2"/>
        <v>500</v>
      </c>
      <c r="D305" s="57">
        <f t="shared" si="2"/>
        <v>117</v>
      </c>
      <c r="E305" s="57">
        <f t="shared" si="2"/>
        <v>0</v>
      </c>
      <c r="F305" s="57">
        <f t="shared" si="2"/>
        <v>0</v>
      </c>
      <c r="G305" s="57">
        <f t="shared" si="2"/>
        <v>0</v>
      </c>
      <c r="H305" s="57">
        <f t="shared" si="2"/>
        <v>0</v>
      </c>
      <c r="I305" s="57">
        <f t="shared" si="3"/>
        <v>0</v>
      </c>
      <c r="J305" s="57">
        <f t="shared" si="3"/>
        <v>0</v>
      </c>
      <c r="K305" s="57"/>
      <c r="L305" s="57">
        <f t="shared" si="2"/>
        <v>0</v>
      </c>
      <c r="M305" s="57">
        <f t="shared" si="2"/>
        <v>0</v>
      </c>
    </row>
    <row r="306" spans="1:13" x14ac:dyDescent="0.25">
      <c r="A306" s="34">
        <v>0</v>
      </c>
      <c r="B306" s="57">
        <f t="shared" si="4"/>
        <v>617</v>
      </c>
      <c r="C306" s="57">
        <f t="shared" si="2"/>
        <v>500</v>
      </c>
      <c r="D306" s="57">
        <f t="shared" si="2"/>
        <v>117</v>
      </c>
      <c r="E306" s="57">
        <f t="shared" si="2"/>
        <v>0</v>
      </c>
      <c r="F306" s="57">
        <f t="shared" si="2"/>
        <v>0</v>
      </c>
      <c r="G306" s="57">
        <f t="shared" si="2"/>
        <v>0</v>
      </c>
      <c r="H306" s="57">
        <f t="shared" si="2"/>
        <v>0</v>
      </c>
      <c r="I306" s="57">
        <f t="shared" si="3"/>
        <v>0</v>
      </c>
      <c r="J306" s="57">
        <f t="shared" si="3"/>
        <v>0</v>
      </c>
      <c r="K306" s="57"/>
      <c r="L306" s="57">
        <f t="shared" si="2"/>
        <v>0</v>
      </c>
      <c r="M306" s="57">
        <f t="shared" si="2"/>
        <v>0</v>
      </c>
    </row>
    <row r="307" spans="1:13" x14ac:dyDescent="0.25">
      <c r="A307" s="34">
        <v>0</v>
      </c>
      <c r="B307" s="57">
        <f t="shared" si="4"/>
        <v>617</v>
      </c>
      <c r="C307" s="57">
        <f t="shared" si="2"/>
        <v>500</v>
      </c>
      <c r="D307" s="57">
        <f t="shared" si="2"/>
        <v>117</v>
      </c>
      <c r="E307" s="57">
        <f t="shared" si="2"/>
        <v>0</v>
      </c>
      <c r="F307" s="57">
        <f t="shared" si="2"/>
        <v>0</v>
      </c>
      <c r="G307" s="57">
        <f t="shared" si="2"/>
        <v>0</v>
      </c>
      <c r="H307" s="57">
        <f t="shared" si="2"/>
        <v>0</v>
      </c>
      <c r="I307" s="57">
        <f t="shared" si="3"/>
        <v>0</v>
      </c>
      <c r="J307" s="57">
        <f t="shared" si="3"/>
        <v>0</v>
      </c>
      <c r="K307" s="57"/>
      <c r="L307" s="57">
        <f t="shared" si="2"/>
        <v>0</v>
      </c>
      <c r="M307" s="57">
        <f t="shared" si="2"/>
        <v>0</v>
      </c>
    </row>
    <row r="308" spans="1:13" x14ac:dyDescent="0.25">
      <c r="A308" s="34">
        <v>0</v>
      </c>
      <c r="B308" s="57">
        <f t="shared" si="4"/>
        <v>617</v>
      </c>
      <c r="C308" s="57">
        <f t="shared" si="2"/>
        <v>500</v>
      </c>
      <c r="D308" s="57">
        <f t="shared" si="2"/>
        <v>117</v>
      </c>
      <c r="E308" s="57">
        <f t="shared" si="2"/>
        <v>0</v>
      </c>
      <c r="F308" s="57">
        <f t="shared" si="2"/>
        <v>0</v>
      </c>
      <c r="G308" s="57">
        <f t="shared" si="2"/>
        <v>0</v>
      </c>
      <c r="H308" s="57">
        <f t="shared" si="2"/>
        <v>0</v>
      </c>
      <c r="I308" s="57">
        <f t="shared" si="3"/>
        <v>0</v>
      </c>
      <c r="J308" s="57">
        <f t="shared" si="3"/>
        <v>0</v>
      </c>
      <c r="K308" s="57"/>
      <c r="L308" s="57">
        <f t="shared" si="2"/>
        <v>0</v>
      </c>
      <c r="M308" s="57">
        <f t="shared" si="2"/>
        <v>0</v>
      </c>
    </row>
    <row r="309" spans="1:13" x14ac:dyDescent="0.25">
      <c r="A309" s="34">
        <v>0</v>
      </c>
      <c r="B309" s="57">
        <f t="shared" si="4"/>
        <v>617</v>
      </c>
      <c r="C309" s="57">
        <f t="shared" si="4"/>
        <v>500</v>
      </c>
      <c r="D309" s="57">
        <f t="shared" si="4"/>
        <v>117</v>
      </c>
      <c r="E309" s="57">
        <f t="shared" si="4"/>
        <v>0</v>
      </c>
      <c r="F309" s="57">
        <f t="shared" si="4"/>
        <v>0</v>
      </c>
      <c r="G309" s="57">
        <f t="shared" si="4"/>
        <v>0</v>
      </c>
      <c r="H309" s="57">
        <f t="shared" si="4"/>
        <v>0</v>
      </c>
      <c r="I309" s="57">
        <f t="shared" si="3"/>
        <v>0</v>
      </c>
      <c r="J309" s="57">
        <f t="shared" si="3"/>
        <v>0</v>
      </c>
      <c r="K309" s="57"/>
      <c r="L309" s="57">
        <f t="shared" si="4"/>
        <v>0</v>
      </c>
      <c r="M309" s="57">
        <f t="shared" si="4"/>
        <v>0</v>
      </c>
    </row>
    <row r="310" spans="1:13" x14ac:dyDescent="0.25">
      <c r="A310" s="34">
        <v>0</v>
      </c>
      <c r="B310" s="57">
        <f t="shared" si="4"/>
        <v>617</v>
      </c>
      <c r="C310" s="57">
        <f t="shared" si="4"/>
        <v>500</v>
      </c>
      <c r="D310" s="57">
        <f t="shared" si="4"/>
        <v>117</v>
      </c>
      <c r="E310" s="57">
        <f t="shared" si="4"/>
        <v>0</v>
      </c>
      <c r="F310" s="57">
        <f t="shared" si="4"/>
        <v>0</v>
      </c>
      <c r="G310" s="57">
        <f t="shared" si="4"/>
        <v>0</v>
      </c>
      <c r="H310" s="57">
        <f t="shared" si="4"/>
        <v>0</v>
      </c>
      <c r="I310" s="57">
        <f t="shared" si="3"/>
        <v>0</v>
      </c>
      <c r="J310" s="57">
        <f t="shared" si="3"/>
        <v>0</v>
      </c>
      <c r="K310" s="57"/>
      <c r="L310" s="57">
        <f t="shared" si="4"/>
        <v>0</v>
      </c>
      <c r="M310" s="57">
        <f t="shared" si="4"/>
        <v>0</v>
      </c>
    </row>
    <row r="311" spans="1:13" x14ac:dyDescent="0.25">
      <c r="A311" s="34">
        <v>0</v>
      </c>
      <c r="B311" s="57">
        <f t="shared" si="4"/>
        <v>617</v>
      </c>
      <c r="C311" s="57">
        <f t="shared" si="4"/>
        <v>500</v>
      </c>
      <c r="D311" s="57">
        <f t="shared" si="4"/>
        <v>117</v>
      </c>
      <c r="E311" s="57">
        <f t="shared" si="4"/>
        <v>0</v>
      </c>
      <c r="F311" s="57">
        <f t="shared" si="4"/>
        <v>0</v>
      </c>
      <c r="G311" s="57">
        <f t="shared" si="4"/>
        <v>0</v>
      </c>
      <c r="H311" s="57">
        <f t="shared" si="4"/>
        <v>0</v>
      </c>
      <c r="I311" s="57">
        <f t="shared" si="3"/>
        <v>0</v>
      </c>
      <c r="J311" s="57">
        <f t="shared" si="3"/>
        <v>0</v>
      </c>
      <c r="K311" s="57"/>
      <c r="L311" s="57">
        <f t="shared" si="4"/>
        <v>0</v>
      </c>
      <c r="M311" s="57">
        <f t="shared" si="4"/>
        <v>0</v>
      </c>
    </row>
    <row r="312" spans="1:13" x14ac:dyDescent="0.25">
      <c r="A312" s="34">
        <v>0</v>
      </c>
      <c r="B312" s="57">
        <f t="shared" si="4"/>
        <v>617</v>
      </c>
      <c r="C312" s="57">
        <f t="shared" si="4"/>
        <v>500</v>
      </c>
      <c r="D312" s="57">
        <f t="shared" si="4"/>
        <v>117</v>
      </c>
      <c r="E312" s="57">
        <f t="shared" si="4"/>
        <v>0</v>
      </c>
      <c r="F312" s="57">
        <f t="shared" si="4"/>
        <v>0</v>
      </c>
      <c r="G312" s="57">
        <f t="shared" si="4"/>
        <v>0</v>
      </c>
      <c r="H312" s="57">
        <f t="shared" si="4"/>
        <v>0</v>
      </c>
      <c r="I312" s="57">
        <f t="shared" si="3"/>
        <v>0</v>
      </c>
      <c r="J312" s="57">
        <f t="shared" si="3"/>
        <v>0</v>
      </c>
      <c r="K312" s="57"/>
      <c r="L312" s="57">
        <f t="shared" si="4"/>
        <v>0</v>
      </c>
      <c r="M312" s="57">
        <f t="shared" si="4"/>
        <v>0</v>
      </c>
    </row>
    <row r="313" spans="1:13" x14ac:dyDescent="0.25">
      <c r="A313" s="34">
        <v>0</v>
      </c>
      <c r="B313" s="57">
        <f t="shared" si="4"/>
        <v>617</v>
      </c>
      <c r="C313" s="57">
        <f t="shared" si="4"/>
        <v>500</v>
      </c>
      <c r="D313" s="57">
        <f t="shared" si="4"/>
        <v>117</v>
      </c>
      <c r="E313" s="57">
        <f t="shared" si="4"/>
        <v>0</v>
      </c>
      <c r="F313" s="57">
        <f t="shared" si="4"/>
        <v>0</v>
      </c>
      <c r="G313" s="57">
        <f t="shared" si="4"/>
        <v>0</v>
      </c>
      <c r="H313" s="57">
        <f t="shared" si="4"/>
        <v>0</v>
      </c>
      <c r="I313" s="57">
        <f t="shared" si="3"/>
        <v>0</v>
      </c>
      <c r="J313" s="57">
        <f t="shared" si="3"/>
        <v>0</v>
      </c>
      <c r="K313" s="57"/>
      <c r="L313" s="57">
        <f t="shared" si="4"/>
        <v>0</v>
      </c>
      <c r="M313" s="57">
        <f t="shared" si="4"/>
        <v>0</v>
      </c>
    </row>
    <row r="314" spans="1:13" x14ac:dyDescent="0.25">
      <c r="A314" s="34">
        <v>0</v>
      </c>
      <c r="B314" s="57">
        <f t="shared" si="4"/>
        <v>617</v>
      </c>
      <c r="C314" s="57">
        <f t="shared" si="4"/>
        <v>500</v>
      </c>
      <c r="D314" s="57">
        <f t="shared" si="4"/>
        <v>117</v>
      </c>
      <c r="E314" s="57">
        <f t="shared" si="4"/>
        <v>0</v>
      </c>
      <c r="F314" s="57">
        <f t="shared" si="4"/>
        <v>0</v>
      </c>
      <c r="G314" s="57">
        <f t="shared" si="4"/>
        <v>0</v>
      </c>
      <c r="H314" s="57">
        <f t="shared" si="4"/>
        <v>0</v>
      </c>
      <c r="I314" s="57">
        <f t="shared" si="3"/>
        <v>0</v>
      </c>
      <c r="J314" s="57">
        <f t="shared" si="3"/>
        <v>0</v>
      </c>
      <c r="K314" s="57"/>
      <c r="L314" s="57">
        <f t="shared" si="4"/>
        <v>0</v>
      </c>
      <c r="M314" s="57">
        <f t="shared" si="4"/>
        <v>0</v>
      </c>
    </row>
    <row r="315" spans="1:13" x14ac:dyDescent="0.25">
      <c r="A315" s="34">
        <v>0</v>
      </c>
      <c r="B315" s="57">
        <f t="shared" si="4"/>
        <v>617</v>
      </c>
      <c r="C315" s="57">
        <f t="shared" si="4"/>
        <v>500</v>
      </c>
      <c r="D315" s="57">
        <f t="shared" si="4"/>
        <v>117</v>
      </c>
      <c r="E315" s="57">
        <f t="shared" si="4"/>
        <v>0</v>
      </c>
      <c r="F315" s="57">
        <f t="shared" si="4"/>
        <v>0</v>
      </c>
      <c r="G315" s="57">
        <f t="shared" si="4"/>
        <v>0</v>
      </c>
      <c r="H315" s="57">
        <f t="shared" si="4"/>
        <v>0</v>
      </c>
      <c r="I315" s="57">
        <f t="shared" si="3"/>
        <v>0</v>
      </c>
      <c r="J315" s="57">
        <f t="shared" si="3"/>
        <v>0</v>
      </c>
      <c r="K315" s="57"/>
      <c r="L315" s="57">
        <f t="shared" si="4"/>
        <v>0</v>
      </c>
      <c r="M315" s="57">
        <f t="shared" si="4"/>
        <v>0</v>
      </c>
    </row>
    <row r="316" spans="1:13" x14ac:dyDescent="0.25">
      <c r="A316" s="34">
        <v>0</v>
      </c>
      <c r="B316" s="57">
        <f t="shared" si="4"/>
        <v>617</v>
      </c>
      <c r="C316" s="57">
        <f t="shared" si="4"/>
        <v>500</v>
      </c>
      <c r="D316" s="57">
        <f t="shared" si="4"/>
        <v>117</v>
      </c>
      <c r="E316" s="57">
        <f t="shared" si="4"/>
        <v>0</v>
      </c>
      <c r="F316" s="57">
        <f t="shared" si="4"/>
        <v>0</v>
      </c>
      <c r="G316" s="57">
        <f t="shared" si="4"/>
        <v>0</v>
      </c>
      <c r="H316" s="57">
        <f t="shared" si="4"/>
        <v>0</v>
      </c>
      <c r="I316" s="57">
        <f t="shared" si="3"/>
        <v>0</v>
      </c>
      <c r="J316" s="57">
        <f t="shared" si="3"/>
        <v>0</v>
      </c>
      <c r="K316" s="57"/>
      <c r="L316" s="57">
        <f t="shared" si="4"/>
        <v>0</v>
      </c>
      <c r="M316" s="57">
        <f t="shared" si="4"/>
        <v>0</v>
      </c>
    </row>
    <row r="317" spans="1:13" x14ac:dyDescent="0.25">
      <c r="A317" s="34">
        <v>0</v>
      </c>
      <c r="B317" s="57">
        <f t="shared" si="4"/>
        <v>617</v>
      </c>
      <c r="C317" s="57">
        <f t="shared" si="4"/>
        <v>500</v>
      </c>
      <c r="D317" s="57">
        <f t="shared" si="4"/>
        <v>117</v>
      </c>
      <c r="E317" s="57">
        <f t="shared" si="4"/>
        <v>0</v>
      </c>
      <c r="F317" s="57">
        <f t="shared" si="4"/>
        <v>0</v>
      </c>
      <c r="G317" s="57">
        <f t="shared" si="4"/>
        <v>0</v>
      </c>
      <c r="H317" s="57">
        <f t="shared" si="4"/>
        <v>0</v>
      </c>
      <c r="I317" s="57">
        <f t="shared" si="3"/>
        <v>0</v>
      </c>
      <c r="J317" s="57">
        <f t="shared" si="3"/>
        <v>0</v>
      </c>
      <c r="K317" s="57"/>
      <c r="L317" s="57">
        <f t="shared" si="4"/>
        <v>0</v>
      </c>
      <c r="M317" s="57">
        <f t="shared" si="4"/>
        <v>0</v>
      </c>
    </row>
    <row r="318" spans="1:13" x14ac:dyDescent="0.25">
      <c r="A318" s="34">
        <v>0</v>
      </c>
      <c r="B318" s="57">
        <f t="shared" si="4"/>
        <v>617</v>
      </c>
      <c r="C318" s="57">
        <f t="shared" si="4"/>
        <v>500</v>
      </c>
      <c r="D318" s="57">
        <f t="shared" si="4"/>
        <v>117</v>
      </c>
      <c r="E318" s="57">
        <f t="shared" si="4"/>
        <v>0</v>
      </c>
      <c r="F318" s="57">
        <f t="shared" si="4"/>
        <v>0</v>
      </c>
      <c r="G318" s="57">
        <f t="shared" si="4"/>
        <v>0</v>
      </c>
      <c r="H318" s="57">
        <f t="shared" si="4"/>
        <v>0</v>
      </c>
      <c r="I318" s="57">
        <f t="shared" si="3"/>
        <v>0</v>
      </c>
      <c r="J318" s="57">
        <f t="shared" si="3"/>
        <v>0</v>
      </c>
      <c r="K318" s="57"/>
      <c r="L318" s="57">
        <f t="shared" si="4"/>
        <v>0</v>
      </c>
      <c r="M318" s="57">
        <f t="shared" si="4"/>
        <v>0</v>
      </c>
    </row>
    <row r="319" spans="1:13" x14ac:dyDescent="0.25">
      <c r="A319" s="34">
        <v>0</v>
      </c>
      <c r="B319" s="57">
        <f t="shared" si="4"/>
        <v>617</v>
      </c>
      <c r="C319" s="57">
        <f t="shared" si="4"/>
        <v>500</v>
      </c>
      <c r="D319" s="57">
        <f t="shared" si="4"/>
        <v>117</v>
      </c>
      <c r="E319" s="57">
        <f t="shared" si="4"/>
        <v>0</v>
      </c>
      <c r="F319" s="57">
        <f t="shared" si="4"/>
        <v>0</v>
      </c>
      <c r="G319" s="57">
        <f t="shared" si="4"/>
        <v>0</v>
      </c>
      <c r="H319" s="57">
        <f t="shared" si="4"/>
        <v>0</v>
      </c>
      <c r="I319" s="57">
        <f t="shared" si="3"/>
        <v>0</v>
      </c>
      <c r="J319" s="57">
        <f t="shared" si="3"/>
        <v>0</v>
      </c>
      <c r="K319" s="57"/>
      <c r="L319" s="57">
        <f t="shared" si="4"/>
        <v>0</v>
      </c>
      <c r="M319" s="57">
        <f t="shared" si="4"/>
        <v>0</v>
      </c>
    </row>
    <row r="320" spans="1:13" x14ac:dyDescent="0.25">
      <c r="A320" s="34">
        <v>0</v>
      </c>
      <c r="B320" s="57">
        <f t="shared" si="4"/>
        <v>617</v>
      </c>
      <c r="C320" s="57">
        <f t="shared" si="4"/>
        <v>500</v>
      </c>
      <c r="D320" s="57">
        <f t="shared" si="4"/>
        <v>117</v>
      </c>
      <c r="E320" s="57">
        <f t="shared" si="4"/>
        <v>0</v>
      </c>
      <c r="F320" s="57">
        <f t="shared" si="4"/>
        <v>0</v>
      </c>
      <c r="G320" s="57">
        <f t="shared" si="4"/>
        <v>0</v>
      </c>
      <c r="H320" s="57">
        <f t="shared" si="4"/>
        <v>0</v>
      </c>
      <c r="I320" s="57">
        <f t="shared" si="3"/>
        <v>0</v>
      </c>
      <c r="J320" s="57">
        <f t="shared" si="3"/>
        <v>0</v>
      </c>
      <c r="K320" s="57"/>
      <c r="L320" s="57">
        <f t="shared" si="4"/>
        <v>0</v>
      </c>
      <c r="M320" s="57">
        <f t="shared" si="4"/>
        <v>0</v>
      </c>
    </row>
    <row r="321" spans="1:13" x14ac:dyDescent="0.25">
      <c r="A321" s="34">
        <v>0</v>
      </c>
      <c r="B321" s="57">
        <f t="shared" si="4"/>
        <v>617</v>
      </c>
      <c r="C321" s="57">
        <f t="shared" si="4"/>
        <v>500</v>
      </c>
      <c r="D321" s="57">
        <f t="shared" si="4"/>
        <v>117</v>
      </c>
      <c r="E321" s="57">
        <f t="shared" si="4"/>
        <v>0</v>
      </c>
      <c r="F321" s="57">
        <f t="shared" si="4"/>
        <v>0</v>
      </c>
      <c r="G321" s="57">
        <f t="shared" si="4"/>
        <v>0</v>
      </c>
      <c r="H321" s="57">
        <f t="shared" si="4"/>
        <v>0</v>
      </c>
      <c r="I321" s="57">
        <f t="shared" si="3"/>
        <v>0</v>
      </c>
      <c r="J321" s="57">
        <f t="shared" si="3"/>
        <v>0</v>
      </c>
      <c r="K321" s="57"/>
      <c r="L321" s="57">
        <f t="shared" si="4"/>
        <v>0</v>
      </c>
      <c r="M321" s="57">
        <f t="shared" si="4"/>
        <v>0</v>
      </c>
    </row>
    <row r="322" spans="1:13" x14ac:dyDescent="0.25">
      <c r="A322" s="34">
        <v>0</v>
      </c>
      <c r="B322" s="57">
        <f t="shared" si="4"/>
        <v>617</v>
      </c>
      <c r="C322" s="57">
        <f t="shared" si="4"/>
        <v>500</v>
      </c>
      <c r="D322" s="57">
        <f t="shared" si="4"/>
        <v>117</v>
      </c>
      <c r="E322" s="57">
        <f t="shared" si="4"/>
        <v>0</v>
      </c>
      <c r="F322" s="57">
        <f t="shared" si="4"/>
        <v>0</v>
      </c>
      <c r="G322" s="57">
        <f t="shared" si="4"/>
        <v>0</v>
      </c>
      <c r="H322" s="57">
        <f t="shared" si="4"/>
        <v>0</v>
      </c>
      <c r="I322" s="57">
        <f t="shared" si="3"/>
        <v>0</v>
      </c>
      <c r="J322" s="57">
        <f t="shared" si="3"/>
        <v>0</v>
      </c>
      <c r="K322" s="57"/>
      <c r="L322" s="57">
        <f t="shared" si="4"/>
        <v>0</v>
      </c>
      <c r="M322" s="57">
        <f t="shared" si="4"/>
        <v>0</v>
      </c>
    </row>
    <row r="323" spans="1:13" x14ac:dyDescent="0.25">
      <c r="A323" s="34">
        <v>0</v>
      </c>
      <c r="B323" s="57">
        <f t="shared" si="4"/>
        <v>617</v>
      </c>
      <c r="C323" s="57">
        <f t="shared" si="4"/>
        <v>500</v>
      </c>
      <c r="D323" s="57">
        <f t="shared" si="4"/>
        <v>117</v>
      </c>
      <c r="E323" s="57">
        <f t="shared" si="4"/>
        <v>0</v>
      </c>
      <c r="F323" s="57">
        <f t="shared" si="4"/>
        <v>0</v>
      </c>
      <c r="G323" s="57">
        <f t="shared" si="4"/>
        <v>0</v>
      </c>
      <c r="H323" s="57">
        <f t="shared" si="4"/>
        <v>0</v>
      </c>
      <c r="I323" s="57">
        <f t="shared" si="3"/>
        <v>0</v>
      </c>
      <c r="J323" s="57">
        <f t="shared" si="3"/>
        <v>0</v>
      </c>
      <c r="K323" s="57"/>
      <c r="L323" s="57">
        <f t="shared" si="4"/>
        <v>0</v>
      </c>
      <c r="M323" s="57">
        <f t="shared" si="4"/>
        <v>0</v>
      </c>
    </row>
    <row r="324" spans="1:13" x14ac:dyDescent="0.25">
      <c r="A324" s="34">
        <v>0</v>
      </c>
      <c r="B324" s="57">
        <f t="shared" si="4"/>
        <v>617</v>
      </c>
      <c r="C324" s="57">
        <f t="shared" si="4"/>
        <v>500</v>
      </c>
      <c r="D324" s="57">
        <f t="shared" si="4"/>
        <v>117</v>
      </c>
      <c r="E324" s="57">
        <f t="shared" si="4"/>
        <v>0</v>
      </c>
      <c r="F324" s="57">
        <f t="shared" si="4"/>
        <v>0</v>
      </c>
      <c r="G324" s="57">
        <f t="shared" si="4"/>
        <v>0</v>
      </c>
      <c r="H324" s="57">
        <f t="shared" si="4"/>
        <v>0</v>
      </c>
      <c r="I324" s="57">
        <f t="shared" si="3"/>
        <v>0</v>
      </c>
      <c r="J324" s="57">
        <f t="shared" si="3"/>
        <v>0</v>
      </c>
      <c r="K324" s="57"/>
      <c r="L324" s="57">
        <f t="shared" si="4"/>
        <v>0</v>
      </c>
      <c r="M324" s="57">
        <f t="shared" si="4"/>
        <v>0</v>
      </c>
    </row>
    <row r="325" spans="1:13" x14ac:dyDescent="0.25">
      <c r="A325" s="34">
        <v>0</v>
      </c>
      <c r="B325" s="57">
        <f t="shared" si="4"/>
        <v>617</v>
      </c>
      <c r="C325" s="57">
        <f t="shared" si="4"/>
        <v>500</v>
      </c>
      <c r="D325" s="57">
        <f t="shared" si="4"/>
        <v>117</v>
      </c>
      <c r="E325" s="57">
        <f t="shared" si="4"/>
        <v>0</v>
      </c>
      <c r="F325" s="57">
        <f t="shared" si="4"/>
        <v>0</v>
      </c>
      <c r="G325" s="57">
        <f t="shared" si="4"/>
        <v>0</v>
      </c>
      <c r="H325" s="57">
        <f t="shared" si="4"/>
        <v>0</v>
      </c>
      <c r="I325" s="57">
        <f t="shared" ref="I325:J356" si="5">L41</f>
        <v>0</v>
      </c>
      <c r="J325" s="57">
        <f t="shared" si="5"/>
        <v>0</v>
      </c>
      <c r="K325" s="57"/>
      <c r="L325" s="57">
        <f t="shared" si="4"/>
        <v>0</v>
      </c>
      <c r="M325" s="57">
        <f t="shared" si="4"/>
        <v>0</v>
      </c>
    </row>
    <row r="326" spans="1:13" x14ac:dyDescent="0.25">
      <c r="A326" s="34">
        <v>0</v>
      </c>
      <c r="B326" s="57">
        <f t="shared" si="4"/>
        <v>617</v>
      </c>
      <c r="C326" s="57">
        <f t="shared" si="4"/>
        <v>500</v>
      </c>
      <c r="D326" s="57">
        <f t="shared" si="4"/>
        <v>117</v>
      </c>
      <c r="E326" s="57">
        <f t="shared" si="4"/>
        <v>0</v>
      </c>
      <c r="F326" s="57">
        <f t="shared" si="4"/>
        <v>0</v>
      </c>
      <c r="G326" s="57">
        <f t="shared" si="4"/>
        <v>0</v>
      </c>
      <c r="H326" s="57">
        <f t="shared" si="4"/>
        <v>0</v>
      </c>
      <c r="I326" s="57">
        <f t="shared" si="5"/>
        <v>0</v>
      </c>
      <c r="J326" s="57">
        <f t="shared" si="5"/>
        <v>0</v>
      </c>
      <c r="K326" s="57"/>
      <c r="L326" s="57">
        <f t="shared" si="4"/>
        <v>0</v>
      </c>
      <c r="M326" s="57">
        <f t="shared" si="4"/>
        <v>0</v>
      </c>
    </row>
    <row r="327" spans="1:13" x14ac:dyDescent="0.25">
      <c r="A327" s="34">
        <v>0</v>
      </c>
      <c r="B327" s="57">
        <f t="shared" si="4"/>
        <v>617</v>
      </c>
      <c r="C327" s="57">
        <f t="shared" si="4"/>
        <v>500</v>
      </c>
      <c r="D327" s="57">
        <f t="shared" si="4"/>
        <v>117</v>
      </c>
      <c r="E327" s="57">
        <f t="shared" si="4"/>
        <v>0</v>
      </c>
      <c r="F327" s="57">
        <f t="shared" si="4"/>
        <v>0</v>
      </c>
      <c r="G327" s="57">
        <f t="shared" si="4"/>
        <v>0</v>
      </c>
      <c r="H327" s="57">
        <f t="shared" si="4"/>
        <v>0</v>
      </c>
      <c r="I327" s="57">
        <f t="shared" si="5"/>
        <v>0</v>
      </c>
      <c r="J327" s="57">
        <f t="shared" si="5"/>
        <v>0</v>
      </c>
      <c r="K327" s="57"/>
      <c r="L327" s="57">
        <f t="shared" si="4"/>
        <v>0</v>
      </c>
      <c r="M327" s="57">
        <f t="shared" si="4"/>
        <v>0</v>
      </c>
    </row>
    <row r="328" spans="1:13" x14ac:dyDescent="0.25">
      <c r="A328" s="34">
        <v>0</v>
      </c>
      <c r="B328" s="57">
        <f t="shared" si="4"/>
        <v>567</v>
      </c>
      <c r="C328" s="57">
        <f t="shared" si="4"/>
        <v>500</v>
      </c>
      <c r="D328" s="57">
        <f t="shared" si="4"/>
        <v>67</v>
      </c>
      <c r="E328" s="57">
        <f t="shared" si="4"/>
        <v>0</v>
      </c>
      <c r="F328" s="57">
        <f t="shared" si="4"/>
        <v>0</v>
      </c>
      <c r="G328" s="57">
        <f t="shared" si="4"/>
        <v>0</v>
      </c>
      <c r="H328" s="57">
        <f t="shared" si="4"/>
        <v>0</v>
      </c>
      <c r="I328" s="57">
        <f t="shared" si="5"/>
        <v>0</v>
      </c>
      <c r="J328" s="57">
        <f t="shared" si="5"/>
        <v>0</v>
      </c>
      <c r="K328" s="57"/>
      <c r="L328" s="57">
        <f t="shared" si="4"/>
        <v>0</v>
      </c>
      <c r="M328" s="57">
        <f t="shared" si="4"/>
        <v>0</v>
      </c>
    </row>
    <row r="329" spans="1:13" x14ac:dyDescent="0.25">
      <c r="A329" s="34">
        <v>0</v>
      </c>
      <c r="B329" s="57">
        <f t="shared" si="4"/>
        <v>500</v>
      </c>
      <c r="C329" s="57">
        <f t="shared" si="4"/>
        <v>500</v>
      </c>
      <c r="D329" s="57">
        <f t="shared" si="4"/>
        <v>0</v>
      </c>
      <c r="E329" s="57">
        <f t="shared" si="4"/>
        <v>0</v>
      </c>
      <c r="F329" s="57">
        <f t="shared" si="4"/>
        <v>0</v>
      </c>
      <c r="G329" s="57">
        <f t="shared" si="4"/>
        <v>0</v>
      </c>
      <c r="H329" s="57">
        <f t="shared" si="4"/>
        <v>0</v>
      </c>
      <c r="I329" s="57">
        <f t="shared" si="5"/>
        <v>0</v>
      </c>
      <c r="J329" s="57">
        <f t="shared" si="5"/>
        <v>0</v>
      </c>
      <c r="K329" s="57"/>
      <c r="L329" s="57">
        <f t="shared" si="4"/>
        <v>0</v>
      </c>
      <c r="M329" s="57">
        <f t="shared" si="4"/>
        <v>0</v>
      </c>
    </row>
    <row r="330" spans="1:13" x14ac:dyDescent="0.25">
      <c r="A330" s="34">
        <v>0</v>
      </c>
      <c r="B330" s="57">
        <f t="shared" si="4"/>
        <v>500</v>
      </c>
      <c r="C330" s="57">
        <f t="shared" si="4"/>
        <v>500</v>
      </c>
      <c r="D330" s="57">
        <f t="shared" si="4"/>
        <v>0</v>
      </c>
      <c r="E330" s="57">
        <f t="shared" si="4"/>
        <v>0</v>
      </c>
      <c r="F330" s="57">
        <f t="shared" si="4"/>
        <v>0</v>
      </c>
      <c r="G330" s="57">
        <f t="shared" si="4"/>
        <v>0</v>
      </c>
      <c r="H330" s="57">
        <f t="shared" si="4"/>
        <v>0</v>
      </c>
      <c r="I330" s="57">
        <f t="shared" si="5"/>
        <v>0</v>
      </c>
      <c r="J330" s="57">
        <f t="shared" si="5"/>
        <v>0</v>
      </c>
      <c r="K330" s="57"/>
      <c r="L330" s="57">
        <f t="shared" si="4"/>
        <v>0</v>
      </c>
      <c r="M330" s="57">
        <f t="shared" si="4"/>
        <v>0</v>
      </c>
    </row>
    <row r="331" spans="1:13" x14ac:dyDescent="0.25">
      <c r="A331" s="34">
        <v>0</v>
      </c>
      <c r="B331" s="57">
        <f t="shared" ref="B331:H359" si="6">D47</f>
        <v>550</v>
      </c>
      <c r="C331" s="57">
        <f t="shared" si="6"/>
        <v>500</v>
      </c>
      <c r="D331" s="57">
        <f t="shared" si="6"/>
        <v>50</v>
      </c>
      <c r="E331" s="57">
        <f t="shared" si="6"/>
        <v>0</v>
      </c>
      <c r="F331" s="57">
        <f t="shared" si="6"/>
        <v>0</v>
      </c>
      <c r="G331" s="57">
        <f t="shared" si="6"/>
        <v>0</v>
      </c>
      <c r="H331" s="57">
        <f t="shared" si="6"/>
        <v>0</v>
      </c>
      <c r="I331" s="57">
        <f t="shared" si="5"/>
        <v>0</v>
      </c>
      <c r="J331" s="57">
        <f t="shared" si="5"/>
        <v>0</v>
      </c>
      <c r="K331" s="57"/>
      <c r="L331" s="57">
        <f t="shared" ref="L331:M388" si="7">N47</f>
        <v>0</v>
      </c>
      <c r="M331" s="57">
        <f t="shared" si="7"/>
        <v>0</v>
      </c>
    </row>
    <row r="332" spans="1:13" x14ac:dyDescent="0.25">
      <c r="A332" s="34">
        <v>0</v>
      </c>
      <c r="B332" s="57">
        <f t="shared" si="6"/>
        <v>600</v>
      </c>
      <c r="C332" s="57">
        <f t="shared" si="6"/>
        <v>500</v>
      </c>
      <c r="D332" s="57">
        <f t="shared" si="6"/>
        <v>100</v>
      </c>
      <c r="E332" s="57">
        <f t="shared" si="6"/>
        <v>0</v>
      </c>
      <c r="F332" s="57">
        <f t="shared" si="6"/>
        <v>0</v>
      </c>
      <c r="G332" s="57">
        <f t="shared" si="6"/>
        <v>0</v>
      </c>
      <c r="H332" s="57">
        <f t="shared" si="6"/>
        <v>0</v>
      </c>
      <c r="I332" s="57">
        <f t="shared" si="5"/>
        <v>0</v>
      </c>
      <c r="J332" s="57">
        <f t="shared" si="5"/>
        <v>0</v>
      </c>
      <c r="K332" s="57"/>
      <c r="L332" s="57">
        <f t="shared" si="7"/>
        <v>0</v>
      </c>
      <c r="M332" s="57">
        <f t="shared" si="7"/>
        <v>0</v>
      </c>
    </row>
    <row r="333" spans="1:13" x14ac:dyDescent="0.25">
      <c r="A333" s="34">
        <v>0</v>
      </c>
      <c r="B333" s="57">
        <f t="shared" si="6"/>
        <v>617</v>
      </c>
      <c r="C333" s="57">
        <f t="shared" si="6"/>
        <v>500</v>
      </c>
      <c r="D333" s="57">
        <f t="shared" si="6"/>
        <v>117</v>
      </c>
      <c r="E333" s="57">
        <f t="shared" si="6"/>
        <v>0</v>
      </c>
      <c r="F333" s="57">
        <f t="shared" si="6"/>
        <v>0</v>
      </c>
      <c r="G333" s="57">
        <f t="shared" si="6"/>
        <v>0</v>
      </c>
      <c r="H333" s="57">
        <f t="shared" si="6"/>
        <v>0</v>
      </c>
      <c r="I333" s="57">
        <f t="shared" si="5"/>
        <v>0</v>
      </c>
      <c r="J333" s="57">
        <f t="shared" si="5"/>
        <v>0</v>
      </c>
      <c r="K333" s="57"/>
      <c r="L333" s="57">
        <f t="shared" si="7"/>
        <v>0</v>
      </c>
      <c r="M333" s="57">
        <f t="shared" si="7"/>
        <v>0</v>
      </c>
    </row>
    <row r="334" spans="1:13" x14ac:dyDescent="0.25">
      <c r="A334" s="34">
        <v>0</v>
      </c>
      <c r="B334" s="57">
        <f t="shared" si="6"/>
        <v>617</v>
      </c>
      <c r="C334" s="57">
        <f t="shared" si="6"/>
        <v>500</v>
      </c>
      <c r="D334" s="57">
        <f t="shared" si="6"/>
        <v>117</v>
      </c>
      <c r="E334" s="57">
        <f t="shared" si="6"/>
        <v>0</v>
      </c>
      <c r="F334" s="57">
        <f t="shared" si="6"/>
        <v>0</v>
      </c>
      <c r="G334" s="57">
        <f t="shared" si="6"/>
        <v>0</v>
      </c>
      <c r="H334" s="57">
        <f t="shared" si="6"/>
        <v>0</v>
      </c>
      <c r="I334" s="57">
        <f t="shared" si="5"/>
        <v>0</v>
      </c>
      <c r="J334" s="57">
        <f t="shared" si="5"/>
        <v>0</v>
      </c>
      <c r="K334" s="57"/>
      <c r="L334" s="57">
        <f t="shared" si="7"/>
        <v>0</v>
      </c>
      <c r="M334" s="57">
        <f t="shared" si="7"/>
        <v>0</v>
      </c>
    </row>
    <row r="335" spans="1:13" x14ac:dyDescent="0.25">
      <c r="A335" s="34">
        <v>0</v>
      </c>
      <c r="B335" s="57">
        <f t="shared" si="6"/>
        <v>617</v>
      </c>
      <c r="C335" s="57">
        <f t="shared" si="6"/>
        <v>500</v>
      </c>
      <c r="D335" s="57">
        <f t="shared" si="6"/>
        <v>117</v>
      </c>
      <c r="E335" s="57">
        <f t="shared" si="6"/>
        <v>0</v>
      </c>
      <c r="F335" s="57">
        <f t="shared" si="6"/>
        <v>0</v>
      </c>
      <c r="G335" s="57">
        <f t="shared" si="6"/>
        <v>0</v>
      </c>
      <c r="H335" s="57">
        <f t="shared" si="6"/>
        <v>0</v>
      </c>
      <c r="I335" s="57">
        <f t="shared" si="5"/>
        <v>0</v>
      </c>
      <c r="J335" s="57">
        <f t="shared" si="5"/>
        <v>0</v>
      </c>
      <c r="K335" s="57"/>
      <c r="L335" s="57">
        <f t="shared" si="7"/>
        <v>0</v>
      </c>
      <c r="M335" s="57">
        <f t="shared" si="7"/>
        <v>0</v>
      </c>
    </row>
    <row r="336" spans="1:13" x14ac:dyDescent="0.25">
      <c r="A336" s="34">
        <v>0</v>
      </c>
      <c r="B336" s="57">
        <f t="shared" si="6"/>
        <v>617</v>
      </c>
      <c r="C336" s="57">
        <f t="shared" si="6"/>
        <v>500</v>
      </c>
      <c r="D336" s="57">
        <f t="shared" si="6"/>
        <v>117</v>
      </c>
      <c r="E336" s="57">
        <f t="shared" si="6"/>
        <v>0</v>
      </c>
      <c r="F336" s="57">
        <f t="shared" si="6"/>
        <v>0</v>
      </c>
      <c r="G336" s="57">
        <f t="shared" si="6"/>
        <v>0</v>
      </c>
      <c r="H336" s="57">
        <f t="shared" si="6"/>
        <v>0</v>
      </c>
      <c r="I336" s="57">
        <f t="shared" si="5"/>
        <v>0</v>
      </c>
      <c r="J336" s="57">
        <f t="shared" si="5"/>
        <v>0</v>
      </c>
      <c r="K336" s="57"/>
      <c r="L336" s="57">
        <f t="shared" si="7"/>
        <v>0</v>
      </c>
      <c r="M336" s="57">
        <f t="shared" si="7"/>
        <v>0</v>
      </c>
    </row>
    <row r="337" spans="1:13" x14ac:dyDescent="0.25">
      <c r="A337" s="34">
        <v>0</v>
      </c>
      <c r="B337" s="57">
        <f t="shared" si="6"/>
        <v>617</v>
      </c>
      <c r="C337" s="57">
        <f t="shared" si="6"/>
        <v>500</v>
      </c>
      <c r="D337" s="57">
        <f>F53</f>
        <v>117</v>
      </c>
      <c r="E337" s="57">
        <f t="shared" si="6"/>
        <v>0</v>
      </c>
      <c r="F337" s="57">
        <f t="shared" si="6"/>
        <v>0</v>
      </c>
      <c r="G337" s="57">
        <f t="shared" si="6"/>
        <v>0</v>
      </c>
      <c r="H337" s="57">
        <f t="shared" si="6"/>
        <v>0</v>
      </c>
      <c r="I337" s="57">
        <f t="shared" si="5"/>
        <v>0</v>
      </c>
      <c r="J337" s="57">
        <f t="shared" si="5"/>
        <v>0</v>
      </c>
      <c r="K337" s="57"/>
      <c r="L337" s="57">
        <f t="shared" si="7"/>
        <v>0</v>
      </c>
      <c r="M337" s="57">
        <f t="shared" si="7"/>
        <v>0</v>
      </c>
    </row>
    <row r="338" spans="1:13" x14ac:dyDescent="0.25">
      <c r="A338" s="34">
        <v>0</v>
      </c>
      <c r="B338" s="57">
        <f t="shared" si="6"/>
        <v>617</v>
      </c>
      <c r="C338" s="57">
        <f t="shared" si="6"/>
        <v>500</v>
      </c>
      <c r="D338" s="57">
        <f t="shared" si="6"/>
        <v>117</v>
      </c>
      <c r="E338" s="57">
        <f t="shared" si="6"/>
        <v>0</v>
      </c>
      <c r="F338" s="57">
        <f t="shared" si="6"/>
        <v>0</v>
      </c>
      <c r="G338" s="57">
        <f t="shared" si="6"/>
        <v>0</v>
      </c>
      <c r="H338" s="57">
        <f t="shared" si="6"/>
        <v>0</v>
      </c>
      <c r="I338" s="57">
        <f t="shared" si="5"/>
        <v>0</v>
      </c>
      <c r="J338" s="57">
        <f t="shared" si="5"/>
        <v>0</v>
      </c>
      <c r="K338" s="57"/>
      <c r="L338" s="57">
        <f t="shared" si="7"/>
        <v>0</v>
      </c>
      <c r="M338" s="57">
        <f t="shared" si="7"/>
        <v>0</v>
      </c>
    </row>
    <row r="339" spans="1:13" x14ac:dyDescent="0.25">
      <c r="A339" s="34">
        <v>0</v>
      </c>
      <c r="B339" s="57">
        <f t="shared" si="6"/>
        <v>617</v>
      </c>
      <c r="C339" s="57">
        <f>E55</f>
        <v>500</v>
      </c>
      <c r="D339" s="57">
        <f t="shared" si="6"/>
        <v>117</v>
      </c>
      <c r="E339" s="57">
        <f t="shared" si="6"/>
        <v>0</v>
      </c>
      <c r="F339" s="57">
        <f t="shared" si="6"/>
        <v>0</v>
      </c>
      <c r="G339" s="57">
        <f t="shared" si="6"/>
        <v>0</v>
      </c>
      <c r="H339" s="57">
        <f t="shared" si="6"/>
        <v>0</v>
      </c>
      <c r="I339" s="57">
        <f t="shared" si="5"/>
        <v>0</v>
      </c>
      <c r="J339" s="57">
        <f t="shared" si="5"/>
        <v>0</v>
      </c>
      <c r="K339" s="57"/>
      <c r="L339" s="57">
        <f t="shared" si="7"/>
        <v>0</v>
      </c>
      <c r="M339" s="57">
        <f t="shared" si="7"/>
        <v>0</v>
      </c>
    </row>
    <row r="340" spans="1:13" x14ac:dyDescent="0.25">
      <c r="A340" s="34">
        <v>0</v>
      </c>
      <c r="B340" s="57">
        <f t="shared" si="6"/>
        <v>617</v>
      </c>
      <c r="C340" s="57">
        <f t="shared" si="6"/>
        <v>500</v>
      </c>
      <c r="D340" s="57">
        <f t="shared" si="6"/>
        <v>117</v>
      </c>
      <c r="E340" s="57">
        <f t="shared" si="6"/>
        <v>0</v>
      </c>
      <c r="F340" s="57">
        <f t="shared" si="6"/>
        <v>0</v>
      </c>
      <c r="G340" s="57">
        <f t="shared" si="6"/>
        <v>0</v>
      </c>
      <c r="H340" s="57">
        <f t="shared" si="6"/>
        <v>0</v>
      </c>
      <c r="I340" s="57">
        <f t="shared" si="5"/>
        <v>0</v>
      </c>
      <c r="J340" s="57">
        <f t="shared" si="5"/>
        <v>0</v>
      </c>
      <c r="K340" s="57"/>
      <c r="L340" s="57">
        <f t="shared" si="7"/>
        <v>0</v>
      </c>
      <c r="M340" s="57">
        <f t="shared" si="7"/>
        <v>0</v>
      </c>
    </row>
    <row r="341" spans="1:13" x14ac:dyDescent="0.25">
      <c r="A341" s="34">
        <v>0</v>
      </c>
      <c r="B341" s="57">
        <f t="shared" si="6"/>
        <v>617</v>
      </c>
      <c r="C341" s="57">
        <f t="shared" si="6"/>
        <v>500</v>
      </c>
      <c r="D341" s="57">
        <f t="shared" si="6"/>
        <v>117</v>
      </c>
      <c r="E341" s="57">
        <f t="shared" si="6"/>
        <v>0</v>
      </c>
      <c r="F341" s="57">
        <f t="shared" si="6"/>
        <v>0</v>
      </c>
      <c r="G341" s="57">
        <f t="shared" si="6"/>
        <v>0</v>
      </c>
      <c r="H341" s="57">
        <f t="shared" si="6"/>
        <v>0</v>
      </c>
      <c r="I341" s="57">
        <f t="shared" si="5"/>
        <v>0</v>
      </c>
      <c r="J341" s="57">
        <f t="shared" si="5"/>
        <v>0</v>
      </c>
      <c r="K341" s="57"/>
      <c r="L341" s="57">
        <f t="shared" si="7"/>
        <v>0</v>
      </c>
      <c r="M341" s="57">
        <f t="shared" si="7"/>
        <v>0</v>
      </c>
    </row>
    <row r="342" spans="1:13" x14ac:dyDescent="0.25">
      <c r="A342" s="34">
        <v>0</v>
      </c>
      <c r="B342" s="57">
        <f t="shared" si="6"/>
        <v>617</v>
      </c>
      <c r="C342" s="57">
        <f t="shared" si="6"/>
        <v>500</v>
      </c>
      <c r="D342" s="57">
        <f t="shared" si="6"/>
        <v>117</v>
      </c>
      <c r="E342" s="57">
        <f t="shared" si="6"/>
        <v>0</v>
      </c>
      <c r="F342" s="57">
        <f t="shared" si="6"/>
        <v>0</v>
      </c>
      <c r="G342" s="57">
        <f t="shared" si="6"/>
        <v>0</v>
      </c>
      <c r="H342" s="57">
        <f t="shared" si="6"/>
        <v>0</v>
      </c>
      <c r="I342" s="57">
        <f t="shared" si="5"/>
        <v>0</v>
      </c>
      <c r="J342" s="57">
        <f t="shared" si="5"/>
        <v>0</v>
      </c>
      <c r="K342" s="57"/>
      <c r="L342" s="57">
        <f t="shared" si="7"/>
        <v>0</v>
      </c>
      <c r="M342" s="57">
        <f t="shared" si="7"/>
        <v>0</v>
      </c>
    </row>
    <row r="343" spans="1:13" x14ac:dyDescent="0.25">
      <c r="A343" s="34">
        <v>0</v>
      </c>
      <c r="B343" s="57">
        <f t="shared" si="6"/>
        <v>617</v>
      </c>
      <c r="C343" s="57">
        <f t="shared" si="6"/>
        <v>500</v>
      </c>
      <c r="D343" s="57">
        <f t="shared" si="6"/>
        <v>117</v>
      </c>
      <c r="E343" s="57">
        <f t="shared" si="6"/>
        <v>0</v>
      </c>
      <c r="F343" s="57">
        <f t="shared" si="6"/>
        <v>0</v>
      </c>
      <c r="G343" s="57">
        <f t="shared" si="6"/>
        <v>0</v>
      </c>
      <c r="H343" s="57">
        <f t="shared" si="6"/>
        <v>0</v>
      </c>
      <c r="I343" s="57">
        <f t="shared" si="5"/>
        <v>0</v>
      </c>
      <c r="J343" s="57">
        <f t="shared" si="5"/>
        <v>0</v>
      </c>
      <c r="K343" s="57"/>
      <c r="L343" s="57">
        <f t="shared" si="7"/>
        <v>0</v>
      </c>
      <c r="M343" s="57">
        <f t="shared" si="7"/>
        <v>0</v>
      </c>
    </row>
    <row r="344" spans="1:13" x14ac:dyDescent="0.25">
      <c r="A344" s="34">
        <v>0</v>
      </c>
      <c r="B344" s="57">
        <f t="shared" si="6"/>
        <v>617</v>
      </c>
      <c r="C344" s="57">
        <f t="shared" si="6"/>
        <v>500</v>
      </c>
      <c r="D344" s="57">
        <f t="shared" si="6"/>
        <v>117</v>
      </c>
      <c r="E344" s="57">
        <f t="shared" si="6"/>
        <v>0</v>
      </c>
      <c r="F344" s="57">
        <f t="shared" si="6"/>
        <v>0</v>
      </c>
      <c r="G344" s="57">
        <f t="shared" si="6"/>
        <v>0</v>
      </c>
      <c r="H344" s="57">
        <f t="shared" si="6"/>
        <v>0</v>
      </c>
      <c r="I344" s="57">
        <f t="shared" si="5"/>
        <v>0</v>
      </c>
      <c r="J344" s="57">
        <f t="shared" si="5"/>
        <v>0</v>
      </c>
      <c r="K344" s="57"/>
      <c r="L344" s="57">
        <f t="shared" si="7"/>
        <v>0</v>
      </c>
      <c r="M344" s="57">
        <f t="shared" si="7"/>
        <v>0</v>
      </c>
    </row>
    <row r="345" spans="1:13" x14ac:dyDescent="0.25">
      <c r="A345" s="34">
        <v>0</v>
      </c>
      <c r="B345" s="57">
        <f t="shared" si="6"/>
        <v>617</v>
      </c>
      <c r="C345" s="57">
        <f t="shared" si="6"/>
        <v>500</v>
      </c>
      <c r="D345" s="57">
        <f t="shared" si="6"/>
        <v>117</v>
      </c>
      <c r="E345" s="57">
        <f t="shared" si="6"/>
        <v>0</v>
      </c>
      <c r="F345" s="57">
        <f t="shared" si="6"/>
        <v>0</v>
      </c>
      <c r="G345" s="57">
        <f t="shared" si="6"/>
        <v>0</v>
      </c>
      <c r="H345" s="57">
        <f t="shared" si="6"/>
        <v>0</v>
      </c>
      <c r="I345" s="57">
        <f t="shared" si="5"/>
        <v>0</v>
      </c>
      <c r="J345" s="57">
        <f t="shared" si="5"/>
        <v>0</v>
      </c>
      <c r="K345" s="57"/>
      <c r="L345" s="57">
        <f t="shared" si="7"/>
        <v>0</v>
      </c>
      <c r="M345" s="57">
        <f t="shared" si="7"/>
        <v>0</v>
      </c>
    </row>
    <row r="346" spans="1:13" x14ac:dyDescent="0.25">
      <c r="A346" s="34">
        <v>0</v>
      </c>
      <c r="B346" s="57">
        <f t="shared" si="6"/>
        <v>617</v>
      </c>
      <c r="C346" s="57">
        <f t="shared" si="6"/>
        <v>500</v>
      </c>
      <c r="D346" s="57">
        <f t="shared" si="6"/>
        <v>117</v>
      </c>
      <c r="E346" s="57">
        <f t="shared" si="6"/>
        <v>0</v>
      </c>
      <c r="F346" s="57">
        <f t="shared" si="6"/>
        <v>0</v>
      </c>
      <c r="G346" s="57">
        <f t="shared" si="6"/>
        <v>0</v>
      </c>
      <c r="H346" s="57">
        <f t="shared" si="6"/>
        <v>0</v>
      </c>
      <c r="I346" s="57">
        <f t="shared" si="5"/>
        <v>0</v>
      </c>
      <c r="J346" s="57">
        <f t="shared" si="5"/>
        <v>0</v>
      </c>
      <c r="K346" s="57"/>
      <c r="L346" s="57">
        <f t="shared" si="7"/>
        <v>0</v>
      </c>
      <c r="M346" s="57">
        <f t="shared" si="7"/>
        <v>0</v>
      </c>
    </row>
    <row r="347" spans="1:13" x14ac:dyDescent="0.25">
      <c r="A347" s="34">
        <v>0</v>
      </c>
      <c r="B347" s="57">
        <f t="shared" si="6"/>
        <v>617</v>
      </c>
      <c r="C347" s="57">
        <f t="shared" si="6"/>
        <v>500</v>
      </c>
      <c r="D347" s="57">
        <f t="shared" si="6"/>
        <v>117</v>
      </c>
      <c r="E347" s="57">
        <f t="shared" si="6"/>
        <v>0</v>
      </c>
      <c r="F347" s="57">
        <f t="shared" si="6"/>
        <v>0</v>
      </c>
      <c r="G347" s="57">
        <f t="shared" si="6"/>
        <v>0</v>
      </c>
      <c r="H347" s="57">
        <f t="shared" si="6"/>
        <v>0</v>
      </c>
      <c r="I347" s="57">
        <f t="shared" si="5"/>
        <v>0</v>
      </c>
      <c r="J347" s="57">
        <f t="shared" si="5"/>
        <v>0</v>
      </c>
      <c r="K347" s="57"/>
      <c r="L347" s="57">
        <f t="shared" si="7"/>
        <v>0</v>
      </c>
      <c r="M347" s="57">
        <f t="shared" si="7"/>
        <v>0</v>
      </c>
    </row>
    <row r="348" spans="1:13" x14ac:dyDescent="0.25">
      <c r="A348" s="34">
        <v>0</v>
      </c>
      <c r="B348" s="57">
        <f t="shared" si="6"/>
        <v>617</v>
      </c>
      <c r="C348" s="57">
        <f t="shared" si="6"/>
        <v>500</v>
      </c>
      <c r="D348" s="57">
        <f t="shared" si="6"/>
        <v>117</v>
      </c>
      <c r="E348" s="57">
        <f t="shared" si="6"/>
        <v>0</v>
      </c>
      <c r="F348" s="57">
        <f t="shared" si="6"/>
        <v>0</v>
      </c>
      <c r="G348" s="57">
        <f t="shared" si="6"/>
        <v>0</v>
      </c>
      <c r="H348" s="57">
        <f t="shared" si="6"/>
        <v>0</v>
      </c>
      <c r="I348" s="57">
        <f t="shared" si="5"/>
        <v>0</v>
      </c>
      <c r="J348" s="57">
        <f t="shared" si="5"/>
        <v>0</v>
      </c>
      <c r="K348" s="57"/>
      <c r="L348" s="57">
        <f t="shared" si="7"/>
        <v>0</v>
      </c>
      <c r="M348" s="57">
        <f t="shared" si="7"/>
        <v>0</v>
      </c>
    </row>
    <row r="349" spans="1:13" x14ac:dyDescent="0.25">
      <c r="A349" s="34">
        <v>0</v>
      </c>
      <c r="B349" s="57">
        <f t="shared" si="6"/>
        <v>617</v>
      </c>
      <c r="C349" s="57">
        <f t="shared" si="6"/>
        <v>500</v>
      </c>
      <c r="D349" s="57">
        <f t="shared" si="6"/>
        <v>117</v>
      </c>
      <c r="E349" s="57">
        <f t="shared" si="6"/>
        <v>0</v>
      </c>
      <c r="F349" s="57">
        <f t="shared" si="6"/>
        <v>0</v>
      </c>
      <c r="G349" s="57">
        <f t="shared" si="6"/>
        <v>0</v>
      </c>
      <c r="H349" s="57">
        <f t="shared" si="6"/>
        <v>0</v>
      </c>
      <c r="I349" s="57">
        <f t="shared" si="5"/>
        <v>0</v>
      </c>
      <c r="J349" s="57">
        <f t="shared" si="5"/>
        <v>0</v>
      </c>
      <c r="K349" s="57"/>
      <c r="L349" s="57">
        <f t="shared" si="7"/>
        <v>0</v>
      </c>
      <c r="M349" s="57">
        <f t="shared" si="7"/>
        <v>0</v>
      </c>
    </row>
    <row r="350" spans="1:13" x14ac:dyDescent="0.25">
      <c r="A350" s="34">
        <v>0</v>
      </c>
      <c r="B350" s="57">
        <f t="shared" si="6"/>
        <v>617</v>
      </c>
      <c r="C350" s="57">
        <f t="shared" si="6"/>
        <v>500</v>
      </c>
      <c r="D350" s="57">
        <f t="shared" si="6"/>
        <v>117</v>
      </c>
      <c r="E350" s="57">
        <f t="shared" si="6"/>
        <v>0</v>
      </c>
      <c r="F350" s="57">
        <f t="shared" si="6"/>
        <v>0</v>
      </c>
      <c r="G350" s="57">
        <f t="shared" si="6"/>
        <v>0</v>
      </c>
      <c r="H350" s="57">
        <f t="shared" si="6"/>
        <v>0</v>
      </c>
      <c r="I350" s="57">
        <f t="shared" si="5"/>
        <v>0</v>
      </c>
      <c r="J350" s="57">
        <f t="shared" si="5"/>
        <v>0</v>
      </c>
      <c r="K350" s="57"/>
      <c r="L350" s="57">
        <f t="shared" si="7"/>
        <v>0</v>
      </c>
      <c r="M350" s="57">
        <f t="shared" si="7"/>
        <v>0</v>
      </c>
    </row>
    <row r="351" spans="1:13" x14ac:dyDescent="0.25">
      <c r="A351" s="34">
        <v>0</v>
      </c>
      <c r="B351" s="57">
        <f t="shared" si="6"/>
        <v>617</v>
      </c>
      <c r="C351" s="57">
        <f t="shared" si="6"/>
        <v>500</v>
      </c>
      <c r="D351" s="57">
        <f t="shared" si="6"/>
        <v>117</v>
      </c>
      <c r="E351" s="57">
        <f t="shared" si="6"/>
        <v>0</v>
      </c>
      <c r="F351" s="57">
        <f t="shared" si="6"/>
        <v>0</v>
      </c>
      <c r="G351" s="57">
        <f t="shared" si="6"/>
        <v>0</v>
      </c>
      <c r="H351" s="57">
        <f t="shared" si="6"/>
        <v>0</v>
      </c>
      <c r="I351" s="57">
        <f t="shared" si="5"/>
        <v>0</v>
      </c>
      <c r="J351" s="57">
        <f t="shared" si="5"/>
        <v>0</v>
      </c>
      <c r="K351" s="57"/>
      <c r="L351" s="57">
        <f t="shared" si="7"/>
        <v>0</v>
      </c>
      <c r="M351" s="57">
        <f t="shared" si="7"/>
        <v>0</v>
      </c>
    </row>
    <row r="352" spans="1:13" x14ac:dyDescent="0.25">
      <c r="A352" s="34">
        <v>0</v>
      </c>
      <c r="B352" s="57">
        <f t="shared" si="6"/>
        <v>617</v>
      </c>
      <c r="C352" s="57">
        <f t="shared" si="6"/>
        <v>500</v>
      </c>
      <c r="D352" s="57">
        <f t="shared" si="6"/>
        <v>117</v>
      </c>
      <c r="E352" s="57">
        <f t="shared" si="6"/>
        <v>0</v>
      </c>
      <c r="F352" s="57">
        <f t="shared" si="6"/>
        <v>0</v>
      </c>
      <c r="G352" s="57">
        <f t="shared" si="6"/>
        <v>0</v>
      </c>
      <c r="H352" s="57">
        <f t="shared" si="6"/>
        <v>0</v>
      </c>
      <c r="I352" s="57">
        <f t="shared" si="5"/>
        <v>0</v>
      </c>
      <c r="J352" s="57">
        <f t="shared" si="5"/>
        <v>0</v>
      </c>
      <c r="K352" s="57"/>
      <c r="L352" s="57">
        <f t="shared" si="7"/>
        <v>0</v>
      </c>
      <c r="M352" s="57">
        <f t="shared" si="7"/>
        <v>0</v>
      </c>
    </row>
    <row r="353" spans="1:13" x14ac:dyDescent="0.25">
      <c r="A353" s="34">
        <v>0</v>
      </c>
      <c r="B353" s="57">
        <f t="shared" si="6"/>
        <v>617</v>
      </c>
      <c r="C353" s="57">
        <f t="shared" si="6"/>
        <v>500</v>
      </c>
      <c r="D353" s="57">
        <f t="shared" si="6"/>
        <v>117</v>
      </c>
      <c r="E353" s="57">
        <f t="shared" si="6"/>
        <v>0</v>
      </c>
      <c r="F353" s="57">
        <f t="shared" si="6"/>
        <v>0</v>
      </c>
      <c r="G353" s="57">
        <f t="shared" si="6"/>
        <v>0</v>
      </c>
      <c r="H353" s="57">
        <f t="shared" si="6"/>
        <v>0</v>
      </c>
      <c r="I353" s="57">
        <f t="shared" si="5"/>
        <v>0</v>
      </c>
      <c r="J353" s="57">
        <f t="shared" si="5"/>
        <v>0</v>
      </c>
      <c r="K353" s="57"/>
      <c r="L353" s="57">
        <f t="shared" si="7"/>
        <v>0</v>
      </c>
      <c r="M353" s="57">
        <f t="shared" si="7"/>
        <v>0</v>
      </c>
    </row>
    <row r="354" spans="1:13" x14ac:dyDescent="0.25">
      <c r="A354" s="34">
        <v>0</v>
      </c>
      <c r="B354" s="57">
        <f t="shared" si="6"/>
        <v>617</v>
      </c>
      <c r="C354" s="57">
        <f t="shared" si="6"/>
        <v>500</v>
      </c>
      <c r="D354" s="57">
        <f t="shared" si="6"/>
        <v>117</v>
      </c>
      <c r="E354" s="57">
        <f t="shared" si="6"/>
        <v>0</v>
      </c>
      <c r="F354" s="57">
        <f t="shared" si="6"/>
        <v>0</v>
      </c>
      <c r="G354" s="57">
        <f t="shared" si="6"/>
        <v>0</v>
      </c>
      <c r="H354" s="57">
        <f t="shared" si="6"/>
        <v>0</v>
      </c>
      <c r="I354" s="57">
        <f t="shared" si="5"/>
        <v>0</v>
      </c>
      <c r="J354" s="57">
        <f t="shared" si="5"/>
        <v>0</v>
      </c>
      <c r="K354" s="57"/>
      <c r="L354" s="57">
        <f t="shared" si="7"/>
        <v>0</v>
      </c>
      <c r="M354" s="57">
        <f t="shared" si="7"/>
        <v>0</v>
      </c>
    </row>
    <row r="355" spans="1:13" x14ac:dyDescent="0.25">
      <c r="A355" s="34">
        <v>0</v>
      </c>
      <c r="B355" s="57">
        <f t="shared" si="6"/>
        <v>617</v>
      </c>
      <c r="C355" s="57">
        <f t="shared" si="6"/>
        <v>500</v>
      </c>
      <c r="D355" s="57">
        <f t="shared" si="6"/>
        <v>117</v>
      </c>
      <c r="E355" s="57">
        <f t="shared" si="6"/>
        <v>0</v>
      </c>
      <c r="F355" s="57">
        <f t="shared" si="6"/>
        <v>0</v>
      </c>
      <c r="G355" s="57">
        <f t="shared" si="6"/>
        <v>0</v>
      </c>
      <c r="H355" s="57">
        <f t="shared" si="6"/>
        <v>0</v>
      </c>
      <c r="I355" s="57">
        <f t="shared" si="5"/>
        <v>0</v>
      </c>
      <c r="J355" s="57">
        <f t="shared" si="5"/>
        <v>0</v>
      </c>
      <c r="K355" s="57"/>
      <c r="L355" s="57">
        <f t="shared" si="7"/>
        <v>0</v>
      </c>
      <c r="M355" s="57">
        <f t="shared" si="7"/>
        <v>0</v>
      </c>
    </row>
    <row r="356" spans="1:13" x14ac:dyDescent="0.25">
      <c r="A356" s="34">
        <v>0</v>
      </c>
      <c r="B356" s="57">
        <f t="shared" si="6"/>
        <v>617</v>
      </c>
      <c r="C356" s="57">
        <f t="shared" si="6"/>
        <v>500</v>
      </c>
      <c r="D356" s="57">
        <f t="shared" si="6"/>
        <v>117</v>
      </c>
      <c r="E356" s="57">
        <f t="shared" si="6"/>
        <v>0</v>
      </c>
      <c r="F356" s="57">
        <f t="shared" si="6"/>
        <v>0</v>
      </c>
      <c r="G356" s="57">
        <f t="shared" si="6"/>
        <v>0</v>
      </c>
      <c r="H356" s="57">
        <f t="shared" si="6"/>
        <v>0</v>
      </c>
      <c r="I356" s="57">
        <f t="shared" si="5"/>
        <v>0</v>
      </c>
      <c r="J356" s="57">
        <f t="shared" si="5"/>
        <v>0</v>
      </c>
      <c r="K356" s="57"/>
      <c r="L356" s="57">
        <f t="shared" si="7"/>
        <v>0</v>
      </c>
      <c r="M356" s="57">
        <f t="shared" si="7"/>
        <v>0</v>
      </c>
    </row>
    <row r="357" spans="1:13" x14ac:dyDescent="0.25">
      <c r="A357" s="34">
        <v>0</v>
      </c>
      <c r="B357" s="57">
        <f t="shared" si="6"/>
        <v>617</v>
      </c>
      <c r="C357" s="57">
        <f t="shared" si="6"/>
        <v>500</v>
      </c>
      <c r="D357" s="57">
        <f t="shared" si="6"/>
        <v>117</v>
      </c>
      <c r="E357" s="57">
        <f t="shared" si="6"/>
        <v>0</v>
      </c>
      <c r="F357" s="57">
        <f t="shared" si="6"/>
        <v>0</v>
      </c>
      <c r="G357" s="57">
        <f t="shared" si="6"/>
        <v>0</v>
      </c>
      <c r="H357" s="57">
        <f t="shared" si="6"/>
        <v>0</v>
      </c>
      <c r="I357" s="57">
        <f t="shared" ref="I357:J388" si="8">L73</f>
        <v>0</v>
      </c>
      <c r="J357" s="57">
        <f t="shared" si="8"/>
        <v>0</v>
      </c>
      <c r="K357" s="57"/>
      <c r="L357" s="57">
        <f t="shared" si="7"/>
        <v>0</v>
      </c>
      <c r="M357" s="57">
        <f t="shared" si="7"/>
        <v>0</v>
      </c>
    </row>
    <row r="358" spans="1:13" x14ac:dyDescent="0.25">
      <c r="A358" s="34">
        <v>0</v>
      </c>
      <c r="B358" s="57">
        <f t="shared" si="6"/>
        <v>617</v>
      </c>
      <c r="C358" s="57">
        <f t="shared" si="6"/>
        <v>500</v>
      </c>
      <c r="D358" s="57">
        <f t="shared" si="6"/>
        <v>117</v>
      </c>
      <c r="E358" s="57">
        <f t="shared" si="6"/>
        <v>0</v>
      </c>
      <c r="F358" s="57">
        <f t="shared" si="6"/>
        <v>0</v>
      </c>
      <c r="G358" s="57">
        <f t="shared" si="6"/>
        <v>0</v>
      </c>
      <c r="H358" s="57">
        <f t="shared" si="6"/>
        <v>0</v>
      </c>
      <c r="I358" s="57">
        <f t="shared" si="8"/>
        <v>0</v>
      </c>
      <c r="J358" s="57">
        <f t="shared" si="8"/>
        <v>0</v>
      </c>
      <c r="K358" s="57"/>
      <c r="L358" s="57">
        <f t="shared" si="7"/>
        <v>0</v>
      </c>
      <c r="M358" s="57">
        <f t="shared" si="7"/>
        <v>0</v>
      </c>
    </row>
    <row r="359" spans="1:13" x14ac:dyDescent="0.25">
      <c r="A359" s="34">
        <v>0</v>
      </c>
      <c r="B359" s="57">
        <f t="shared" si="6"/>
        <v>617</v>
      </c>
      <c r="C359" s="57">
        <f t="shared" si="6"/>
        <v>500</v>
      </c>
      <c r="D359" s="57">
        <f t="shared" si="6"/>
        <v>117</v>
      </c>
      <c r="E359" s="57">
        <f t="shared" si="6"/>
        <v>0</v>
      </c>
      <c r="F359" s="57">
        <f t="shared" si="6"/>
        <v>0</v>
      </c>
      <c r="G359" s="57">
        <f t="shared" si="6"/>
        <v>0</v>
      </c>
      <c r="H359" s="57">
        <f t="shared" si="6"/>
        <v>0</v>
      </c>
      <c r="I359" s="57">
        <f t="shared" si="8"/>
        <v>0</v>
      </c>
      <c r="J359" s="57">
        <f t="shared" si="8"/>
        <v>0</v>
      </c>
      <c r="K359" s="57"/>
      <c r="L359" s="57">
        <f t="shared" si="7"/>
        <v>0</v>
      </c>
      <c r="M359" s="57">
        <f t="shared" si="7"/>
        <v>0</v>
      </c>
    </row>
    <row r="360" spans="1:13" x14ac:dyDescent="0.25">
      <c r="A360" s="34">
        <v>0</v>
      </c>
      <c r="B360" s="57">
        <f t="shared" ref="B360:H388" si="9">D76</f>
        <v>617</v>
      </c>
      <c r="C360" s="57">
        <f t="shared" si="9"/>
        <v>500</v>
      </c>
      <c r="D360" s="57">
        <f t="shared" si="9"/>
        <v>117</v>
      </c>
      <c r="E360" s="57">
        <f t="shared" si="9"/>
        <v>0</v>
      </c>
      <c r="F360" s="57">
        <f t="shared" si="9"/>
        <v>0</v>
      </c>
      <c r="G360" s="57">
        <f t="shared" si="9"/>
        <v>0</v>
      </c>
      <c r="H360" s="57">
        <f t="shared" si="9"/>
        <v>0</v>
      </c>
      <c r="I360" s="57">
        <f t="shared" si="8"/>
        <v>0</v>
      </c>
      <c r="J360" s="57">
        <f t="shared" si="8"/>
        <v>0</v>
      </c>
      <c r="K360" s="57"/>
      <c r="L360" s="57">
        <f t="shared" si="7"/>
        <v>0</v>
      </c>
      <c r="M360" s="57">
        <f t="shared" si="7"/>
        <v>0</v>
      </c>
    </row>
    <row r="361" spans="1:13" x14ac:dyDescent="0.25">
      <c r="A361" s="34">
        <v>0</v>
      </c>
      <c r="B361" s="57">
        <f t="shared" si="9"/>
        <v>617</v>
      </c>
      <c r="C361" s="57">
        <f t="shared" si="9"/>
        <v>500</v>
      </c>
      <c r="D361" s="57">
        <f t="shared" si="9"/>
        <v>117</v>
      </c>
      <c r="E361" s="57">
        <f t="shared" si="9"/>
        <v>0</v>
      </c>
      <c r="F361" s="57">
        <f t="shared" si="9"/>
        <v>0</v>
      </c>
      <c r="G361" s="57">
        <f t="shared" si="9"/>
        <v>0</v>
      </c>
      <c r="H361" s="57">
        <f t="shared" si="9"/>
        <v>0</v>
      </c>
      <c r="I361" s="57">
        <f t="shared" si="8"/>
        <v>0</v>
      </c>
      <c r="J361" s="57">
        <f t="shared" si="8"/>
        <v>0</v>
      </c>
      <c r="K361" s="57"/>
      <c r="L361" s="57">
        <f t="shared" si="7"/>
        <v>0</v>
      </c>
      <c r="M361" s="57">
        <f t="shared" si="7"/>
        <v>0</v>
      </c>
    </row>
    <row r="362" spans="1:13" x14ac:dyDescent="0.25">
      <c r="A362" s="34">
        <v>0</v>
      </c>
      <c r="B362" s="57">
        <f t="shared" si="9"/>
        <v>617</v>
      </c>
      <c r="C362" s="57">
        <f t="shared" si="9"/>
        <v>500</v>
      </c>
      <c r="D362" s="57">
        <f t="shared" si="9"/>
        <v>117</v>
      </c>
      <c r="E362" s="57">
        <f t="shared" si="9"/>
        <v>0</v>
      </c>
      <c r="F362" s="57">
        <f t="shared" si="9"/>
        <v>0</v>
      </c>
      <c r="G362" s="57">
        <f t="shared" si="9"/>
        <v>0</v>
      </c>
      <c r="H362" s="57">
        <f t="shared" si="9"/>
        <v>0</v>
      </c>
      <c r="I362" s="57">
        <f t="shared" si="8"/>
        <v>0</v>
      </c>
      <c r="J362" s="57">
        <f t="shared" si="8"/>
        <v>0</v>
      </c>
      <c r="K362" s="57"/>
      <c r="L362" s="57">
        <f t="shared" si="7"/>
        <v>0</v>
      </c>
      <c r="M362" s="57">
        <f t="shared" si="7"/>
        <v>0</v>
      </c>
    </row>
    <row r="363" spans="1:13" x14ac:dyDescent="0.25">
      <c r="A363" s="34">
        <v>0</v>
      </c>
      <c r="B363" s="57">
        <f t="shared" si="9"/>
        <v>617</v>
      </c>
      <c r="C363" s="57">
        <f t="shared" si="9"/>
        <v>500</v>
      </c>
      <c r="D363" s="57">
        <f t="shared" si="9"/>
        <v>117</v>
      </c>
      <c r="E363" s="57">
        <f t="shared" si="9"/>
        <v>0</v>
      </c>
      <c r="F363" s="57">
        <f t="shared" si="9"/>
        <v>0</v>
      </c>
      <c r="G363" s="57">
        <f t="shared" si="9"/>
        <v>0</v>
      </c>
      <c r="H363" s="57">
        <f t="shared" si="9"/>
        <v>0</v>
      </c>
      <c r="I363" s="57">
        <f t="shared" si="8"/>
        <v>0</v>
      </c>
      <c r="J363" s="57">
        <f t="shared" si="8"/>
        <v>0</v>
      </c>
      <c r="K363" s="57"/>
      <c r="L363" s="57">
        <f t="shared" si="7"/>
        <v>0</v>
      </c>
      <c r="M363" s="57">
        <f t="shared" si="7"/>
        <v>0</v>
      </c>
    </row>
    <row r="364" spans="1:13" x14ac:dyDescent="0.25">
      <c r="A364" s="34">
        <v>0</v>
      </c>
      <c r="B364" s="57">
        <f t="shared" si="9"/>
        <v>617</v>
      </c>
      <c r="C364" s="57">
        <f t="shared" si="9"/>
        <v>500</v>
      </c>
      <c r="D364" s="57">
        <f t="shared" si="9"/>
        <v>117</v>
      </c>
      <c r="E364" s="57">
        <f t="shared" si="9"/>
        <v>0</v>
      </c>
      <c r="F364" s="57">
        <f t="shared" si="9"/>
        <v>0</v>
      </c>
      <c r="G364" s="57">
        <f t="shared" si="9"/>
        <v>0</v>
      </c>
      <c r="H364" s="57">
        <f t="shared" si="9"/>
        <v>0</v>
      </c>
      <c r="I364" s="57">
        <f t="shared" si="8"/>
        <v>0</v>
      </c>
      <c r="J364" s="57">
        <f t="shared" si="8"/>
        <v>0</v>
      </c>
      <c r="K364" s="57"/>
      <c r="L364" s="57">
        <f t="shared" si="7"/>
        <v>0</v>
      </c>
      <c r="M364" s="57">
        <f t="shared" si="7"/>
        <v>0</v>
      </c>
    </row>
    <row r="365" spans="1:13" x14ac:dyDescent="0.25">
      <c r="A365" s="34">
        <v>0</v>
      </c>
      <c r="B365" s="57">
        <f t="shared" si="9"/>
        <v>617</v>
      </c>
      <c r="C365" s="57">
        <f t="shared" si="9"/>
        <v>500</v>
      </c>
      <c r="D365" s="57">
        <f t="shared" si="9"/>
        <v>117</v>
      </c>
      <c r="E365" s="57">
        <f t="shared" si="9"/>
        <v>0</v>
      </c>
      <c r="F365" s="57">
        <f t="shared" si="9"/>
        <v>0</v>
      </c>
      <c r="G365" s="57">
        <f t="shared" si="9"/>
        <v>0</v>
      </c>
      <c r="H365" s="57">
        <f t="shared" si="9"/>
        <v>0</v>
      </c>
      <c r="I365" s="57">
        <f t="shared" si="8"/>
        <v>0</v>
      </c>
      <c r="J365" s="57">
        <f t="shared" si="8"/>
        <v>0</v>
      </c>
      <c r="K365" s="57"/>
      <c r="L365" s="57">
        <f t="shared" si="7"/>
        <v>0</v>
      </c>
      <c r="M365" s="57">
        <f t="shared" si="7"/>
        <v>0</v>
      </c>
    </row>
    <row r="366" spans="1:13" x14ac:dyDescent="0.25">
      <c r="A366" s="34">
        <v>0</v>
      </c>
      <c r="B366" s="57">
        <f t="shared" si="9"/>
        <v>617</v>
      </c>
      <c r="C366" s="57">
        <f t="shared" si="9"/>
        <v>500</v>
      </c>
      <c r="D366" s="57">
        <f t="shared" si="9"/>
        <v>117</v>
      </c>
      <c r="E366" s="57">
        <f t="shared" si="9"/>
        <v>0</v>
      </c>
      <c r="F366" s="57">
        <f t="shared" si="9"/>
        <v>0</v>
      </c>
      <c r="G366" s="57">
        <f t="shared" si="9"/>
        <v>0</v>
      </c>
      <c r="H366" s="57">
        <f t="shared" si="9"/>
        <v>0</v>
      </c>
      <c r="I366" s="57">
        <f t="shared" si="8"/>
        <v>0</v>
      </c>
      <c r="J366" s="57">
        <f t="shared" si="8"/>
        <v>0</v>
      </c>
      <c r="K366" s="57"/>
      <c r="L366" s="57">
        <f t="shared" si="7"/>
        <v>0</v>
      </c>
      <c r="M366" s="57">
        <f t="shared" si="7"/>
        <v>0</v>
      </c>
    </row>
    <row r="367" spans="1:13" x14ac:dyDescent="0.25">
      <c r="A367" s="34">
        <v>0</v>
      </c>
      <c r="B367" s="57">
        <f t="shared" si="9"/>
        <v>617</v>
      </c>
      <c r="C367" s="57">
        <f t="shared" si="9"/>
        <v>500</v>
      </c>
      <c r="D367" s="57">
        <f t="shared" si="9"/>
        <v>117</v>
      </c>
      <c r="E367" s="57">
        <f t="shared" si="9"/>
        <v>0</v>
      </c>
      <c r="F367" s="57">
        <f t="shared" si="9"/>
        <v>0</v>
      </c>
      <c r="G367" s="57">
        <f t="shared" si="9"/>
        <v>0</v>
      </c>
      <c r="H367" s="57">
        <f t="shared" si="9"/>
        <v>0</v>
      </c>
      <c r="I367" s="57">
        <f t="shared" si="8"/>
        <v>0</v>
      </c>
      <c r="J367" s="57">
        <f t="shared" si="8"/>
        <v>0</v>
      </c>
      <c r="K367" s="57"/>
      <c r="L367" s="57">
        <f t="shared" si="7"/>
        <v>0</v>
      </c>
      <c r="M367" s="57">
        <f t="shared" si="7"/>
        <v>0</v>
      </c>
    </row>
    <row r="368" spans="1:13" x14ac:dyDescent="0.25">
      <c r="A368" s="34">
        <v>0</v>
      </c>
      <c r="B368" s="57">
        <f t="shared" si="9"/>
        <v>617</v>
      </c>
      <c r="C368" s="57">
        <f t="shared" si="9"/>
        <v>500</v>
      </c>
      <c r="D368" s="57">
        <f t="shared" si="9"/>
        <v>117</v>
      </c>
      <c r="E368" s="57">
        <f t="shared" si="9"/>
        <v>0</v>
      </c>
      <c r="F368" s="57">
        <f t="shared" si="9"/>
        <v>0</v>
      </c>
      <c r="G368" s="57">
        <f t="shared" si="9"/>
        <v>0</v>
      </c>
      <c r="H368" s="57">
        <f t="shared" si="9"/>
        <v>0</v>
      </c>
      <c r="I368" s="57">
        <f t="shared" si="8"/>
        <v>0</v>
      </c>
      <c r="J368" s="57">
        <f t="shared" si="8"/>
        <v>0</v>
      </c>
      <c r="K368" s="57"/>
      <c r="L368" s="57">
        <f t="shared" si="7"/>
        <v>0</v>
      </c>
      <c r="M368" s="57">
        <f t="shared" si="7"/>
        <v>0</v>
      </c>
    </row>
    <row r="369" spans="1:13" x14ac:dyDescent="0.25">
      <c r="A369" s="34">
        <v>0</v>
      </c>
      <c r="B369" s="57">
        <f t="shared" si="9"/>
        <v>617</v>
      </c>
      <c r="C369" s="57">
        <f t="shared" si="9"/>
        <v>500</v>
      </c>
      <c r="D369" s="57">
        <f t="shared" si="9"/>
        <v>117</v>
      </c>
      <c r="E369" s="57">
        <f t="shared" si="9"/>
        <v>0</v>
      </c>
      <c r="F369" s="57">
        <f t="shared" si="9"/>
        <v>0</v>
      </c>
      <c r="G369" s="57">
        <f t="shared" si="9"/>
        <v>0</v>
      </c>
      <c r="H369" s="57">
        <f t="shared" si="9"/>
        <v>0</v>
      </c>
      <c r="I369" s="57">
        <f t="shared" si="8"/>
        <v>0</v>
      </c>
      <c r="J369" s="57">
        <f t="shared" si="8"/>
        <v>0</v>
      </c>
      <c r="K369" s="57"/>
      <c r="L369" s="57">
        <f t="shared" si="7"/>
        <v>0</v>
      </c>
      <c r="M369" s="57">
        <f t="shared" si="7"/>
        <v>0</v>
      </c>
    </row>
    <row r="370" spans="1:13" x14ac:dyDescent="0.25">
      <c r="A370" s="34">
        <v>0</v>
      </c>
      <c r="B370" s="57">
        <f t="shared" si="9"/>
        <v>617</v>
      </c>
      <c r="C370" s="57">
        <f t="shared" si="9"/>
        <v>500</v>
      </c>
      <c r="D370" s="57">
        <f t="shared" si="9"/>
        <v>117</v>
      </c>
      <c r="E370" s="57">
        <f t="shared" si="9"/>
        <v>0</v>
      </c>
      <c r="F370" s="57">
        <f t="shared" si="9"/>
        <v>0</v>
      </c>
      <c r="G370" s="57">
        <f t="shared" si="9"/>
        <v>0</v>
      </c>
      <c r="H370" s="57">
        <f t="shared" si="9"/>
        <v>0</v>
      </c>
      <c r="I370" s="57">
        <f t="shared" si="8"/>
        <v>0</v>
      </c>
      <c r="J370" s="57">
        <f t="shared" si="8"/>
        <v>0</v>
      </c>
      <c r="K370" s="57"/>
      <c r="L370" s="57">
        <f t="shared" si="7"/>
        <v>0</v>
      </c>
      <c r="M370" s="57">
        <f t="shared" si="7"/>
        <v>0</v>
      </c>
    </row>
    <row r="371" spans="1:13" x14ac:dyDescent="0.25">
      <c r="A371" s="34">
        <v>0</v>
      </c>
      <c r="B371" s="57">
        <f t="shared" si="9"/>
        <v>617</v>
      </c>
      <c r="C371" s="57">
        <f t="shared" si="9"/>
        <v>500</v>
      </c>
      <c r="D371" s="57">
        <f t="shared" si="9"/>
        <v>117</v>
      </c>
      <c r="E371" s="57">
        <f t="shared" si="9"/>
        <v>0</v>
      </c>
      <c r="F371" s="57">
        <f t="shared" si="9"/>
        <v>0</v>
      </c>
      <c r="G371" s="57">
        <f t="shared" si="9"/>
        <v>0</v>
      </c>
      <c r="H371" s="57">
        <f t="shared" si="9"/>
        <v>0</v>
      </c>
      <c r="I371" s="57">
        <f t="shared" si="8"/>
        <v>0</v>
      </c>
      <c r="J371" s="57">
        <f t="shared" si="8"/>
        <v>0</v>
      </c>
      <c r="K371" s="57"/>
      <c r="L371" s="57">
        <f t="shared" si="7"/>
        <v>0</v>
      </c>
      <c r="M371" s="57">
        <f t="shared" si="7"/>
        <v>0</v>
      </c>
    </row>
    <row r="372" spans="1:13" x14ac:dyDescent="0.25">
      <c r="A372" s="34">
        <v>0</v>
      </c>
      <c r="B372" s="57">
        <f t="shared" si="9"/>
        <v>617</v>
      </c>
      <c r="C372" s="57">
        <f t="shared" si="9"/>
        <v>500</v>
      </c>
      <c r="D372" s="57">
        <f t="shared" si="9"/>
        <v>117</v>
      </c>
      <c r="E372" s="57">
        <f t="shared" si="9"/>
        <v>0</v>
      </c>
      <c r="F372" s="57">
        <f t="shared" si="9"/>
        <v>0</v>
      </c>
      <c r="G372" s="57">
        <f t="shared" si="9"/>
        <v>0</v>
      </c>
      <c r="H372" s="57">
        <f t="shared" si="9"/>
        <v>0</v>
      </c>
      <c r="I372" s="57">
        <f t="shared" si="8"/>
        <v>0</v>
      </c>
      <c r="J372" s="57">
        <f t="shared" si="8"/>
        <v>0</v>
      </c>
      <c r="K372" s="57"/>
      <c r="L372" s="57">
        <f t="shared" si="7"/>
        <v>0</v>
      </c>
      <c r="M372" s="57">
        <f t="shared" si="7"/>
        <v>0</v>
      </c>
    </row>
    <row r="373" spans="1:13" x14ac:dyDescent="0.25">
      <c r="A373" s="34">
        <v>0</v>
      </c>
      <c r="B373" s="57">
        <f t="shared" si="9"/>
        <v>617</v>
      </c>
      <c r="C373" s="57">
        <f t="shared" si="9"/>
        <v>500</v>
      </c>
      <c r="D373" s="57">
        <f t="shared" si="9"/>
        <v>117</v>
      </c>
      <c r="E373" s="57">
        <f t="shared" si="9"/>
        <v>0</v>
      </c>
      <c r="F373" s="57">
        <f t="shared" si="9"/>
        <v>0</v>
      </c>
      <c r="G373" s="57">
        <f t="shared" si="9"/>
        <v>0</v>
      </c>
      <c r="H373" s="57">
        <f t="shared" si="9"/>
        <v>0</v>
      </c>
      <c r="I373" s="57">
        <f t="shared" si="8"/>
        <v>0</v>
      </c>
      <c r="J373" s="57">
        <f t="shared" si="8"/>
        <v>0</v>
      </c>
      <c r="K373" s="57"/>
      <c r="L373" s="57">
        <f t="shared" si="7"/>
        <v>0</v>
      </c>
      <c r="M373" s="57">
        <f t="shared" si="7"/>
        <v>0</v>
      </c>
    </row>
    <row r="374" spans="1:13" x14ac:dyDescent="0.25">
      <c r="A374" s="34">
        <v>0</v>
      </c>
      <c r="B374" s="57">
        <f t="shared" si="9"/>
        <v>617</v>
      </c>
      <c r="C374" s="57">
        <f t="shared" si="9"/>
        <v>500</v>
      </c>
      <c r="D374" s="57">
        <f t="shared" si="9"/>
        <v>117</v>
      </c>
      <c r="E374" s="57">
        <f t="shared" si="9"/>
        <v>0</v>
      </c>
      <c r="F374" s="57">
        <f t="shared" si="9"/>
        <v>0</v>
      </c>
      <c r="G374" s="57">
        <f t="shared" si="9"/>
        <v>0</v>
      </c>
      <c r="H374" s="57">
        <f t="shared" si="9"/>
        <v>0</v>
      </c>
      <c r="I374" s="57">
        <f t="shared" si="8"/>
        <v>0</v>
      </c>
      <c r="J374" s="57">
        <f t="shared" si="8"/>
        <v>0</v>
      </c>
      <c r="K374" s="57"/>
      <c r="L374" s="57">
        <f t="shared" si="7"/>
        <v>0</v>
      </c>
      <c r="M374" s="57">
        <f t="shared" si="7"/>
        <v>0</v>
      </c>
    </row>
    <row r="375" spans="1:13" x14ac:dyDescent="0.25">
      <c r="A375" s="34">
        <v>0</v>
      </c>
      <c r="B375" s="57">
        <f t="shared" si="9"/>
        <v>617</v>
      </c>
      <c r="C375" s="57">
        <f t="shared" si="9"/>
        <v>500</v>
      </c>
      <c r="D375" s="57">
        <f t="shared" si="9"/>
        <v>117</v>
      </c>
      <c r="E375" s="57">
        <f t="shared" si="9"/>
        <v>0</v>
      </c>
      <c r="F375" s="57">
        <f t="shared" si="9"/>
        <v>0</v>
      </c>
      <c r="G375" s="57">
        <f t="shared" si="9"/>
        <v>0</v>
      </c>
      <c r="H375" s="57">
        <f t="shared" si="9"/>
        <v>0</v>
      </c>
      <c r="I375" s="57">
        <f t="shared" si="8"/>
        <v>0</v>
      </c>
      <c r="J375" s="57">
        <f t="shared" si="8"/>
        <v>0</v>
      </c>
      <c r="K375" s="57"/>
      <c r="L375" s="57">
        <f t="shared" si="7"/>
        <v>0</v>
      </c>
      <c r="M375" s="57">
        <f t="shared" si="7"/>
        <v>0</v>
      </c>
    </row>
    <row r="376" spans="1:13" x14ac:dyDescent="0.25">
      <c r="A376" s="34">
        <v>0</v>
      </c>
      <c r="B376" s="57">
        <f t="shared" si="9"/>
        <v>617</v>
      </c>
      <c r="C376" s="57">
        <f t="shared" si="9"/>
        <v>500</v>
      </c>
      <c r="D376" s="57">
        <f t="shared" si="9"/>
        <v>117</v>
      </c>
      <c r="E376" s="57">
        <f t="shared" si="9"/>
        <v>0</v>
      </c>
      <c r="F376" s="57">
        <f t="shared" si="9"/>
        <v>0</v>
      </c>
      <c r="G376" s="57">
        <f t="shared" si="9"/>
        <v>0</v>
      </c>
      <c r="H376" s="57">
        <f t="shared" si="9"/>
        <v>0</v>
      </c>
      <c r="I376" s="57">
        <f t="shared" si="8"/>
        <v>0</v>
      </c>
      <c r="J376" s="57">
        <f t="shared" si="8"/>
        <v>0</v>
      </c>
      <c r="K376" s="57"/>
      <c r="L376" s="57">
        <f t="shared" si="7"/>
        <v>0</v>
      </c>
      <c r="M376" s="57">
        <f t="shared" si="7"/>
        <v>0</v>
      </c>
    </row>
    <row r="377" spans="1:13" x14ac:dyDescent="0.25">
      <c r="A377" s="34">
        <v>0</v>
      </c>
      <c r="B377" s="57">
        <f t="shared" si="9"/>
        <v>617</v>
      </c>
      <c r="C377" s="57">
        <f t="shared" si="9"/>
        <v>500</v>
      </c>
      <c r="D377" s="57">
        <f t="shared" si="9"/>
        <v>117</v>
      </c>
      <c r="E377" s="57">
        <f t="shared" si="9"/>
        <v>0</v>
      </c>
      <c r="F377" s="57">
        <f t="shared" si="9"/>
        <v>0</v>
      </c>
      <c r="G377" s="57">
        <f t="shared" si="9"/>
        <v>0</v>
      </c>
      <c r="H377" s="57">
        <f t="shared" si="9"/>
        <v>0</v>
      </c>
      <c r="I377" s="57">
        <f t="shared" si="8"/>
        <v>0</v>
      </c>
      <c r="J377" s="57">
        <f t="shared" si="8"/>
        <v>0</v>
      </c>
      <c r="K377" s="57"/>
      <c r="L377" s="57">
        <f t="shared" si="7"/>
        <v>0</v>
      </c>
      <c r="M377" s="57">
        <f t="shared" si="7"/>
        <v>0</v>
      </c>
    </row>
    <row r="378" spans="1:13" x14ac:dyDescent="0.25">
      <c r="A378" s="34">
        <v>0</v>
      </c>
      <c r="B378" s="57">
        <f t="shared" si="9"/>
        <v>617</v>
      </c>
      <c r="C378" s="57">
        <f t="shared" si="9"/>
        <v>500</v>
      </c>
      <c r="D378" s="57">
        <f t="shared" si="9"/>
        <v>117</v>
      </c>
      <c r="E378" s="57">
        <f t="shared" si="9"/>
        <v>0</v>
      </c>
      <c r="F378" s="57">
        <f t="shared" si="9"/>
        <v>0</v>
      </c>
      <c r="G378" s="57">
        <f t="shared" si="9"/>
        <v>0</v>
      </c>
      <c r="H378" s="57">
        <f t="shared" si="9"/>
        <v>0</v>
      </c>
      <c r="I378" s="57">
        <f t="shared" si="8"/>
        <v>0</v>
      </c>
      <c r="J378" s="57">
        <f t="shared" si="8"/>
        <v>0</v>
      </c>
      <c r="K378" s="57"/>
      <c r="L378" s="57">
        <f t="shared" si="7"/>
        <v>0</v>
      </c>
      <c r="M378" s="57">
        <f t="shared" si="7"/>
        <v>0</v>
      </c>
    </row>
    <row r="379" spans="1:13" x14ac:dyDescent="0.25">
      <c r="A379" s="34">
        <v>0</v>
      </c>
      <c r="B379" s="57">
        <f t="shared" si="9"/>
        <v>617</v>
      </c>
      <c r="C379" s="57">
        <f t="shared" si="9"/>
        <v>500</v>
      </c>
      <c r="D379" s="57">
        <f t="shared" si="9"/>
        <v>117</v>
      </c>
      <c r="E379" s="57">
        <f t="shared" si="9"/>
        <v>0</v>
      </c>
      <c r="F379" s="57">
        <f t="shared" si="9"/>
        <v>0</v>
      </c>
      <c r="G379" s="57">
        <f t="shared" si="9"/>
        <v>0</v>
      </c>
      <c r="H379" s="57">
        <f t="shared" si="9"/>
        <v>0</v>
      </c>
      <c r="I379" s="57">
        <f t="shared" si="8"/>
        <v>0</v>
      </c>
      <c r="J379" s="57">
        <f t="shared" si="8"/>
        <v>0</v>
      </c>
      <c r="K379" s="57"/>
      <c r="L379" s="57">
        <f t="shared" si="7"/>
        <v>0</v>
      </c>
      <c r="M379" s="57">
        <f t="shared" si="7"/>
        <v>0</v>
      </c>
    </row>
    <row r="380" spans="1:13" x14ac:dyDescent="0.25">
      <c r="A380" s="34">
        <v>0</v>
      </c>
      <c r="B380" s="57">
        <f t="shared" si="9"/>
        <v>617</v>
      </c>
      <c r="C380" s="57">
        <f t="shared" si="9"/>
        <v>500</v>
      </c>
      <c r="D380" s="57">
        <f t="shared" si="9"/>
        <v>117</v>
      </c>
      <c r="E380" s="57">
        <f t="shared" si="9"/>
        <v>0</v>
      </c>
      <c r="F380" s="57">
        <f t="shared" si="9"/>
        <v>0</v>
      </c>
      <c r="G380" s="57">
        <f t="shared" si="9"/>
        <v>0</v>
      </c>
      <c r="H380" s="57">
        <f t="shared" si="9"/>
        <v>0</v>
      </c>
      <c r="I380" s="57">
        <f t="shared" si="8"/>
        <v>0</v>
      </c>
      <c r="J380" s="57">
        <f t="shared" si="8"/>
        <v>0</v>
      </c>
      <c r="K380" s="57"/>
      <c r="L380" s="57">
        <f t="shared" si="7"/>
        <v>0</v>
      </c>
      <c r="M380" s="57">
        <f t="shared" si="7"/>
        <v>0</v>
      </c>
    </row>
    <row r="381" spans="1:13" x14ac:dyDescent="0.25">
      <c r="A381" s="34">
        <v>0</v>
      </c>
      <c r="B381" s="57">
        <f t="shared" si="9"/>
        <v>617</v>
      </c>
      <c r="C381" s="57">
        <f t="shared" si="9"/>
        <v>500</v>
      </c>
      <c r="D381" s="57">
        <f t="shared" si="9"/>
        <v>117</v>
      </c>
      <c r="E381" s="57">
        <f t="shared" si="9"/>
        <v>0</v>
      </c>
      <c r="F381" s="57">
        <f t="shared" si="9"/>
        <v>0</v>
      </c>
      <c r="G381" s="57">
        <f t="shared" si="9"/>
        <v>0</v>
      </c>
      <c r="H381" s="57">
        <f t="shared" si="9"/>
        <v>0</v>
      </c>
      <c r="I381" s="57">
        <f t="shared" si="8"/>
        <v>0</v>
      </c>
      <c r="J381" s="57">
        <f t="shared" si="8"/>
        <v>0</v>
      </c>
      <c r="K381" s="57"/>
      <c r="L381" s="57">
        <f t="shared" si="7"/>
        <v>0</v>
      </c>
      <c r="M381" s="57">
        <f t="shared" si="7"/>
        <v>0</v>
      </c>
    </row>
    <row r="382" spans="1:13" x14ac:dyDescent="0.25">
      <c r="A382" s="34">
        <v>0</v>
      </c>
      <c r="B382" s="57">
        <f t="shared" si="9"/>
        <v>617</v>
      </c>
      <c r="C382" s="57">
        <f t="shared" si="9"/>
        <v>500</v>
      </c>
      <c r="D382" s="57">
        <f t="shared" si="9"/>
        <v>117</v>
      </c>
      <c r="E382" s="57">
        <f t="shared" si="9"/>
        <v>0</v>
      </c>
      <c r="F382" s="57">
        <f t="shared" si="9"/>
        <v>0</v>
      </c>
      <c r="G382" s="57">
        <f t="shared" si="9"/>
        <v>0</v>
      </c>
      <c r="H382" s="57">
        <f t="shared" si="9"/>
        <v>0</v>
      </c>
      <c r="I382" s="57">
        <f t="shared" si="8"/>
        <v>0</v>
      </c>
      <c r="J382" s="57">
        <f t="shared" si="8"/>
        <v>0</v>
      </c>
      <c r="K382" s="57"/>
      <c r="L382" s="57">
        <f t="shared" si="7"/>
        <v>0</v>
      </c>
      <c r="M382" s="57">
        <f t="shared" si="7"/>
        <v>0</v>
      </c>
    </row>
    <row r="383" spans="1:13" x14ac:dyDescent="0.25">
      <c r="A383" s="34">
        <v>0</v>
      </c>
      <c r="B383" s="57">
        <f t="shared" si="9"/>
        <v>617</v>
      </c>
      <c r="C383" s="57">
        <f t="shared" si="9"/>
        <v>500</v>
      </c>
      <c r="D383" s="57">
        <f t="shared" si="9"/>
        <v>117</v>
      </c>
      <c r="E383" s="57">
        <f t="shared" si="9"/>
        <v>0</v>
      </c>
      <c r="F383" s="57">
        <f t="shared" si="9"/>
        <v>0</v>
      </c>
      <c r="G383" s="57">
        <f t="shared" si="9"/>
        <v>0</v>
      </c>
      <c r="H383" s="57">
        <f t="shared" si="9"/>
        <v>0</v>
      </c>
      <c r="I383" s="57">
        <f t="shared" si="8"/>
        <v>0</v>
      </c>
      <c r="J383" s="57">
        <f t="shared" si="8"/>
        <v>0</v>
      </c>
      <c r="K383" s="57"/>
      <c r="L383" s="57">
        <f t="shared" si="7"/>
        <v>0</v>
      </c>
      <c r="M383" s="57">
        <f t="shared" si="7"/>
        <v>0</v>
      </c>
    </row>
    <row r="384" spans="1:13" x14ac:dyDescent="0.25">
      <c r="A384" s="34">
        <v>0</v>
      </c>
      <c r="B384" s="57">
        <f t="shared" si="9"/>
        <v>617</v>
      </c>
      <c r="C384" s="57">
        <f t="shared" si="9"/>
        <v>500</v>
      </c>
      <c r="D384" s="57">
        <f t="shared" si="9"/>
        <v>117</v>
      </c>
      <c r="E384" s="57">
        <f t="shared" si="9"/>
        <v>0</v>
      </c>
      <c r="F384" s="57">
        <f t="shared" si="9"/>
        <v>0</v>
      </c>
      <c r="G384" s="57">
        <f t="shared" si="9"/>
        <v>0</v>
      </c>
      <c r="H384" s="57">
        <f t="shared" si="9"/>
        <v>0</v>
      </c>
      <c r="I384" s="57">
        <f t="shared" si="8"/>
        <v>0</v>
      </c>
      <c r="J384" s="57">
        <f t="shared" si="8"/>
        <v>0</v>
      </c>
      <c r="K384" s="57"/>
      <c r="L384" s="57">
        <f t="shared" si="7"/>
        <v>0</v>
      </c>
      <c r="M384" s="57">
        <f t="shared" si="7"/>
        <v>0</v>
      </c>
    </row>
    <row r="385" spans="1:13" x14ac:dyDescent="0.25">
      <c r="A385" s="34">
        <v>0</v>
      </c>
      <c r="B385" s="57">
        <f t="shared" si="9"/>
        <v>617</v>
      </c>
      <c r="C385" s="57">
        <f t="shared" si="9"/>
        <v>500</v>
      </c>
      <c r="D385" s="57">
        <f t="shared" si="9"/>
        <v>117</v>
      </c>
      <c r="E385" s="57">
        <f t="shared" si="9"/>
        <v>0</v>
      </c>
      <c r="F385" s="57">
        <f t="shared" si="9"/>
        <v>0</v>
      </c>
      <c r="G385" s="57">
        <f t="shared" si="9"/>
        <v>0</v>
      </c>
      <c r="H385" s="57">
        <f t="shared" si="9"/>
        <v>0</v>
      </c>
      <c r="I385" s="57">
        <f t="shared" si="8"/>
        <v>0</v>
      </c>
      <c r="J385" s="57">
        <f t="shared" si="8"/>
        <v>0</v>
      </c>
      <c r="K385" s="57"/>
      <c r="L385" s="57">
        <f t="shared" si="7"/>
        <v>0</v>
      </c>
      <c r="M385" s="57">
        <f t="shared" si="7"/>
        <v>0</v>
      </c>
    </row>
    <row r="386" spans="1:13" x14ac:dyDescent="0.25">
      <c r="A386" s="34">
        <v>0</v>
      </c>
      <c r="B386" s="57">
        <f t="shared" si="9"/>
        <v>617</v>
      </c>
      <c r="C386" s="57">
        <f t="shared" si="9"/>
        <v>500</v>
      </c>
      <c r="D386" s="57">
        <f t="shared" si="9"/>
        <v>117</v>
      </c>
      <c r="E386" s="57">
        <f t="shared" si="9"/>
        <v>0</v>
      </c>
      <c r="F386" s="57">
        <f t="shared" si="9"/>
        <v>0</v>
      </c>
      <c r="G386" s="57">
        <f t="shared" si="9"/>
        <v>0</v>
      </c>
      <c r="H386" s="57">
        <f t="shared" si="9"/>
        <v>0</v>
      </c>
      <c r="I386" s="57">
        <f t="shared" si="8"/>
        <v>0</v>
      </c>
      <c r="J386" s="57">
        <f t="shared" si="8"/>
        <v>0</v>
      </c>
      <c r="K386" s="57"/>
      <c r="L386" s="57">
        <f t="shared" si="7"/>
        <v>0</v>
      </c>
      <c r="M386" s="57">
        <f t="shared" si="7"/>
        <v>0</v>
      </c>
    </row>
    <row r="387" spans="1:13" x14ac:dyDescent="0.25">
      <c r="A387" s="34">
        <v>0</v>
      </c>
      <c r="B387" s="57">
        <f t="shared" si="9"/>
        <v>617</v>
      </c>
      <c r="C387" s="57">
        <f t="shared" si="9"/>
        <v>500</v>
      </c>
      <c r="D387" s="57">
        <f t="shared" si="9"/>
        <v>117</v>
      </c>
      <c r="E387" s="57">
        <f t="shared" si="9"/>
        <v>0</v>
      </c>
      <c r="F387" s="57">
        <f t="shared" si="9"/>
        <v>0</v>
      </c>
      <c r="G387" s="57">
        <f t="shared" si="9"/>
        <v>0</v>
      </c>
      <c r="H387" s="57">
        <f t="shared" si="9"/>
        <v>0</v>
      </c>
      <c r="I387" s="57">
        <f t="shared" si="8"/>
        <v>0</v>
      </c>
      <c r="J387" s="57">
        <f t="shared" si="8"/>
        <v>0</v>
      </c>
      <c r="K387" s="57"/>
      <c r="L387" s="57">
        <f t="shared" si="7"/>
        <v>0</v>
      </c>
      <c r="M387" s="57">
        <f t="shared" si="7"/>
        <v>0</v>
      </c>
    </row>
    <row r="388" spans="1:13" x14ac:dyDescent="0.25">
      <c r="A388" s="34">
        <v>0</v>
      </c>
      <c r="B388" s="57">
        <f t="shared" si="9"/>
        <v>617</v>
      </c>
      <c r="C388" s="57">
        <f t="shared" si="9"/>
        <v>500</v>
      </c>
      <c r="D388" s="57">
        <f t="shared" si="9"/>
        <v>117</v>
      </c>
      <c r="E388" s="57">
        <f t="shared" si="9"/>
        <v>0</v>
      </c>
      <c r="F388" s="57">
        <f t="shared" si="9"/>
        <v>0</v>
      </c>
      <c r="G388" s="57">
        <f t="shared" si="9"/>
        <v>0</v>
      </c>
      <c r="H388" s="57">
        <f t="shared" si="9"/>
        <v>0</v>
      </c>
      <c r="I388" s="57">
        <f t="shared" si="8"/>
        <v>0</v>
      </c>
      <c r="J388" s="57">
        <f t="shared" si="8"/>
        <v>0</v>
      </c>
      <c r="K388" s="57"/>
      <c r="L388" s="57">
        <f t="shared" si="7"/>
        <v>0</v>
      </c>
      <c r="M388" s="57">
        <f t="shared" si="7"/>
        <v>0</v>
      </c>
    </row>
    <row r="492" spans="1:1" x14ac:dyDescent="0.25">
      <c r="A492" s="34" t="s">
        <v>36</v>
      </c>
    </row>
    <row r="493" spans="1:1" x14ac:dyDescent="0.25">
      <c r="A493" s="34" t="s">
        <v>37</v>
      </c>
    </row>
    <row r="494" spans="1:1" x14ac:dyDescent="0.25">
      <c r="A494" s="34" t="s">
        <v>38</v>
      </c>
    </row>
    <row r="495" spans="1:1" x14ac:dyDescent="0.25">
      <c r="A495" s="34" t="s">
        <v>39</v>
      </c>
    </row>
    <row r="496" spans="1:1" x14ac:dyDescent="0.25">
      <c r="A496" s="34" t="s">
        <v>40</v>
      </c>
    </row>
    <row r="497" spans="1:1" x14ac:dyDescent="0.25">
      <c r="A497" s="34" t="s">
        <v>41</v>
      </c>
    </row>
    <row r="498" spans="1:1" x14ac:dyDescent="0.25">
      <c r="A498" s="34" t="s">
        <v>42</v>
      </c>
    </row>
    <row r="499" spans="1:1" x14ac:dyDescent="0.25">
      <c r="A499" s="34" t="s">
        <v>43</v>
      </c>
    </row>
    <row r="500" spans="1:1" x14ac:dyDescent="0.25">
      <c r="A500" s="34" t="s">
        <v>44</v>
      </c>
    </row>
    <row r="501" spans="1:1" x14ac:dyDescent="0.25">
      <c r="A501" s="34" t="s">
        <v>45</v>
      </c>
    </row>
    <row r="953" spans="9:9" x14ac:dyDescent="0.25">
      <c r="I953" s="34" t="s">
        <v>46</v>
      </c>
    </row>
    <row r="954" spans="9:9" x14ac:dyDescent="0.25">
      <c r="I954" s="34" t="s">
        <v>47</v>
      </c>
    </row>
    <row r="955" spans="9:9" x14ac:dyDescent="0.25">
      <c r="I955" s="34" t="s">
        <v>48</v>
      </c>
    </row>
    <row r="956" spans="9:9" x14ac:dyDescent="0.25">
      <c r="I956" s="34" t="s">
        <v>49</v>
      </c>
    </row>
    <row r="957" spans="9:9" x14ac:dyDescent="0.25">
      <c r="I957" s="34" t="s">
        <v>50</v>
      </c>
    </row>
    <row r="958" spans="9:9" x14ac:dyDescent="0.25">
      <c r="I958" s="34" t="s">
        <v>51</v>
      </c>
    </row>
    <row r="959" spans="9:9" x14ac:dyDescent="0.25">
      <c r="I959" s="34" t="s">
        <v>52</v>
      </c>
    </row>
    <row r="960" spans="9:9" x14ac:dyDescent="0.25">
      <c r="I960" s="34" t="s">
        <v>53</v>
      </c>
    </row>
    <row r="961" spans="9:9" x14ac:dyDescent="0.25">
      <c r="I961" s="34" t="s">
        <v>54</v>
      </c>
    </row>
    <row r="962" spans="9:9" x14ac:dyDescent="0.25">
      <c r="I962" s="34" t="s">
        <v>55</v>
      </c>
    </row>
    <row r="963" spans="9:9" x14ac:dyDescent="0.25">
      <c r="I963" s="34" t="s">
        <v>56</v>
      </c>
    </row>
    <row r="964" spans="9:9" x14ac:dyDescent="0.25">
      <c r="I964" s="34" t="s">
        <v>57</v>
      </c>
    </row>
    <row r="965" spans="9:9" x14ac:dyDescent="0.25">
      <c r="I965" s="34" t="s">
        <v>58</v>
      </c>
    </row>
    <row r="966" spans="9:9" x14ac:dyDescent="0.25">
      <c r="I966" s="34" t="s">
        <v>59</v>
      </c>
    </row>
    <row r="967" spans="9:9" x14ac:dyDescent="0.25">
      <c r="I967" s="34" t="s">
        <v>60</v>
      </c>
    </row>
    <row r="968" spans="9:9" x14ac:dyDescent="0.25">
      <c r="I968" s="34" t="s">
        <v>61</v>
      </c>
    </row>
    <row r="969" spans="9:9" x14ac:dyDescent="0.25">
      <c r="I969" s="34" t="s">
        <v>62</v>
      </c>
    </row>
    <row r="970" spans="9:9" x14ac:dyDescent="0.25">
      <c r="I970" s="34" t="s">
        <v>63</v>
      </c>
    </row>
    <row r="971" spans="9:9" x14ac:dyDescent="0.25">
      <c r="I971" s="34" t="s">
        <v>64</v>
      </c>
    </row>
    <row r="972" spans="9:9" x14ac:dyDescent="0.25">
      <c r="I972" s="34" t="s">
        <v>65</v>
      </c>
    </row>
    <row r="973" spans="9:9" x14ac:dyDescent="0.25">
      <c r="I973" s="34" t="s">
        <v>66</v>
      </c>
    </row>
    <row r="974" spans="9:9" x14ac:dyDescent="0.25">
      <c r="I974" s="34" t="s">
        <v>67</v>
      </c>
    </row>
    <row r="975" spans="9:9" x14ac:dyDescent="0.25">
      <c r="I975" s="34" t="s">
        <v>68</v>
      </c>
    </row>
    <row r="976" spans="9:9" x14ac:dyDescent="0.25">
      <c r="I976" s="34" t="s">
        <v>69</v>
      </c>
    </row>
    <row r="977" spans="9:9" x14ac:dyDescent="0.25">
      <c r="I977" s="34" t="s">
        <v>70</v>
      </c>
    </row>
    <row r="978" spans="9:9" x14ac:dyDescent="0.25">
      <c r="I978" s="34" t="s">
        <v>71</v>
      </c>
    </row>
  </sheetData>
  <protectedRanges>
    <protectedRange algorithmName="SHA-512" hashValue="cDIo2LrqoPmS/Kh2At9MnaHAHA5kYGg9e11lV7QqGfxHLrFTlNDdnUvlCXNuNhamJ7UlO6mys9ROXNPQjlLckQ==" saltValue="jv8XDoX7NiJhOUXNYQ7+FA==" spinCount="100000" sqref="Q9:AI104" name="Range3"/>
    <protectedRange algorithmName="SHA-512" hashValue="39JY9U8Zrm4UzOd+E8f9Qd3UHT1iovDM1pej7RgFj0JN5ITg1lysY8acMJ9bXfWd5dJFMJbxDwSvqJbqU88A6Q==" saltValue="AuFoNR7BnpO26904NDlOeA==" spinCount="100000" sqref="B6" name="Range1"/>
    <protectedRange algorithmName="SHA-512" hashValue="1jJWfUXWRRT08/cshb+Zq/RAMTya5nSG8yWpGVBg0Dfqhe3vup+3W9p/IBZi/Wrrv1DDhqG9wt/eD6EO1fnNvQ==" saltValue="VWP5arczVApFJ9oxlz3YOA==" spinCount="100000" sqref="V8:AI8" name="Range2"/>
    <protectedRange algorithmName="SHA-512" hashValue="qQYn+m+b4UVdjF94fJY26EWyaL6NXSlMR0hjQ5/xNDkmthaz1VvGWbh/7nGtIdkgRT6aNUF0IIZNQcadTKpO7g==" saltValue="2NnoMCglf5tG+69kK64QMw==" spinCount="100000" sqref="F9:P104" name="Range3_1"/>
    <protectedRange password="CE2A" sqref="E9:E104" name="Range3_3"/>
    <protectedRange algorithmName="SHA-512" hashValue="1jJWfUXWRRT08/cshb+Zq/RAMTya5nSG8yWpGVBg0Dfqhe3vup+3W9p/IBZi/Wrrv1DDhqG9wt/eD6EO1fnNvQ==" saltValue="VWP5arczVApFJ9oxlz3YOA==" spinCount="100000" sqref="R8:S8 U8" name="Range2_1"/>
    <protectedRange algorithmName="SHA-512" hashValue="1jJWfUXWRRT08/cshb+Zq/RAMTya5nSG8yWpGVBg0Dfqhe3vup+3W9p/IBZi/Wrrv1DDhqG9wt/eD6EO1fnNvQ==" saltValue="VWP5arczVApFJ9oxlz3YOA==" spinCount="100000" sqref="O8:Q8 T8" name="Range2_3"/>
    <protectedRange algorithmName="SHA-512" hashValue="1jJWfUXWRRT08/cshb+Zq/RAMTya5nSG8yWpGVBg0Dfqhe3vup+3W9p/IBZi/Wrrv1DDhqG9wt/eD6EO1fnNvQ==" saltValue="VWP5arczVApFJ9oxlz3YOA==" spinCount="100000" sqref="H8:N8" name="Range2_3_2"/>
    <protectedRange algorithmName="SHA-512" hashValue="1jJWfUXWRRT08/cshb+Zq/RAMTya5nSG8yWpGVBg0Dfqhe3vup+3W9p/IBZi/Wrrv1DDhqG9wt/eD6EO1fnNvQ==" saltValue="VWP5arczVApFJ9oxlz3YOA==" spinCount="100000" sqref="E8:F8" name="Range2_3_2_1"/>
    <protectedRange algorithmName="SHA-512" hashValue="1jJWfUXWRRT08/cshb+Zq/RAMTya5nSG8yWpGVBg0Dfqhe3vup+3W9p/IBZi/Wrrv1DDhqG9wt/eD6EO1fnNvQ==" saltValue="VWP5arczVApFJ9oxlz3YOA==" spinCount="100000" sqref="G8" name="Range2_3_2_2"/>
  </protectedRanges>
  <mergeCells count="16">
    <mergeCell ref="A1:O1"/>
    <mergeCell ref="A2:O2"/>
    <mergeCell ref="A3:A4"/>
    <mergeCell ref="B3:D4"/>
    <mergeCell ref="E3:E4"/>
    <mergeCell ref="F3:G4"/>
    <mergeCell ref="H3:L4"/>
    <mergeCell ref="AH3:AH4"/>
    <mergeCell ref="AI3:AI4"/>
    <mergeCell ref="A6:C7"/>
    <mergeCell ref="Q3:AB4"/>
    <mergeCell ref="AC3:AC4"/>
    <mergeCell ref="AD3:AD4"/>
    <mergeCell ref="AE3:AE4"/>
    <mergeCell ref="AF3:AF4"/>
    <mergeCell ref="AG3:AG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CustomerData!$B$1:$B$483</xm:f>
          </x14:formula1>
          <xm:sqref>E8:AI8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theme="9" tint="0.59999389629810485"/>
  </sheetPr>
  <dimension ref="A1:AL494"/>
  <sheetViews>
    <sheetView zoomScaleNormal="100" workbookViewId="0">
      <pane ySplit="8" topLeftCell="A9" activePane="bottomLeft" state="frozen"/>
      <selection activeCell="D27" sqref="D27"/>
      <selection pane="bottomLeft" activeCell="F9" sqref="F9:F104"/>
    </sheetView>
  </sheetViews>
  <sheetFormatPr defaultColWidth="9.140625" defaultRowHeight="12.75" x14ac:dyDescent="0.2"/>
  <cols>
    <col min="1" max="2" width="9.140625" style="5"/>
    <col min="3" max="3" width="11.140625" style="5" customWidth="1"/>
    <col min="4" max="4" width="12.5703125" style="5" bestFit="1" customWidth="1"/>
    <col min="5" max="5" width="12.42578125" style="5" bestFit="1" customWidth="1"/>
    <col min="6" max="6" width="11.28515625" style="5" customWidth="1"/>
    <col min="7" max="7" width="12.140625" style="5" customWidth="1"/>
    <col min="8" max="8" width="11.140625" style="5" bestFit="1" customWidth="1"/>
    <col min="9" max="9" width="9.140625" style="5" customWidth="1"/>
    <col min="10" max="10" width="12.140625" style="5" customWidth="1"/>
    <col min="11" max="11" width="9" style="5" customWidth="1"/>
    <col min="12" max="14" width="14.140625" style="5" customWidth="1"/>
    <col min="15" max="16384" width="9.140625" style="5"/>
  </cols>
  <sheetData>
    <row r="1" spans="1:38" ht="24" thickBot="1" x14ac:dyDescent="0.4">
      <c r="A1" s="133" t="s">
        <v>9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5"/>
      <c r="Q1" s="115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4"/>
    </row>
    <row r="2" spans="1:38" x14ac:dyDescent="0.2">
      <c r="A2" s="136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8"/>
      <c r="Q2" s="11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7"/>
    </row>
    <row r="3" spans="1:38" s="10" customFormat="1" ht="15" customHeight="1" x14ac:dyDescent="0.25">
      <c r="A3" s="139" t="s">
        <v>10</v>
      </c>
      <c r="B3" s="141"/>
      <c r="C3" s="141"/>
      <c r="D3" s="141"/>
      <c r="E3" s="143">
        <f ca="1">TODAY()</f>
        <v>45398</v>
      </c>
      <c r="F3" s="141" t="s">
        <v>11</v>
      </c>
      <c r="G3" s="141"/>
      <c r="H3" s="141" t="s">
        <v>12</v>
      </c>
      <c r="I3" s="141"/>
      <c r="J3" s="141"/>
      <c r="K3" s="141"/>
      <c r="L3" s="8"/>
      <c r="M3" s="8" t="s">
        <v>128</v>
      </c>
      <c r="N3" s="8"/>
      <c r="O3" s="8"/>
      <c r="P3" s="9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9"/>
    </row>
    <row r="4" spans="1:38" s="10" customFormat="1" ht="15.75" thickBot="1" x14ac:dyDescent="0.3">
      <c r="A4" s="140"/>
      <c r="B4" s="142"/>
      <c r="C4" s="142"/>
      <c r="D4" s="142"/>
      <c r="E4" s="144"/>
      <c r="F4" s="142"/>
      <c r="G4" s="142"/>
      <c r="H4" s="142"/>
      <c r="I4" s="142"/>
      <c r="J4" s="142"/>
      <c r="K4" s="142"/>
      <c r="L4" s="11"/>
      <c r="M4" s="11"/>
      <c r="N4" s="11"/>
      <c r="O4" s="11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2"/>
    </row>
    <row r="5" spans="1:38" s="10" customFormat="1" ht="16.5" thickBot="1" x14ac:dyDescent="0.3">
      <c r="A5" s="13" t="s">
        <v>13</v>
      </c>
      <c r="B5" s="14" t="s">
        <v>14</v>
      </c>
      <c r="C5" s="14" t="s">
        <v>15</v>
      </c>
      <c r="D5" s="15">
        <v>1</v>
      </c>
      <c r="E5" s="16" t="s">
        <v>16</v>
      </c>
      <c r="F5" s="15">
        <v>96</v>
      </c>
      <c r="G5" s="58" t="s">
        <v>73</v>
      </c>
      <c r="H5" s="59">
        <v>1200</v>
      </c>
      <c r="I5" s="60" t="s">
        <v>17</v>
      </c>
      <c r="J5" s="61">
        <v>1</v>
      </c>
      <c r="K5" s="17"/>
      <c r="L5" s="17"/>
      <c r="M5" s="17"/>
      <c r="N5" s="17"/>
      <c r="O5" s="18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</row>
    <row r="6" spans="1:38" s="10" customFormat="1" ht="15" x14ac:dyDescent="0.25">
      <c r="A6" s="65"/>
      <c r="B6" s="69"/>
      <c r="C6" s="69"/>
      <c r="D6" s="67"/>
      <c r="E6" s="20" t="s">
        <v>18</v>
      </c>
      <c r="F6" s="49">
        <f>VLOOKUP(F8,CustomerData!$B:$I,4,FALSE)</f>
        <v>1033</v>
      </c>
      <c r="G6" s="49" t="e">
        <f>VLOOKUP(G8,CustomerData!$B:$I,4,FALSE)</f>
        <v>#N/A</v>
      </c>
      <c r="H6" s="49" t="e">
        <f>VLOOKUP(H8,CustomerData!$B:$I,4,FALSE)</f>
        <v>#N/A</v>
      </c>
      <c r="I6" s="49" t="e">
        <f>VLOOKUP(I8,CustomerData!$B:$I,4,FALSE)</f>
        <v>#N/A</v>
      </c>
      <c r="J6" s="49" t="e">
        <f>VLOOKUP(J8,CustomerData!$B:$I,4,FALSE)</f>
        <v>#N/A</v>
      </c>
      <c r="K6" s="49" t="e">
        <f>VLOOKUP(K8,CustomerData!$B:$I,4,FALSE)</f>
        <v>#N/A</v>
      </c>
      <c r="L6" s="49" t="e">
        <f>VLOOKUP(L8,CustomerData!$B:$I,4,FALSE)</f>
        <v>#N/A</v>
      </c>
      <c r="M6" s="49" t="e">
        <f>VLOOKUP(M8,CustomerData!$B:$I,4,FALSE)</f>
        <v>#N/A</v>
      </c>
      <c r="N6" s="49" t="e">
        <f>VLOOKUP(N8,CustomerData!$B:$I,4,FALSE)</f>
        <v>#N/A</v>
      </c>
      <c r="O6" s="49" t="e">
        <f>VLOOKUP(O8,CustomerData!$B:$I,4,FALSE)</f>
        <v>#N/A</v>
      </c>
      <c r="P6" s="49" t="e">
        <f>VLOOKUP(P8,CustomerData!$B:$I,4,FALSE)</f>
        <v>#N/A</v>
      </c>
      <c r="Q6" s="49"/>
      <c r="R6" s="49" t="e">
        <f>VLOOKUP(R8,CustomerData!$B:$I,3,FALSE)</f>
        <v>#N/A</v>
      </c>
      <c r="S6" s="49" t="e">
        <f>VLOOKUP(S8,CustomerData!$B:$I,3,FALSE)</f>
        <v>#N/A</v>
      </c>
      <c r="T6" s="49" t="e">
        <f>VLOOKUP(T8,CustomerData!$B:$I,3,FALSE)</f>
        <v>#N/A</v>
      </c>
      <c r="U6" s="49" t="e">
        <f>VLOOKUP(U8,CustomerData!$B:$I,3,FALSE)</f>
        <v>#N/A</v>
      </c>
      <c r="V6" s="49" t="e">
        <f>VLOOKUP(V8,CustomerData!$B:$I,3,FALSE)</f>
        <v>#N/A</v>
      </c>
      <c r="W6" s="49" t="e">
        <f>VLOOKUP(W8,CustomerData!$B:$I,3,FALSE)</f>
        <v>#N/A</v>
      </c>
      <c r="X6" s="49" t="e">
        <f>VLOOKUP(X8,CustomerData!$B:$I,3,FALSE)</f>
        <v>#N/A</v>
      </c>
      <c r="Y6" s="49" t="e">
        <f>VLOOKUP(Y8,CustomerData!$B:$I,3,FALSE)</f>
        <v>#N/A</v>
      </c>
      <c r="Z6" s="49" t="e">
        <f>VLOOKUP(Z8,CustomerData!$B:$I,3,FALSE)</f>
        <v>#N/A</v>
      </c>
      <c r="AA6" s="49" t="e">
        <f>VLOOKUP(AA8,CustomerData!$B:$I,3,FALSE)</f>
        <v>#N/A</v>
      </c>
      <c r="AB6" s="49" t="e">
        <f>VLOOKUP(AB8,CustomerData!$B:$I,3,FALSE)</f>
        <v>#N/A</v>
      </c>
      <c r="AC6" s="49" t="e">
        <f>VLOOKUP(AC8,CustomerData!$B:$I,3,FALSE)</f>
        <v>#N/A</v>
      </c>
      <c r="AD6" s="49" t="e">
        <f>VLOOKUP(AD8,CustomerData!$B:$I,3,FALSE)</f>
        <v>#N/A</v>
      </c>
      <c r="AE6" s="49" t="e">
        <f>VLOOKUP(AE8,CustomerData!$B:$I,3,FALSE)</f>
        <v>#N/A</v>
      </c>
      <c r="AF6" s="49" t="e">
        <f>VLOOKUP(AF8,CustomerData!$B:$I,3,FALSE)</f>
        <v>#N/A</v>
      </c>
      <c r="AG6" s="49" t="e">
        <f>VLOOKUP(AG8,CustomerData!$B:$I,3,FALSE)</f>
        <v>#N/A</v>
      </c>
      <c r="AH6" s="49" t="e">
        <f>VLOOKUP(AH8,CustomerData!$B:$I,3,FALSE)</f>
        <v>#N/A</v>
      </c>
      <c r="AI6" s="49" t="e">
        <f>VLOOKUP(AI8,CustomerData!$B:$I,3,FALSE)</f>
        <v>#N/A</v>
      </c>
      <c r="AJ6" s="49" t="e">
        <f>VLOOKUP(AJ8,CustomerData!$B:$I,3,FALSE)</f>
        <v>#N/A</v>
      </c>
      <c r="AK6" s="49" t="e">
        <f>VLOOKUP(AK8,CustomerData!$B:$I,3,FALSE)</f>
        <v>#N/A</v>
      </c>
      <c r="AL6" s="49" t="e">
        <f>VLOOKUP(AL8,CustomerData!$B:$I,3,FALSE)</f>
        <v>#N/A</v>
      </c>
    </row>
    <row r="7" spans="1:38" s="10" customFormat="1" ht="18.75" x14ac:dyDescent="0.25">
      <c r="A7" s="66"/>
      <c r="B7" s="70"/>
      <c r="C7" s="70"/>
      <c r="D7" s="68"/>
      <c r="E7" s="21" t="s">
        <v>19</v>
      </c>
      <c r="F7" s="50" t="str">
        <f>VLOOKUP(F8,CustomerData!$B:$I,8,FALSE)</f>
        <v xml:space="preserve">LT        </v>
      </c>
      <c r="G7" s="50" t="e">
        <f>VLOOKUP(G8,CustomerData!$B:$I,8,FALSE)</f>
        <v>#N/A</v>
      </c>
      <c r="H7" s="50" t="e">
        <f>VLOOKUP(H8,CustomerData!$B:$I,8,FALSE)</f>
        <v>#N/A</v>
      </c>
      <c r="I7" s="50" t="e">
        <f>VLOOKUP(I8,CustomerData!$B:$I,8,FALSE)</f>
        <v>#N/A</v>
      </c>
      <c r="J7" s="50" t="e">
        <f>VLOOKUP(J8,CustomerData!$B:$I,8,FALSE)</f>
        <v>#N/A</v>
      </c>
      <c r="K7" s="50" t="e">
        <f>VLOOKUP(K8,CustomerData!$B:$I,8,FALSE)</f>
        <v>#N/A</v>
      </c>
      <c r="L7" s="50" t="e">
        <f>VLOOKUP(L8,CustomerData!$B:$I,8,FALSE)</f>
        <v>#N/A</v>
      </c>
      <c r="M7" s="50" t="e">
        <f>VLOOKUP(M8,CustomerData!$B:$I,8,FALSE)</f>
        <v>#N/A</v>
      </c>
      <c r="N7" s="50" t="e">
        <f>VLOOKUP(N8,CustomerData!$B:$I,8,FALSE)</f>
        <v>#N/A</v>
      </c>
      <c r="O7" s="50" t="e">
        <f>VLOOKUP(O8,CustomerData!$B:$I,8,FALSE)</f>
        <v>#N/A</v>
      </c>
      <c r="P7" s="50" t="e">
        <f>VLOOKUP(P8,CustomerData!$B:$I,8,FALSE)</f>
        <v>#N/A</v>
      </c>
      <c r="Q7" s="50"/>
      <c r="R7" s="50" t="e">
        <f>VLOOKUP(R8,CustomerData!$B:$I,8,FALSE)</f>
        <v>#N/A</v>
      </c>
      <c r="S7" s="50" t="e">
        <f>VLOOKUP(S8,CustomerData!$B:$I,8,FALSE)</f>
        <v>#N/A</v>
      </c>
      <c r="T7" s="50" t="e">
        <f>VLOOKUP(T8,CustomerData!$B:$I,8,FALSE)</f>
        <v>#N/A</v>
      </c>
      <c r="U7" s="50" t="e">
        <f>VLOOKUP(U8,CustomerData!$B:$I,8,FALSE)</f>
        <v>#N/A</v>
      </c>
      <c r="V7" s="50" t="e">
        <f>VLOOKUP(V8,CustomerData!$B:$I,8,FALSE)</f>
        <v>#N/A</v>
      </c>
      <c r="W7" s="50" t="e">
        <f>VLOOKUP(W8,CustomerData!$B:$I,8,FALSE)</f>
        <v>#N/A</v>
      </c>
      <c r="X7" s="50" t="e">
        <f>VLOOKUP(X8,CustomerData!$B:$I,8,FALSE)</f>
        <v>#N/A</v>
      </c>
      <c r="Y7" s="50" t="e">
        <f>VLOOKUP(Y8,CustomerData!$B:$I,8,FALSE)</f>
        <v>#N/A</v>
      </c>
      <c r="Z7" s="50" t="e">
        <f>VLOOKUP(Z8,CustomerData!$B:$I,8,FALSE)</f>
        <v>#N/A</v>
      </c>
      <c r="AA7" s="50" t="e">
        <f>VLOOKUP(AA8,CustomerData!$B:$I,8,FALSE)</f>
        <v>#N/A</v>
      </c>
      <c r="AB7" s="50" t="e">
        <f>VLOOKUP(AB8,CustomerData!$B:$I,8,FALSE)</f>
        <v>#N/A</v>
      </c>
      <c r="AC7" s="50" t="e">
        <f>VLOOKUP(AC8,CustomerData!$B:$I,8,FALSE)</f>
        <v>#N/A</v>
      </c>
      <c r="AD7" s="50" t="e">
        <f>VLOOKUP(AD8,CustomerData!$B:$I,8,FALSE)</f>
        <v>#N/A</v>
      </c>
      <c r="AE7" s="50" t="e">
        <f>VLOOKUP(AE8,CustomerData!$B:$I,8,FALSE)</f>
        <v>#N/A</v>
      </c>
      <c r="AF7" s="50" t="e">
        <f>VLOOKUP(AF8,CustomerData!$B:$I,8,FALSE)</f>
        <v>#N/A</v>
      </c>
      <c r="AG7" s="50" t="e">
        <f>VLOOKUP(AG8,CustomerData!$B:$I,8,FALSE)</f>
        <v>#N/A</v>
      </c>
      <c r="AH7" s="50" t="e">
        <f>VLOOKUP(AH8,CustomerData!$B:$I,8,FALSE)</f>
        <v>#N/A</v>
      </c>
      <c r="AI7" s="50" t="e">
        <f>VLOOKUP(AI8,CustomerData!$B:$I,8,FALSE)</f>
        <v>#N/A</v>
      </c>
      <c r="AJ7" s="50" t="e">
        <f>VLOOKUP(AJ8,CustomerData!$B:$I,8,FALSE)</f>
        <v>#N/A</v>
      </c>
      <c r="AK7" s="50" t="e">
        <f>VLOOKUP(AK8,CustomerData!$B:$I,8,FALSE)</f>
        <v>#N/A</v>
      </c>
      <c r="AL7" s="50" t="e">
        <f>VLOOKUP(AL8,CustomerData!$B:$I,8,FALSE)</f>
        <v>#N/A</v>
      </c>
    </row>
    <row r="8" spans="1:38" s="10" customFormat="1" ht="28.5" customHeight="1" x14ac:dyDescent="0.25">
      <c r="A8" s="22" t="s">
        <v>20</v>
      </c>
      <c r="B8" s="23" t="s">
        <v>14</v>
      </c>
      <c r="C8" s="23" t="s">
        <v>16</v>
      </c>
      <c r="D8" s="23" t="s">
        <v>21</v>
      </c>
      <c r="E8" s="22" t="s">
        <v>22</v>
      </c>
      <c r="F8" s="132" t="s">
        <v>577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10" customFormat="1" ht="15" x14ac:dyDescent="0.25">
      <c r="A9" s="24">
        <v>1</v>
      </c>
      <c r="B9" s="25">
        <v>0</v>
      </c>
      <c r="C9" s="25">
        <v>0.15</v>
      </c>
      <c r="D9" s="118">
        <f>SUM(F9:AL9)</f>
        <v>1234</v>
      </c>
      <c r="E9" s="26">
        <v>4.6500000000000004</v>
      </c>
      <c r="F9" s="25">
        <v>1234</v>
      </c>
      <c r="G9" s="25"/>
      <c r="H9" s="27"/>
      <c r="I9" s="27"/>
      <c r="J9" s="27"/>
      <c r="K9" s="27"/>
      <c r="L9" s="27"/>
      <c r="M9" s="27"/>
      <c r="N9" s="27"/>
      <c r="O9" s="27"/>
      <c r="P9" s="27"/>
      <c r="Q9" s="27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</row>
    <row r="10" spans="1:38" s="10" customFormat="1" ht="15" x14ac:dyDescent="0.25">
      <c r="A10" s="24">
        <v>2</v>
      </c>
      <c r="B10" s="25">
        <v>0.15</v>
      </c>
      <c r="C10" s="25">
        <v>0.3</v>
      </c>
      <c r="D10" s="118">
        <f t="shared" ref="D10:D73" si="0">SUM(F10:AL10)</f>
        <v>1234</v>
      </c>
      <c r="E10" s="26">
        <v>4.6500000000000004</v>
      </c>
      <c r="F10" s="25">
        <v>1234</v>
      </c>
      <c r="G10" s="25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</row>
    <row r="11" spans="1:38" s="10" customFormat="1" ht="15" x14ac:dyDescent="0.25">
      <c r="A11" s="24">
        <v>3</v>
      </c>
      <c r="B11" s="25">
        <v>0.3</v>
      </c>
      <c r="C11" s="25">
        <v>0.45</v>
      </c>
      <c r="D11" s="118">
        <f t="shared" si="0"/>
        <v>1234</v>
      </c>
      <c r="E11" s="26">
        <v>4.6500000000000004</v>
      </c>
      <c r="F11" s="25">
        <v>1234</v>
      </c>
      <c r="G11" s="25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</row>
    <row r="12" spans="1:38" s="10" customFormat="1" ht="15" x14ac:dyDescent="0.25">
      <c r="A12" s="24">
        <v>4</v>
      </c>
      <c r="B12" s="25">
        <v>0.45</v>
      </c>
      <c r="C12" s="25">
        <v>1</v>
      </c>
      <c r="D12" s="118">
        <f t="shared" si="0"/>
        <v>1234</v>
      </c>
      <c r="E12" s="26">
        <v>4.6500000000000004</v>
      </c>
      <c r="F12" s="25">
        <v>1234</v>
      </c>
      <c r="G12" s="25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</row>
    <row r="13" spans="1:38" s="10" customFormat="1" ht="15" x14ac:dyDescent="0.25">
      <c r="A13" s="24">
        <v>5</v>
      </c>
      <c r="B13" s="25">
        <v>1</v>
      </c>
      <c r="C13" s="25">
        <v>1.1499999999999999</v>
      </c>
      <c r="D13" s="118">
        <f t="shared" si="0"/>
        <v>1234</v>
      </c>
      <c r="E13" s="26">
        <v>4.6500000000000004</v>
      </c>
      <c r="F13" s="25">
        <v>1234</v>
      </c>
      <c r="G13" s="25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</row>
    <row r="14" spans="1:38" s="10" customFormat="1" ht="15" x14ac:dyDescent="0.25">
      <c r="A14" s="24">
        <v>6</v>
      </c>
      <c r="B14" s="25">
        <v>1.1499999999999999</v>
      </c>
      <c r="C14" s="25">
        <v>1.3</v>
      </c>
      <c r="D14" s="118">
        <f t="shared" si="0"/>
        <v>1234</v>
      </c>
      <c r="E14" s="26">
        <v>4.6500000000000004</v>
      </c>
      <c r="F14" s="25">
        <v>1234</v>
      </c>
      <c r="G14" s="25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</row>
    <row r="15" spans="1:38" s="10" customFormat="1" ht="15" x14ac:dyDescent="0.25">
      <c r="A15" s="24">
        <v>7</v>
      </c>
      <c r="B15" s="25">
        <v>1.3</v>
      </c>
      <c r="C15" s="25">
        <v>1.45</v>
      </c>
      <c r="D15" s="118">
        <f t="shared" si="0"/>
        <v>1234</v>
      </c>
      <c r="E15" s="26">
        <v>4.6500000000000004</v>
      </c>
      <c r="F15" s="25">
        <v>1234</v>
      </c>
      <c r="G15" s="25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</row>
    <row r="16" spans="1:38" s="10" customFormat="1" ht="15" x14ac:dyDescent="0.25">
      <c r="A16" s="24">
        <v>8</v>
      </c>
      <c r="B16" s="25">
        <v>1.45</v>
      </c>
      <c r="C16" s="25">
        <v>2</v>
      </c>
      <c r="D16" s="118">
        <f t="shared" si="0"/>
        <v>1234</v>
      </c>
      <c r="E16" s="26">
        <v>4.6500000000000004</v>
      </c>
      <c r="F16" s="25">
        <v>1234</v>
      </c>
      <c r="G16" s="25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</row>
    <row r="17" spans="1:38" s="10" customFormat="1" ht="15" x14ac:dyDescent="0.25">
      <c r="A17" s="24">
        <v>9</v>
      </c>
      <c r="B17" s="25">
        <v>2</v>
      </c>
      <c r="C17" s="25">
        <v>2.15</v>
      </c>
      <c r="D17" s="118">
        <f t="shared" si="0"/>
        <v>1234</v>
      </c>
      <c r="E17" s="26">
        <v>4.6500000000000004</v>
      </c>
      <c r="F17" s="25">
        <v>1234</v>
      </c>
      <c r="G17" s="25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</row>
    <row r="18" spans="1:38" s="10" customFormat="1" ht="15" x14ac:dyDescent="0.25">
      <c r="A18" s="24">
        <v>10</v>
      </c>
      <c r="B18" s="25">
        <v>2.15</v>
      </c>
      <c r="C18" s="25">
        <v>2.2999999999999998</v>
      </c>
      <c r="D18" s="118">
        <f t="shared" si="0"/>
        <v>1234</v>
      </c>
      <c r="E18" s="26">
        <v>4.6500000000000004</v>
      </c>
      <c r="F18" s="25">
        <v>1234</v>
      </c>
      <c r="G18" s="25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</row>
    <row r="19" spans="1:38" s="10" customFormat="1" ht="15" x14ac:dyDescent="0.25">
      <c r="A19" s="24">
        <v>11</v>
      </c>
      <c r="B19" s="25">
        <v>2.2999999999999998</v>
      </c>
      <c r="C19" s="25">
        <v>2.4500000000000002</v>
      </c>
      <c r="D19" s="118">
        <f t="shared" si="0"/>
        <v>1234</v>
      </c>
      <c r="E19" s="26">
        <v>4.6500000000000004</v>
      </c>
      <c r="F19" s="25">
        <v>1234</v>
      </c>
      <c r="G19" s="25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</row>
    <row r="20" spans="1:38" s="10" customFormat="1" ht="15" x14ac:dyDescent="0.25">
      <c r="A20" s="24">
        <v>12</v>
      </c>
      <c r="B20" s="25">
        <v>2.4500000000000002</v>
      </c>
      <c r="C20" s="25">
        <v>3</v>
      </c>
      <c r="D20" s="118">
        <f t="shared" si="0"/>
        <v>1234</v>
      </c>
      <c r="E20" s="26">
        <v>4.6500000000000004</v>
      </c>
      <c r="F20" s="25">
        <v>1234</v>
      </c>
      <c r="G20" s="25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</row>
    <row r="21" spans="1:38" s="10" customFormat="1" ht="15" x14ac:dyDescent="0.25">
      <c r="A21" s="24">
        <v>13</v>
      </c>
      <c r="B21" s="25">
        <v>3</v>
      </c>
      <c r="C21" s="25">
        <v>3.15</v>
      </c>
      <c r="D21" s="118">
        <f t="shared" si="0"/>
        <v>1234</v>
      </c>
      <c r="E21" s="26">
        <v>4.6500000000000004</v>
      </c>
      <c r="F21" s="25">
        <v>1234</v>
      </c>
      <c r="G21" s="25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</row>
    <row r="22" spans="1:38" s="10" customFormat="1" ht="15" x14ac:dyDescent="0.25">
      <c r="A22" s="24">
        <v>14</v>
      </c>
      <c r="B22" s="25">
        <v>3.15</v>
      </c>
      <c r="C22" s="25">
        <v>3.3</v>
      </c>
      <c r="D22" s="118">
        <f t="shared" si="0"/>
        <v>1234</v>
      </c>
      <c r="E22" s="26">
        <v>4.6500000000000004</v>
      </c>
      <c r="F22" s="25">
        <v>1234</v>
      </c>
      <c r="G22" s="25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</row>
    <row r="23" spans="1:38" s="10" customFormat="1" ht="15" x14ac:dyDescent="0.25">
      <c r="A23" s="24">
        <v>15</v>
      </c>
      <c r="B23" s="25">
        <v>3.3</v>
      </c>
      <c r="C23" s="25">
        <v>3.45</v>
      </c>
      <c r="D23" s="118">
        <f t="shared" si="0"/>
        <v>1234</v>
      </c>
      <c r="E23" s="26">
        <v>4.6500000000000004</v>
      </c>
      <c r="F23" s="25">
        <v>1234</v>
      </c>
      <c r="G23" s="25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</row>
    <row r="24" spans="1:38" s="10" customFormat="1" ht="15" x14ac:dyDescent="0.25">
      <c r="A24" s="24">
        <v>16</v>
      </c>
      <c r="B24" s="25">
        <v>3.45</v>
      </c>
      <c r="C24" s="25">
        <v>4</v>
      </c>
      <c r="D24" s="118">
        <f t="shared" si="0"/>
        <v>1234</v>
      </c>
      <c r="E24" s="26">
        <v>4.6500000000000004</v>
      </c>
      <c r="F24" s="25">
        <v>1234</v>
      </c>
      <c r="G24" s="25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</row>
    <row r="25" spans="1:38" s="10" customFormat="1" ht="15" x14ac:dyDescent="0.25">
      <c r="A25" s="24">
        <v>17</v>
      </c>
      <c r="B25" s="25">
        <v>4</v>
      </c>
      <c r="C25" s="25">
        <v>4.1500000000000004</v>
      </c>
      <c r="D25" s="118">
        <f t="shared" si="0"/>
        <v>1234</v>
      </c>
      <c r="E25" s="26">
        <v>4.6500000000000004</v>
      </c>
      <c r="F25" s="25">
        <v>1234</v>
      </c>
      <c r="G25" s="25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</row>
    <row r="26" spans="1:38" s="10" customFormat="1" ht="15" x14ac:dyDescent="0.25">
      <c r="A26" s="24">
        <v>18</v>
      </c>
      <c r="B26" s="25">
        <v>4.1500000000000004</v>
      </c>
      <c r="C26" s="25">
        <v>4.3</v>
      </c>
      <c r="D26" s="118">
        <f t="shared" si="0"/>
        <v>1234</v>
      </c>
      <c r="E26" s="26">
        <v>4.6500000000000004</v>
      </c>
      <c r="F26" s="25">
        <v>1234</v>
      </c>
      <c r="G26" s="25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</row>
    <row r="27" spans="1:38" s="10" customFormat="1" ht="15" x14ac:dyDescent="0.25">
      <c r="A27" s="24">
        <v>19</v>
      </c>
      <c r="B27" s="25">
        <v>4.3</v>
      </c>
      <c r="C27" s="25">
        <v>4.45</v>
      </c>
      <c r="D27" s="118">
        <f t="shared" si="0"/>
        <v>1234</v>
      </c>
      <c r="E27" s="26">
        <v>4.6500000000000004</v>
      </c>
      <c r="F27" s="25">
        <v>1234</v>
      </c>
      <c r="G27" s="25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</row>
    <row r="28" spans="1:38" s="10" customFormat="1" ht="15" x14ac:dyDescent="0.25">
      <c r="A28" s="24">
        <v>20</v>
      </c>
      <c r="B28" s="25">
        <v>4.45</v>
      </c>
      <c r="C28" s="25">
        <v>5</v>
      </c>
      <c r="D28" s="118">
        <f t="shared" si="0"/>
        <v>1234</v>
      </c>
      <c r="E28" s="26">
        <v>4.6500000000000004</v>
      </c>
      <c r="F28" s="25">
        <v>1234</v>
      </c>
      <c r="G28" s="25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</row>
    <row r="29" spans="1:38" s="10" customFormat="1" ht="15" x14ac:dyDescent="0.25">
      <c r="A29" s="24">
        <v>21</v>
      </c>
      <c r="B29" s="25">
        <v>5</v>
      </c>
      <c r="C29" s="25">
        <v>5.15</v>
      </c>
      <c r="D29" s="118">
        <f t="shared" si="0"/>
        <v>1234</v>
      </c>
      <c r="E29" s="26">
        <v>4.6500000000000004</v>
      </c>
      <c r="F29" s="25">
        <v>1234</v>
      </c>
      <c r="G29" s="25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</row>
    <row r="30" spans="1:38" s="10" customFormat="1" ht="15" x14ac:dyDescent="0.25">
      <c r="A30" s="24">
        <v>22</v>
      </c>
      <c r="B30" s="25">
        <v>5.15</v>
      </c>
      <c r="C30" s="25">
        <v>5.3</v>
      </c>
      <c r="D30" s="118">
        <f t="shared" si="0"/>
        <v>1234</v>
      </c>
      <c r="E30" s="26">
        <v>4.6500000000000004</v>
      </c>
      <c r="F30" s="25">
        <v>1234</v>
      </c>
      <c r="G30" s="25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</row>
    <row r="31" spans="1:38" s="10" customFormat="1" ht="15" x14ac:dyDescent="0.25">
      <c r="A31" s="24">
        <v>23</v>
      </c>
      <c r="B31" s="25">
        <v>5.3</v>
      </c>
      <c r="C31" s="25">
        <v>5.45</v>
      </c>
      <c r="D31" s="118">
        <f t="shared" si="0"/>
        <v>1234</v>
      </c>
      <c r="E31" s="26">
        <v>4.6500000000000004</v>
      </c>
      <c r="F31" s="25">
        <v>1234</v>
      </c>
      <c r="G31" s="25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</row>
    <row r="32" spans="1:38" s="10" customFormat="1" ht="15" x14ac:dyDescent="0.25">
      <c r="A32" s="24">
        <v>24</v>
      </c>
      <c r="B32" s="25">
        <v>5.45</v>
      </c>
      <c r="C32" s="25">
        <v>6</v>
      </c>
      <c r="D32" s="118">
        <f t="shared" si="0"/>
        <v>1234</v>
      </c>
      <c r="E32" s="26">
        <v>4.6500000000000004</v>
      </c>
      <c r="F32" s="25">
        <v>1234</v>
      </c>
      <c r="G32" s="25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</row>
    <row r="33" spans="1:38" s="10" customFormat="1" ht="15" x14ac:dyDescent="0.25">
      <c r="A33" s="24">
        <v>25</v>
      </c>
      <c r="B33" s="25">
        <v>6</v>
      </c>
      <c r="C33" s="25">
        <v>6.15</v>
      </c>
      <c r="D33" s="118">
        <f t="shared" si="0"/>
        <v>1234</v>
      </c>
      <c r="E33" s="26">
        <v>4.6500000000000004</v>
      </c>
      <c r="F33" s="25">
        <v>1234</v>
      </c>
      <c r="G33" s="25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</row>
    <row r="34" spans="1:38" s="10" customFormat="1" ht="15" x14ac:dyDescent="0.25">
      <c r="A34" s="24">
        <v>26</v>
      </c>
      <c r="B34" s="25">
        <v>6.15</v>
      </c>
      <c r="C34" s="25">
        <v>6.3</v>
      </c>
      <c r="D34" s="118">
        <f t="shared" si="0"/>
        <v>1234</v>
      </c>
      <c r="E34" s="26">
        <v>4.6500000000000004</v>
      </c>
      <c r="F34" s="25">
        <v>1234</v>
      </c>
      <c r="G34" s="25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</row>
    <row r="35" spans="1:38" s="10" customFormat="1" ht="15" x14ac:dyDescent="0.25">
      <c r="A35" s="24">
        <v>27</v>
      </c>
      <c r="B35" s="25">
        <v>6.3</v>
      </c>
      <c r="C35" s="25">
        <v>6.45</v>
      </c>
      <c r="D35" s="118">
        <f t="shared" si="0"/>
        <v>1234</v>
      </c>
      <c r="E35" s="26">
        <v>4.6500000000000004</v>
      </c>
      <c r="F35" s="25">
        <v>1234</v>
      </c>
      <c r="G35" s="25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</row>
    <row r="36" spans="1:38" s="10" customFormat="1" ht="15" x14ac:dyDescent="0.25">
      <c r="A36" s="24">
        <v>28</v>
      </c>
      <c r="B36" s="25">
        <v>6.45</v>
      </c>
      <c r="C36" s="25">
        <v>7</v>
      </c>
      <c r="D36" s="118">
        <f t="shared" si="0"/>
        <v>1234</v>
      </c>
      <c r="E36" s="26">
        <v>4.6500000000000004</v>
      </c>
      <c r="F36" s="25">
        <v>1234</v>
      </c>
      <c r="G36" s="25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</row>
    <row r="37" spans="1:38" s="10" customFormat="1" ht="15" x14ac:dyDescent="0.25">
      <c r="A37" s="24">
        <v>29</v>
      </c>
      <c r="B37" s="25">
        <v>7</v>
      </c>
      <c r="C37" s="25">
        <v>7.15</v>
      </c>
      <c r="D37" s="118">
        <f t="shared" si="0"/>
        <v>1234</v>
      </c>
      <c r="E37" s="26">
        <v>4.6500000000000004</v>
      </c>
      <c r="F37" s="25">
        <v>1234</v>
      </c>
      <c r="G37" s="25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</row>
    <row r="38" spans="1:38" s="10" customFormat="1" ht="15" x14ac:dyDescent="0.25">
      <c r="A38" s="24">
        <v>30</v>
      </c>
      <c r="B38" s="25">
        <v>7.15</v>
      </c>
      <c r="C38" s="25">
        <v>7.3</v>
      </c>
      <c r="D38" s="118">
        <f t="shared" si="0"/>
        <v>1234</v>
      </c>
      <c r="E38" s="26">
        <v>4.6500000000000004</v>
      </c>
      <c r="F38" s="25">
        <v>1234</v>
      </c>
      <c r="G38" s="25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</row>
    <row r="39" spans="1:38" s="10" customFormat="1" ht="15" x14ac:dyDescent="0.25">
      <c r="A39" s="24">
        <v>31</v>
      </c>
      <c r="B39" s="25">
        <v>7.3</v>
      </c>
      <c r="C39" s="25">
        <v>7.45</v>
      </c>
      <c r="D39" s="118">
        <f t="shared" si="0"/>
        <v>1234</v>
      </c>
      <c r="E39" s="26">
        <v>4.6500000000000004</v>
      </c>
      <c r="F39" s="25">
        <v>1234</v>
      </c>
      <c r="G39" s="25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</row>
    <row r="40" spans="1:38" s="10" customFormat="1" ht="15" x14ac:dyDescent="0.25">
      <c r="A40" s="24">
        <v>32</v>
      </c>
      <c r="B40" s="25">
        <v>7.45</v>
      </c>
      <c r="C40" s="25">
        <v>8</v>
      </c>
      <c r="D40" s="118">
        <f t="shared" si="0"/>
        <v>1234</v>
      </c>
      <c r="E40" s="26">
        <v>4.6500000000000004</v>
      </c>
      <c r="F40" s="25">
        <v>1234</v>
      </c>
      <c r="G40" s="25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</row>
    <row r="41" spans="1:38" ht="15" x14ac:dyDescent="0.2">
      <c r="A41" s="24">
        <v>33</v>
      </c>
      <c r="B41" s="25">
        <v>8</v>
      </c>
      <c r="C41" s="25">
        <v>8.15</v>
      </c>
      <c r="D41" s="118">
        <f t="shared" si="0"/>
        <v>1234</v>
      </c>
      <c r="E41" s="26">
        <v>4.6500000000000004</v>
      </c>
      <c r="F41" s="25">
        <v>1234</v>
      </c>
      <c r="G41" s="25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</row>
    <row r="42" spans="1:38" ht="15" x14ac:dyDescent="0.2">
      <c r="A42" s="24">
        <v>34</v>
      </c>
      <c r="B42" s="25">
        <v>8.15</v>
      </c>
      <c r="C42" s="28">
        <v>8.3000000000000007</v>
      </c>
      <c r="D42" s="118">
        <f t="shared" si="0"/>
        <v>1234</v>
      </c>
      <c r="E42" s="26">
        <v>4.6500000000000004</v>
      </c>
      <c r="F42" s="25">
        <v>1234</v>
      </c>
      <c r="G42" s="25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</row>
    <row r="43" spans="1:38" ht="15" x14ac:dyDescent="0.2">
      <c r="A43" s="24">
        <v>35</v>
      </c>
      <c r="B43" s="25">
        <v>8.3000000000000007</v>
      </c>
      <c r="C43" s="25">
        <v>8.4499999999999993</v>
      </c>
      <c r="D43" s="118">
        <f t="shared" si="0"/>
        <v>1234</v>
      </c>
      <c r="E43" s="26">
        <v>4.6500000000000004</v>
      </c>
      <c r="F43" s="25">
        <v>1234</v>
      </c>
      <c r="G43" s="25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</row>
    <row r="44" spans="1:38" ht="12" customHeight="1" x14ac:dyDescent="0.2">
      <c r="A44" s="24">
        <v>36</v>
      </c>
      <c r="B44" s="25">
        <v>8.4499999999999993</v>
      </c>
      <c r="C44" s="25">
        <v>9</v>
      </c>
      <c r="D44" s="118">
        <f t="shared" si="0"/>
        <v>1234</v>
      </c>
      <c r="E44" s="26">
        <v>4.6500000000000004</v>
      </c>
      <c r="F44" s="25">
        <v>1234</v>
      </c>
      <c r="G44" s="25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</row>
    <row r="45" spans="1:38" ht="15" x14ac:dyDescent="0.2">
      <c r="A45" s="24">
        <v>37</v>
      </c>
      <c r="B45" s="25">
        <v>9</v>
      </c>
      <c r="C45" s="25">
        <v>9.15</v>
      </c>
      <c r="D45" s="118">
        <f t="shared" si="0"/>
        <v>1234</v>
      </c>
      <c r="E45" s="26">
        <v>4.6500000000000004</v>
      </c>
      <c r="F45" s="25">
        <v>1234</v>
      </c>
      <c r="G45" s="25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</row>
    <row r="46" spans="1:38" ht="15" x14ac:dyDescent="0.2">
      <c r="A46" s="24">
        <v>38</v>
      </c>
      <c r="B46" s="28">
        <v>9.15</v>
      </c>
      <c r="C46" s="28">
        <v>9.3000000000000007</v>
      </c>
      <c r="D46" s="118">
        <f t="shared" si="0"/>
        <v>1234</v>
      </c>
      <c r="E46" s="26">
        <v>4.6500000000000004</v>
      </c>
      <c r="F46" s="25">
        <v>1234</v>
      </c>
      <c r="G46" s="25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</row>
    <row r="47" spans="1:38" ht="15" x14ac:dyDescent="0.2">
      <c r="A47" s="24">
        <v>39</v>
      </c>
      <c r="B47" s="25">
        <v>9.3000000000000007</v>
      </c>
      <c r="C47" s="25">
        <v>9.4499999999999993</v>
      </c>
      <c r="D47" s="118">
        <f t="shared" si="0"/>
        <v>1234</v>
      </c>
      <c r="E47" s="26">
        <v>4.6500000000000004</v>
      </c>
      <c r="F47" s="25">
        <v>1234</v>
      </c>
      <c r="G47" s="25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</row>
    <row r="48" spans="1:38" ht="15" x14ac:dyDescent="0.2">
      <c r="A48" s="24">
        <v>40</v>
      </c>
      <c r="B48" s="25">
        <v>9.4499999999999993</v>
      </c>
      <c r="C48" s="25">
        <v>10</v>
      </c>
      <c r="D48" s="118">
        <f t="shared" si="0"/>
        <v>1234</v>
      </c>
      <c r="E48" s="26">
        <v>4.6500000000000004</v>
      </c>
      <c r="F48" s="25">
        <v>1234</v>
      </c>
      <c r="G48" s="25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15" x14ac:dyDescent="0.2">
      <c r="A49" s="24">
        <v>41</v>
      </c>
      <c r="B49" s="25">
        <v>10</v>
      </c>
      <c r="C49" s="25">
        <v>10.15</v>
      </c>
      <c r="D49" s="118">
        <f t="shared" si="0"/>
        <v>1234</v>
      </c>
      <c r="E49" s="26">
        <v>4.6500000000000004</v>
      </c>
      <c r="F49" s="25">
        <v>1234</v>
      </c>
      <c r="G49" s="25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</row>
    <row r="50" spans="1:38" ht="15" x14ac:dyDescent="0.2">
      <c r="A50" s="24">
        <v>42</v>
      </c>
      <c r="B50" s="25">
        <v>10.15</v>
      </c>
      <c r="C50" s="25">
        <v>10.3</v>
      </c>
      <c r="D50" s="118">
        <f t="shared" si="0"/>
        <v>1234</v>
      </c>
      <c r="E50" s="26">
        <v>4.6500000000000004</v>
      </c>
      <c r="F50" s="25">
        <v>1234</v>
      </c>
      <c r="G50" s="25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</row>
    <row r="51" spans="1:38" ht="15" x14ac:dyDescent="0.2">
      <c r="A51" s="24">
        <v>43</v>
      </c>
      <c r="B51" s="25">
        <v>10.3</v>
      </c>
      <c r="C51" s="25">
        <v>10.45</v>
      </c>
      <c r="D51" s="118">
        <f t="shared" si="0"/>
        <v>1234</v>
      </c>
      <c r="E51" s="26">
        <v>4.6500000000000004</v>
      </c>
      <c r="F51" s="25">
        <v>1234</v>
      </c>
      <c r="G51" s="25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</row>
    <row r="52" spans="1:38" ht="15" x14ac:dyDescent="0.2">
      <c r="A52" s="24">
        <v>44</v>
      </c>
      <c r="B52" s="25">
        <v>10.45</v>
      </c>
      <c r="C52" s="25">
        <v>11</v>
      </c>
      <c r="D52" s="118">
        <f t="shared" si="0"/>
        <v>1234</v>
      </c>
      <c r="E52" s="26">
        <v>4.6500000000000004</v>
      </c>
      <c r="F52" s="25">
        <v>1234</v>
      </c>
      <c r="G52" s="25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</row>
    <row r="53" spans="1:38" ht="15" x14ac:dyDescent="0.2">
      <c r="A53" s="24">
        <v>45</v>
      </c>
      <c r="B53" s="25">
        <v>11</v>
      </c>
      <c r="C53" s="25">
        <v>11.15</v>
      </c>
      <c r="D53" s="118">
        <f t="shared" si="0"/>
        <v>1234</v>
      </c>
      <c r="E53" s="26">
        <v>4.6500000000000004</v>
      </c>
      <c r="F53" s="25">
        <v>1234</v>
      </c>
      <c r="G53" s="25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</row>
    <row r="54" spans="1:38" ht="15" x14ac:dyDescent="0.2">
      <c r="A54" s="24">
        <v>46</v>
      </c>
      <c r="B54" s="25">
        <v>11.15</v>
      </c>
      <c r="C54" s="25">
        <v>11.3</v>
      </c>
      <c r="D54" s="118">
        <f t="shared" si="0"/>
        <v>1234</v>
      </c>
      <c r="E54" s="26">
        <v>4.6500000000000004</v>
      </c>
      <c r="F54" s="25">
        <v>1234</v>
      </c>
      <c r="G54" s="25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</row>
    <row r="55" spans="1:38" ht="15" x14ac:dyDescent="0.2">
      <c r="A55" s="24">
        <v>47</v>
      </c>
      <c r="B55" s="25">
        <v>11.3</v>
      </c>
      <c r="C55" s="25">
        <v>11.45</v>
      </c>
      <c r="D55" s="118">
        <f t="shared" si="0"/>
        <v>1234</v>
      </c>
      <c r="E55" s="26">
        <v>4.6500000000000004</v>
      </c>
      <c r="F55" s="25">
        <v>1234</v>
      </c>
      <c r="G55" s="25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</row>
    <row r="56" spans="1:38" ht="15" x14ac:dyDescent="0.2">
      <c r="A56" s="24">
        <v>48</v>
      </c>
      <c r="B56" s="25">
        <v>11.45</v>
      </c>
      <c r="C56" s="25">
        <v>12</v>
      </c>
      <c r="D56" s="118">
        <f t="shared" si="0"/>
        <v>1234</v>
      </c>
      <c r="E56" s="26">
        <v>4.6500000000000004</v>
      </c>
      <c r="F56" s="25">
        <v>1234</v>
      </c>
      <c r="G56" s="25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</row>
    <row r="57" spans="1:38" ht="15" x14ac:dyDescent="0.2">
      <c r="A57" s="24">
        <v>48</v>
      </c>
      <c r="B57" s="25">
        <v>11.45</v>
      </c>
      <c r="C57" s="25">
        <v>12</v>
      </c>
      <c r="D57" s="118">
        <f t="shared" si="0"/>
        <v>1234</v>
      </c>
      <c r="E57" s="26">
        <v>4.6500000000000004</v>
      </c>
      <c r="F57" s="25">
        <v>1234</v>
      </c>
      <c r="G57" s="25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</row>
    <row r="58" spans="1:38" ht="15" x14ac:dyDescent="0.2">
      <c r="A58" s="24">
        <v>50</v>
      </c>
      <c r="B58" s="25">
        <v>12.15</v>
      </c>
      <c r="C58" s="25">
        <v>12.3</v>
      </c>
      <c r="D58" s="118">
        <f t="shared" si="0"/>
        <v>1234</v>
      </c>
      <c r="E58" s="26">
        <v>4.6500000000000004</v>
      </c>
      <c r="F58" s="25">
        <v>1234</v>
      </c>
      <c r="G58" s="25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</row>
    <row r="59" spans="1:38" ht="15" x14ac:dyDescent="0.2">
      <c r="A59" s="24">
        <v>51</v>
      </c>
      <c r="B59" s="25">
        <v>12.3</v>
      </c>
      <c r="C59" s="25">
        <v>12.45</v>
      </c>
      <c r="D59" s="118">
        <f t="shared" si="0"/>
        <v>1234</v>
      </c>
      <c r="E59" s="26">
        <v>4.6500000000000004</v>
      </c>
      <c r="F59" s="25">
        <v>1234</v>
      </c>
      <c r="G59" s="25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</row>
    <row r="60" spans="1:38" ht="15" x14ac:dyDescent="0.2">
      <c r="A60" s="24">
        <v>52</v>
      </c>
      <c r="B60" s="25">
        <v>12.45</v>
      </c>
      <c r="C60" s="25">
        <v>13</v>
      </c>
      <c r="D60" s="118">
        <f t="shared" si="0"/>
        <v>1234</v>
      </c>
      <c r="E60" s="26">
        <v>4.6500000000000004</v>
      </c>
      <c r="F60" s="25">
        <v>1234</v>
      </c>
      <c r="G60" s="25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</row>
    <row r="61" spans="1:38" ht="15" x14ac:dyDescent="0.2">
      <c r="A61" s="24">
        <v>53</v>
      </c>
      <c r="B61" s="25">
        <v>13</v>
      </c>
      <c r="C61" s="25">
        <v>13.15</v>
      </c>
      <c r="D61" s="118">
        <f t="shared" si="0"/>
        <v>1234</v>
      </c>
      <c r="E61" s="26">
        <v>4.6500000000000004</v>
      </c>
      <c r="F61" s="25">
        <v>1234</v>
      </c>
      <c r="G61" s="25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</row>
    <row r="62" spans="1:38" ht="15" x14ac:dyDescent="0.2">
      <c r="A62" s="24">
        <v>54</v>
      </c>
      <c r="B62" s="25">
        <v>13.15</v>
      </c>
      <c r="C62" s="25">
        <v>13.3</v>
      </c>
      <c r="D62" s="118">
        <f t="shared" si="0"/>
        <v>1234</v>
      </c>
      <c r="E62" s="26">
        <v>4.6500000000000004</v>
      </c>
      <c r="F62" s="25">
        <v>1234</v>
      </c>
      <c r="G62" s="25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</row>
    <row r="63" spans="1:38" ht="15" x14ac:dyDescent="0.2">
      <c r="A63" s="24">
        <v>55</v>
      </c>
      <c r="B63" s="25">
        <v>13.3</v>
      </c>
      <c r="C63" s="25">
        <v>13.45</v>
      </c>
      <c r="D63" s="118">
        <f t="shared" si="0"/>
        <v>1234</v>
      </c>
      <c r="E63" s="26">
        <v>4.6500000000000004</v>
      </c>
      <c r="F63" s="25">
        <v>1234</v>
      </c>
      <c r="G63" s="25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</row>
    <row r="64" spans="1:38" ht="15" x14ac:dyDescent="0.2">
      <c r="A64" s="24">
        <v>56</v>
      </c>
      <c r="B64" s="25">
        <v>13.45</v>
      </c>
      <c r="C64" s="25">
        <v>14</v>
      </c>
      <c r="D64" s="118">
        <f t="shared" si="0"/>
        <v>1234</v>
      </c>
      <c r="E64" s="26">
        <v>4.6500000000000004</v>
      </c>
      <c r="F64" s="25">
        <v>1234</v>
      </c>
      <c r="G64" s="25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</row>
    <row r="65" spans="1:38" ht="15" x14ac:dyDescent="0.2">
      <c r="A65" s="24">
        <v>57</v>
      </c>
      <c r="B65" s="25">
        <v>14</v>
      </c>
      <c r="C65" s="25">
        <v>14.15</v>
      </c>
      <c r="D65" s="118">
        <f t="shared" si="0"/>
        <v>1234</v>
      </c>
      <c r="E65" s="26">
        <v>4.6500000000000004</v>
      </c>
      <c r="F65" s="25">
        <v>1234</v>
      </c>
      <c r="G65" s="25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</row>
    <row r="66" spans="1:38" ht="15" x14ac:dyDescent="0.2">
      <c r="A66" s="24">
        <v>58</v>
      </c>
      <c r="B66" s="25">
        <v>14.15</v>
      </c>
      <c r="C66" s="25">
        <v>14.3</v>
      </c>
      <c r="D66" s="118">
        <f t="shared" si="0"/>
        <v>1234</v>
      </c>
      <c r="E66" s="26">
        <v>4.6500000000000004</v>
      </c>
      <c r="F66" s="25">
        <v>1234</v>
      </c>
      <c r="G66" s="25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</row>
    <row r="67" spans="1:38" ht="15" x14ac:dyDescent="0.2">
      <c r="A67" s="24">
        <v>59</v>
      </c>
      <c r="B67" s="25">
        <v>14.3</v>
      </c>
      <c r="C67" s="25">
        <v>14.45</v>
      </c>
      <c r="D67" s="118">
        <f t="shared" si="0"/>
        <v>1234</v>
      </c>
      <c r="E67" s="26">
        <v>4.6500000000000004</v>
      </c>
      <c r="F67" s="25">
        <v>1234</v>
      </c>
      <c r="G67" s="25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</row>
    <row r="68" spans="1:38" ht="15" x14ac:dyDescent="0.2">
      <c r="A68" s="24">
        <v>60</v>
      </c>
      <c r="B68" s="25">
        <v>14.45</v>
      </c>
      <c r="C68" s="25">
        <v>15</v>
      </c>
      <c r="D68" s="118">
        <f t="shared" si="0"/>
        <v>1234</v>
      </c>
      <c r="E68" s="26">
        <v>4.6500000000000004</v>
      </c>
      <c r="F68" s="25">
        <v>1234</v>
      </c>
      <c r="G68" s="25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</row>
    <row r="69" spans="1:38" ht="15" x14ac:dyDescent="0.2">
      <c r="A69" s="24">
        <v>61</v>
      </c>
      <c r="B69" s="25">
        <v>15</v>
      </c>
      <c r="C69" s="25">
        <v>15.15</v>
      </c>
      <c r="D69" s="118">
        <f t="shared" si="0"/>
        <v>1234</v>
      </c>
      <c r="E69" s="26">
        <v>4.6500000000000004</v>
      </c>
      <c r="F69" s="25">
        <v>1234</v>
      </c>
      <c r="G69" s="25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</row>
    <row r="70" spans="1:38" ht="15" x14ac:dyDescent="0.2">
      <c r="A70" s="24">
        <v>62</v>
      </c>
      <c r="B70" s="25">
        <v>15.15</v>
      </c>
      <c r="C70" s="25">
        <v>15.3</v>
      </c>
      <c r="D70" s="118">
        <f t="shared" si="0"/>
        <v>1234</v>
      </c>
      <c r="E70" s="26">
        <v>4.6500000000000004</v>
      </c>
      <c r="F70" s="25">
        <v>1234</v>
      </c>
      <c r="G70" s="25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</row>
    <row r="71" spans="1:38" ht="15" x14ac:dyDescent="0.2">
      <c r="A71" s="24">
        <v>63</v>
      </c>
      <c r="B71" s="25">
        <v>15.3</v>
      </c>
      <c r="C71" s="25">
        <v>15.45</v>
      </c>
      <c r="D71" s="118">
        <f t="shared" si="0"/>
        <v>1234</v>
      </c>
      <c r="E71" s="26">
        <v>4.6500000000000004</v>
      </c>
      <c r="F71" s="25">
        <v>1234</v>
      </c>
      <c r="G71" s="25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</row>
    <row r="72" spans="1:38" ht="15" x14ac:dyDescent="0.2">
      <c r="A72" s="24">
        <v>64</v>
      </c>
      <c r="B72" s="25">
        <v>15.45</v>
      </c>
      <c r="C72" s="25">
        <v>16</v>
      </c>
      <c r="D72" s="118">
        <f t="shared" si="0"/>
        <v>1234</v>
      </c>
      <c r="E72" s="26">
        <v>4.6500000000000004</v>
      </c>
      <c r="F72" s="25">
        <v>1234</v>
      </c>
      <c r="G72" s="25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</row>
    <row r="73" spans="1:38" ht="15" x14ac:dyDescent="0.2">
      <c r="A73" s="24">
        <v>65</v>
      </c>
      <c r="B73" s="25">
        <v>16</v>
      </c>
      <c r="C73" s="25">
        <v>16.149999999999999</v>
      </c>
      <c r="D73" s="118">
        <f t="shared" si="0"/>
        <v>1234</v>
      </c>
      <c r="E73" s="26">
        <v>4.6500000000000004</v>
      </c>
      <c r="F73" s="25">
        <v>1234</v>
      </c>
      <c r="G73" s="25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</row>
    <row r="74" spans="1:38" ht="15" x14ac:dyDescent="0.2">
      <c r="A74" s="24">
        <v>66</v>
      </c>
      <c r="B74" s="25">
        <v>16.149999999999999</v>
      </c>
      <c r="C74" s="25">
        <v>16.3</v>
      </c>
      <c r="D74" s="118">
        <f t="shared" ref="D74:D104" si="1">SUM(F74:AL74)</f>
        <v>1234</v>
      </c>
      <c r="E74" s="26">
        <v>4.6500000000000004</v>
      </c>
      <c r="F74" s="25">
        <v>1234</v>
      </c>
      <c r="G74" s="25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</row>
    <row r="75" spans="1:38" ht="15" x14ac:dyDescent="0.2">
      <c r="A75" s="24">
        <v>67</v>
      </c>
      <c r="B75" s="25">
        <v>16.3</v>
      </c>
      <c r="C75" s="25">
        <v>16.45</v>
      </c>
      <c r="D75" s="118">
        <f t="shared" si="1"/>
        <v>1234</v>
      </c>
      <c r="E75" s="26">
        <v>4.6500000000000004</v>
      </c>
      <c r="F75" s="25">
        <v>1234</v>
      </c>
      <c r="G75" s="25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</row>
    <row r="76" spans="1:38" ht="15" x14ac:dyDescent="0.2">
      <c r="A76" s="24">
        <v>68</v>
      </c>
      <c r="B76" s="25">
        <v>16.45</v>
      </c>
      <c r="C76" s="25">
        <v>17</v>
      </c>
      <c r="D76" s="118">
        <f t="shared" si="1"/>
        <v>1234</v>
      </c>
      <c r="E76" s="26">
        <v>4.6500000000000004</v>
      </c>
      <c r="F76" s="25">
        <v>1234</v>
      </c>
      <c r="G76" s="25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</row>
    <row r="77" spans="1:38" ht="15" x14ac:dyDescent="0.2">
      <c r="A77" s="24">
        <v>69</v>
      </c>
      <c r="B77" s="25">
        <v>17</v>
      </c>
      <c r="C77" s="25">
        <v>17.149999999999999</v>
      </c>
      <c r="D77" s="118">
        <f t="shared" si="1"/>
        <v>1234</v>
      </c>
      <c r="E77" s="26">
        <v>4.6500000000000004</v>
      </c>
      <c r="F77" s="25">
        <v>1234</v>
      </c>
      <c r="G77" s="25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</row>
    <row r="78" spans="1:38" ht="15" x14ac:dyDescent="0.2">
      <c r="A78" s="24">
        <v>70</v>
      </c>
      <c r="B78" s="25">
        <v>17.149999999999999</v>
      </c>
      <c r="C78" s="25">
        <v>17.3</v>
      </c>
      <c r="D78" s="118">
        <f t="shared" si="1"/>
        <v>1234</v>
      </c>
      <c r="E78" s="26">
        <v>4.6500000000000004</v>
      </c>
      <c r="F78" s="25">
        <v>1234</v>
      </c>
      <c r="G78" s="25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</row>
    <row r="79" spans="1:38" ht="15" x14ac:dyDescent="0.2">
      <c r="A79" s="24">
        <v>71</v>
      </c>
      <c r="B79" s="25">
        <v>17.3</v>
      </c>
      <c r="C79" s="25">
        <v>17.45</v>
      </c>
      <c r="D79" s="118">
        <f t="shared" si="1"/>
        <v>1234</v>
      </c>
      <c r="E79" s="26">
        <v>4.6500000000000004</v>
      </c>
      <c r="F79" s="25">
        <v>1234</v>
      </c>
      <c r="G79" s="25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</row>
    <row r="80" spans="1:38" ht="15" x14ac:dyDescent="0.2">
      <c r="A80" s="24">
        <v>72</v>
      </c>
      <c r="B80" s="25">
        <v>17.45</v>
      </c>
      <c r="C80" s="25">
        <v>18</v>
      </c>
      <c r="D80" s="118">
        <f t="shared" si="1"/>
        <v>1234</v>
      </c>
      <c r="E80" s="26">
        <v>4.6500000000000004</v>
      </c>
      <c r="F80" s="25">
        <v>1234</v>
      </c>
      <c r="G80" s="25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</row>
    <row r="81" spans="1:38" ht="15" x14ac:dyDescent="0.2">
      <c r="A81" s="24">
        <v>73</v>
      </c>
      <c r="B81" s="25">
        <v>18</v>
      </c>
      <c r="C81" s="25">
        <v>18.149999999999999</v>
      </c>
      <c r="D81" s="118">
        <f t="shared" si="1"/>
        <v>1234</v>
      </c>
      <c r="E81" s="26">
        <v>4.6500000000000004</v>
      </c>
      <c r="F81" s="25">
        <v>1234</v>
      </c>
      <c r="G81" s="25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</row>
    <row r="82" spans="1:38" ht="15" x14ac:dyDescent="0.2">
      <c r="A82" s="24">
        <v>74</v>
      </c>
      <c r="B82" s="25">
        <v>18.149999999999999</v>
      </c>
      <c r="C82" s="25">
        <v>18.3</v>
      </c>
      <c r="D82" s="118">
        <f t="shared" si="1"/>
        <v>1234</v>
      </c>
      <c r="E82" s="26">
        <v>4.6500000000000004</v>
      </c>
      <c r="F82" s="25">
        <v>1234</v>
      </c>
      <c r="G82" s="25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15" x14ac:dyDescent="0.2">
      <c r="A83" s="24">
        <v>75</v>
      </c>
      <c r="B83" s="25">
        <v>18.3</v>
      </c>
      <c r="C83" s="25">
        <v>18.45</v>
      </c>
      <c r="D83" s="118">
        <f t="shared" si="1"/>
        <v>1234</v>
      </c>
      <c r="E83" s="26">
        <v>4.6500000000000004</v>
      </c>
      <c r="F83" s="25">
        <v>1234</v>
      </c>
      <c r="G83" s="25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</row>
    <row r="84" spans="1:38" ht="15" x14ac:dyDescent="0.2">
      <c r="A84" s="24">
        <v>76</v>
      </c>
      <c r="B84" s="25">
        <v>18.45</v>
      </c>
      <c r="C84" s="25">
        <v>19</v>
      </c>
      <c r="D84" s="118">
        <f t="shared" si="1"/>
        <v>1234</v>
      </c>
      <c r="E84" s="26">
        <v>4.6500000000000004</v>
      </c>
      <c r="F84" s="25">
        <v>1234</v>
      </c>
      <c r="G84" s="25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</row>
    <row r="85" spans="1:38" ht="15" x14ac:dyDescent="0.2">
      <c r="A85" s="24">
        <v>77</v>
      </c>
      <c r="B85" s="25">
        <v>19</v>
      </c>
      <c r="C85" s="25">
        <v>19.149999999999999</v>
      </c>
      <c r="D85" s="118">
        <f t="shared" si="1"/>
        <v>1234</v>
      </c>
      <c r="E85" s="26">
        <v>4.6500000000000004</v>
      </c>
      <c r="F85" s="25">
        <v>1234</v>
      </c>
      <c r="G85" s="25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</row>
    <row r="86" spans="1:38" ht="15" x14ac:dyDescent="0.2">
      <c r="A86" s="24">
        <v>78</v>
      </c>
      <c r="B86" s="25">
        <v>19.149999999999999</v>
      </c>
      <c r="C86" s="25">
        <v>19.3</v>
      </c>
      <c r="D86" s="118">
        <f t="shared" si="1"/>
        <v>1234</v>
      </c>
      <c r="E86" s="26">
        <v>4.6500000000000004</v>
      </c>
      <c r="F86" s="25">
        <v>1234</v>
      </c>
      <c r="G86" s="25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</row>
    <row r="87" spans="1:38" ht="15" x14ac:dyDescent="0.2">
      <c r="A87" s="24">
        <v>79</v>
      </c>
      <c r="B87" s="25">
        <v>19.3</v>
      </c>
      <c r="C87" s="25">
        <v>19.45</v>
      </c>
      <c r="D87" s="118">
        <f t="shared" si="1"/>
        <v>1234</v>
      </c>
      <c r="E87" s="26">
        <v>4.6500000000000004</v>
      </c>
      <c r="F87" s="25">
        <v>1234</v>
      </c>
      <c r="G87" s="25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</row>
    <row r="88" spans="1:38" ht="15" x14ac:dyDescent="0.2">
      <c r="A88" s="24">
        <v>80</v>
      </c>
      <c r="B88" s="25">
        <v>19.45</v>
      </c>
      <c r="C88" s="25">
        <v>20</v>
      </c>
      <c r="D88" s="118">
        <f t="shared" si="1"/>
        <v>1234</v>
      </c>
      <c r="E88" s="26">
        <v>4.6500000000000004</v>
      </c>
      <c r="F88" s="25">
        <v>1234</v>
      </c>
      <c r="G88" s="25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</row>
    <row r="89" spans="1:38" ht="15" x14ac:dyDescent="0.2">
      <c r="A89" s="24">
        <v>81</v>
      </c>
      <c r="B89" s="25">
        <v>20</v>
      </c>
      <c r="C89" s="25">
        <v>20.149999999999999</v>
      </c>
      <c r="D89" s="118">
        <f t="shared" si="1"/>
        <v>1234</v>
      </c>
      <c r="E89" s="26">
        <v>4.6500000000000004</v>
      </c>
      <c r="F89" s="25">
        <v>1234</v>
      </c>
      <c r="G89" s="25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</row>
    <row r="90" spans="1:38" ht="15" x14ac:dyDescent="0.2">
      <c r="A90" s="24">
        <v>82</v>
      </c>
      <c r="B90" s="25">
        <v>20.149999999999999</v>
      </c>
      <c r="C90" s="25">
        <v>20.3</v>
      </c>
      <c r="D90" s="118">
        <f t="shared" si="1"/>
        <v>1234</v>
      </c>
      <c r="E90" s="26">
        <v>4.6500000000000004</v>
      </c>
      <c r="F90" s="25">
        <v>1234</v>
      </c>
      <c r="G90" s="25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</row>
    <row r="91" spans="1:38" ht="15" x14ac:dyDescent="0.2">
      <c r="A91" s="24">
        <v>83</v>
      </c>
      <c r="B91" s="25">
        <v>20.3</v>
      </c>
      <c r="C91" s="25">
        <v>20.45</v>
      </c>
      <c r="D91" s="118">
        <f t="shared" si="1"/>
        <v>1234</v>
      </c>
      <c r="E91" s="26">
        <v>4.6500000000000004</v>
      </c>
      <c r="F91" s="25">
        <v>1234</v>
      </c>
      <c r="G91" s="25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</row>
    <row r="92" spans="1:38" ht="15" x14ac:dyDescent="0.2">
      <c r="A92" s="24">
        <v>84</v>
      </c>
      <c r="B92" s="25">
        <v>20.45</v>
      </c>
      <c r="C92" s="25">
        <v>21</v>
      </c>
      <c r="D92" s="118">
        <f t="shared" si="1"/>
        <v>1234</v>
      </c>
      <c r="E92" s="26">
        <v>4.6500000000000004</v>
      </c>
      <c r="F92" s="25">
        <v>1234</v>
      </c>
      <c r="G92" s="25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</row>
    <row r="93" spans="1:38" ht="15" x14ac:dyDescent="0.2">
      <c r="A93" s="24">
        <v>85</v>
      </c>
      <c r="B93" s="25">
        <v>21</v>
      </c>
      <c r="C93" s="25">
        <v>21.15</v>
      </c>
      <c r="D93" s="118">
        <f t="shared" si="1"/>
        <v>1234</v>
      </c>
      <c r="E93" s="26">
        <v>4.6500000000000004</v>
      </c>
      <c r="F93" s="25">
        <v>1234</v>
      </c>
      <c r="G93" s="25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</row>
    <row r="94" spans="1:38" ht="15" x14ac:dyDescent="0.2">
      <c r="A94" s="24">
        <v>86</v>
      </c>
      <c r="B94" s="25">
        <v>21.15</v>
      </c>
      <c r="C94" s="25">
        <v>21.3</v>
      </c>
      <c r="D94" s="118">
        <f t="shared" si="1"/>
        <v>1234</v>
      </c>
      <c r="E94" s="26">
        <v>4.6500000000000004</v>
      </c>
      <c r="F94" s="25">
        <v>1234</v>
      </c>
      <c r="G94" s="25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</row>
    <row r="95" spans="1:38" ht="15" x14ac:dyDescent="0.2">
      <c r="A95" s="24">
        <v>87</v>
      </c>
      <c r="B95" s="25">
        <v>21.3</v>
      </c>
      <c r="C95" s="25">
        <v>21.45</v>
      </c>
      <c r="D95" s="118">
        <f t="shared" si="1"/>
        <v>1234</v>
      </c>
      <c r="E95" s="26">
        <v>4.6500000000000004</v>
      </c>
      <c r="F95" s="25">
        <v>1234</v>
      </c>
      <c r="G95" s="25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</row>
    <row r="96" spans="1:38" ht="15" x14ac:dyDescent="0.2">
      <c r="A96" s="24">
        <v>88</v>
      </c>
      <c r="B96" s="25">
        <v>21.45</v>
      </c>
      <c r="C96" s="25">
        <v>22</v>
      </c>
      <c r="D96" s="118">
        <f t="shared" si="1"/>
        <v>1234</v>
      </c>
      <c r="E96" s="26">
        <v>4.6500000000000004</v>
      </c>
      <c r="F96" s="25">
        <v>1234</v>
      </c>
      <c r="G96" s="25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</row>
    <row r="97" spans="1:38" ht="15" x14ac:dyDescent="0.2">
      <c r="A97" s="24">
        <v>89</v>
      </c>
      <c r="B97" s="25">
        <v>22</v>
      </c>
      <c r="C97" s="25">
        <v>22.15</v>
      </c>
      <c r="D97" s="118">
        <f t="shared" si="1"/>
        <v>1234</v>
      </c>
      <c r="E97" s="26">
        <v>4.6500000000000004</v>
      </c>
      <c r="F97" s="25">
        <v>1234</v>
      </c>
      <c r="G97" s="25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</row>
    <row r="98" spans="1:38" ht="15" x14ac:dyDescent="0.2">
      <c r="A98" s="24">
        <v>90</v>
      </c>
      <c r="B98" s="25">
        <v>22.15</v>
      </c>
      <c r="C98" s="25">
        <v>22.3</v>
      </c>
      <c r="D98" s="118">
        <f t="shared" si="1"/>
        <v>1234</v>
      </c>
      <c r="E98" s="26">
        <v>4.6500000000000004</v>
      </c>
      <c r="F98" s="25">
        <v>1234</v>
      </c>
      <c r="G98" s="25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</row>
    <row r="99" spans="1:38" ht="15" x14ac:dyDescent="0.2">
      <c r="A99" s="24">
        <v>91</v>
      </c>
      <c r="B99" s="25">
        <v>22.3</v>
      </c>
      <c r="C99" s="25">
        <v>22.45</v>
      </c>
      <c r="D99" s="118">
        <f t="shared" si="1"/>
        <v>1234</v>
      </c>
      <c r="E99" s="26">
        <v>4.6500000000000004</v>
      </c>
      <c r="F99" s="25">
        <v>1234</v>
      </c>
      <c r="G99" s="25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</row>
    <row r="100" spans="1:38" ht="15" x14ac:dyDescent="0.2">
      <c r="A100" s="24">
        <v>92</v>
      </c>
      <c r="B100" s="25">
        <v>22.45</v>
      </c>
      <c r="C100" s="25">
        <v>23</v>
      </c>
      <c r="D100" s="118">
        <f t="shared" si="1"/>
        <v>1234</v>
      </c>
      <c r="E100" s="26">
        <v>4.6500000000000004</v>
      </c>
      <c r="F100" s="25">
        <v>1234</v>
      </c>
      <c r="G100" s="25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</row>
    <row r="101" spans="1:38" ht="15" x14ac:dyDescent="0.2">
      <c r="A101" s="24">
        <v>93</v>
      </c>
      <c r="B101" s="25">
        <v>23</v>
      </c>
      <c r="C101" s="25">
        <v>23.15</v>
      </c>
      <c r="D101" s="118">
        <f t="shared" si="1"/>
        <v>1234</v>
      </c>
      <c r="E101" s="26">
        <v>4.6500000000000004</v>
      </c>
      <c r="F101" s="25">
        <v>1234</v>
      </c>
      <c r="G101" s="25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</row>
    <row r="102" spans="1:38" ht="15" x14ac:dyDescent="0.2">
      <c r="A102" s="24">
        <v>94</v>
      </c>
      <c r="B102" s="25">
        <v>23.15</v>
      </c>
      <c r="C102" s="25">
        <v>23.3</v>
      </c>
      <c r="D102" s="118">
        <f t="shared" si="1"/>
        <v>1234</v>
      </c>
      <c r="E102" s="26">
        <v>4.6500000000000004</v>
      </c>
      <c r="F102" s="25">
        <v>1234</v>
      </c>
      <c r="G102" s="25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</row>
    <row r="103" spans="1:38" ht="15" x14ac:dyDescent="0.2">
      <c r="A103" s="24">
        <v>95</v>
      </c>
      <c r="B103" s="25">
        <v>23.3</v>
      </c>
      <c r="C103" s="25">
        <v>23.45</v>
      </c>
      <c r="D103" s="118">
        <f t="shared" si="1"/>
        <v>1234</v>
      </c>
      <c r="E103" s="26">
        <v>4.6500000000000004</v>
      </c>
      <c r="F103" s="25">
        <v>1234</v>
      </c>
      <c r="G103" s="25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</row>
    <row r="104" spans="1:38" ht="15" x14ac:dyDescent="0.2">
      <c r="A104" s="29">
        <v>96</v>
      </c>
      <c r="B104" s="30">
        <v>23.45</v>
      </c>
      <c r="C104" s="30">
        <v>24</v>
      </c>
      <c r="D104" s="118">
        <f t="shared" si="1"/>
        <v>1234</v>
      </c>
      <c r="E104" s="26">
        <v>4.6500000000000004</v>
      </c>
      <c r="F104" s="25">
        <v>1234</v>
      </c>
      <c r="G104" s="25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</row>
    <row r="105" spans="1:38" s="62" customFormat="1" x14ac:dyDescent="0.2"/>
    <row r="106" spans="1:38" s="62" customFormat="1" x14ac:dyDescent="0.2"/>
    <row r="107" spans="1:38" s="62" customFormat="1" x14ac:dyDescent="0.2"/>
    <row r="108" spans="1:38" x14ac:dyDescent="0.2">
      <c r="H108" s="62"/>
    </row>
    <row r="109" spans="1:38" x14ac:dyDescent="0.2">
      <c r="H109" s="62"/>
    </row>
    <row r="124" spans="8:8" x14ac:dyDescent="0.2">
      <c r="H124" s="5" t="s">
        <v>72</v>
      </c>
    </row>
    <row r="283" spans="1:15" x14ac:dyDescent="0.2">
      <c r="A283" s="5">
        <f>SUM(E9:L104)</f>
        <v>118910.39999999981</v>
      </c>
    </row>
    <row r="284" spans="1:15" x14ac:dyDescent="0.2">
      <c r="A284" s="5">
        <v>1</v>
      </c>
    </row>
    <row r="285" spans="1:15" s="31" customFormat="1" x14ac:dyDescent="0.2">
      <c r="A285" s="31" t="s">
        <v>20</v>
      </c>
      <c r="B285" s="31" t="str">
        <f t="shared" ref="B285:J300" si="2">D8</f>
        <v>DC</v>
      </c>
      <c r="C285" s="31" t="str">
        <f t="shared" si="2"/>
        <v>FC</v>
      </c>
      <c r="D285" s="31" t="e">
        <f>#REF!</f>
        <v>#REF!</v>
      </c>
      <c r="E285" s="31" t="str">
        <f t="shared" ref="E285:O285" si="3">F8</f>
        <v>HVPNL</v>
      </c>
      <c r="F285" s="31">
        <f t="shared" si="3"/>
        <v>0</v>
      </c>
      <c r="G285" s="31">
        <f t="shared" si="3"/>
        <v>0</v>
      </c>
      <c r="H285" s="31">
        <f t="shared" si="3"/>
        <v>0</v>
      </c>
      <c r="I285" s="31">
        <f t="shared" si="3"/>
        <v>0</v>
      </c>
      <c r="J285" s="31">
        <f t="shared" si="3"/>
        <v>0</v>
      </c>
      <c r="K285" s="31">
        <f t="shared" si="3"/>
        <v>0</v>
      </c>
      <c r="L285" s="31">
        <f>O8</f>
        <v>0</v>
      </c>
      <c r="O285" s="31">
        <f t="shared" si="3"/>
        <v>0</v>
      </c>
    </row>
    <row r="286" spans="1:15" x14ac:dyDescent="0.2">
      <c r="A286" s="5">
        <v>0</v>
      </c>
      <c r="B286" s="32">
        <f t="shared" si="2"/>
        <v>1234</v>
      </c>
      <c r="C286" s="32">
        <f t="shared" si="2"/>
        <v>4.6500000000000004</v>
      </c>
      <c r="D286" s="32">
        <f t="shared" si="2"/>
        <v>1234</v>
      </c>
      <c r="E286" s="32">
        <f t="shared" si="2"/>
        <v>0</v>
      </c>
      <c r="F286" s="32">
        <f t="shared" si="2"/>
        <v>0</v>
      </c>
      <c r="G286" s="32">
        <f t="shared" si="2"/>
        <v>0</v>
      </c>
      <c r="H286" s="32">
        <f t="shared" si="2"/>
        <v>0</v>
      </c>
      <c r="I286" s="32">
        <f t="shared" si="2"/>
        <v>0</v>
      </c>
      <c r="J286" s="32">
        <f t="shared" si="2"/>
        <v>0</v>
      </c>
      <c r="K286" s="32">
        <f t="shared" ref="K286:L317" si="4">O9</f>
        <v>0</v>
      </c>
      <c r="L286" s="32">
        <f t="shared" si="4"/>
        <v>0</v>
      </c>
      <c r="M286" s="32"/>
      <c r="N286" s="32"/>
    </row>
    <row r="287" spans="1:15" x14ac:dyDescent="0.2">
      <c r="A287" s="5">
        <v>0</v>
      </c>
      <c r="B287" s="32">
        <f t="shared" si="2"/>
        <v>1234</v>
      </c>
      <c r="C287" s="32">
        <f t="shared" si="2"/>
        <v>4.6500000000000004</v>
      </c>
      <c r="D287" s="32">
        <f t="shared" si="2"/>
        <v>1234</v>
      </c>
      <c r="E287" s="32">
        <f t="shared" si="2"/>
        <v>0</v>
      </c>
      <c r="F287" s="32">
        <f t="shared" si="2"/>
        <v>0</v>
      </c>
      <c r="G287" s="32">
        <f t="shared" si="2"/>
        <v>0</v>
      </c>
      <c r="H287" s="32">
        <f t="shared" si="2"/>
        <v>0</v>
      </c>
      <c r="I287" s="32">
        <f t="shared" si="2"/>
        <v>0</v>
      </c>
      <c r="J287" s="32">
        <f t="shared" si="2"/>
        <v>0</v>
      </c>
      <c r="K287" s="32">
        <f t="shared" si="4"/>
        <v>0</v>
      </c>
      <c r="L287" s="32">
        <f t="shared" si="4"/>
        <v>0</v>
      </c>
      <c r="M287" s="32"/>
      <c r="N287" s="32"/>
    </row>
    <row r="288" spans="1:15" x14ac:dyDescent="0.2">
      <c r="A288" s="5">
        <v>0</v>
      </c>
      <c r="B288" s="32">
        <f t="shared" si="2"/>
        <v>1234</v>
      </c>
      <c r="C288" s="32">
        <f t="shared" si="2"/>
        <v>4.6500000000000004</v>
      </c>
      <c r="D288" s="32">
        <f t="shared" si="2"/>
        <v>1234</v>
      </c>
      <c r="E288" s="32">
        <f t="shared" si="2"/>
        <v>0</v>
      </c>
      <c r="F288" s="32">
        <f t="shared" si="2"/>
        <v>0</v>
      </c>
      <c r="G288" s="32">
        <f t="shared" si="2"/>
        <v>0</v>
      </c>
      <c r="H288" s="32">
        <f t="shared" si="2"/>
        <v>0</v>
      </c>
      <c r="I288" s="32">
        <f t="shared" si="2"/>
        <v>0</v>
      </c>
      <c r="J288" s="32">
        <f t="shared" si="2"/>
        <v>0</v>
      </c>
      <c r="K288" s="32">
        <f t="shared" si="4"/>
        <v>0</v>
      </c>
      <c r="L288" s="32">
        <f t="shared" si="4"/>
        <v>0</v>
      </c>
      <c r="M288" s="32"/>
      <c r="N288" s="32"/>
    </row>
    <row r="289" spans="1:14" x14ac:dyDescent="0.2">
      <c r="A289" s="5">
        <v>0</v>
      </c>
      <c r="B289" s="32">
        <f t="shared" si="2"/>
        <v>1234</v>
      </c>
      <c r="C289" s="32">
        <f t="shared" si="2"/>
        <v>4.6500000000000004</v>
      </c>
      <c r="D289" s="32">
        <f t="shared" si="2"/>
        <v>1234</v>
      </c>
      <c r="E289" s="32">
        <f t="shared" si="2"/>
        <v>0</v>
      </c>
      <c r="F289" s="32">
        <f t="shared" si="2"/>
        <v>0</v>
      </c>
      <c r="G289" s="32">
        <f t="shared" si="2"/>
        <v>0</v>
      </c>
      <c r="H289" s="32">
        <f t="shared" si="2"/>
        <v>0</v>
      </c>
      <c r="I289" s="32">
        <f t="shared" si="2"/>
        <v>0</v>
      </c>
      <c r="J289" s="32">
        <f t="shared" si="2"/>
        <v>0</v>
      </c>
      <c r="K289" s="32">
        <f t="shared" si="4"/>
        <v>0</v>
      </c>
      <c r="L289" s="32">
        <f t="shared" si="4"/>
        <v>0</v>
      </c>
      <c r="M289" s="32"/>
      <c r="N289" s="32"/>
    </row>
    <row r="290" spans="1:14" x14ac:dyDescent="0.2">
      <c r="A290" s="5">
        <v>0</v>
      </c>
      <c r="B290" s="32">
        <f t="shared" si="2"/>
        <v>1234</v>
      </c>
      <c r="C290" s="32">
        <f t="shared" si="2"/>
        <v>4.6500000000000004</v>
      </c>
      <c r="D290" s="32">
        <f t="shared" si="2"/>
        <v>1234</v>
      </c>
      <c r="E290" s="32">
        <f t="shared" si="2"/>
        <v>0</v>
      </c>
      <c r="F290" s="32">
        <f t="shared" si="2"/>
        <v>0</v>
      </c>
      <c r="G290" s="32">
        <f t="shared" si="2"/>
        <v>0</v>
      </c>
      <c r="H290" s="32">
        <f t="shared" si="2"/>
        <v>0</v>
      </c>
      <c r="I290" s="32">
        <f t="shared" si="2"/>
        <v>0</v>
      </c>
      <c r="J290" s="32">
        <f t="shared" si="2"/>
        <v>0</v>
      </c>
      <c r="K290" s="32">
        <f t="shared" si="4"/>
        <v>0</v>
      </c>
      <c r="L290" s="32">
        <f t="shared" si="4"/>
        <v>0</v>
      </c>
      <c r="M290" s="32"/>
      <c r="N290" s="32"/>
    </row>
    <row r="291" spans="1:14" x14ac:dyDescent="0.2">
      <c r="A291" s="5">
        <v>0</v>
      </c>
      <c r="B291" s="32">
        <f t="shared" si="2"/>
        <v>1234</v>
      </c>
      <c r="C291" s="32">
        <f t="shared" si="2"/>
        <v>4.6500000000000004</v>
      </c>
      <c r="D291" s="32">
        <f t="shared" si="2"/>
        <v>1234</v>
      </c>
      <c r="E291" s="32">
        <f t="shared" si="2"/>
        <v>0</v>
      </c>
      <c r="F291" s="32">
        <f t="shared" si="2"/>
        <v>0</v>
      </c>
      <c r="G291" s="32">
        <f t="shared" si="2"/>
        <v>0</v>
      </c>
      <c r="H291" s="32">
        <f t="shared" si="2"/>
        <v>0</v>
      </c>
      <c r="I291" s="32">
        <f t="shared" si="2"/>
        <v>0</v>
      </c>
      <c r="J291" s="32">
        <f t="shared" si="2"/>
        <v>0</v>
      </c>
      <c r="K291" s="32">
        <f t="shared" si="4"/>
        <v>0</v>
      </c>
      <c r="L291" s="32">
        <f t="shared" si="4"/>
        <v>0</v>
      </c>
      <c r="M291" s="32"/>
      <c r="N291" s="32"/>
    </row>
    <row r="292" spans="1:14" x14ac:dyDescent="0.2">
      <c r="A292" s="5">
        <v>0</v>
      </c>
      <c r="B292" s="32">
        <f t="shared" si="2"/>
        <v>1234</v>
      </c>
      <c r="C292" s="32">
        <f t="shared" si="2"/>
        <v>4.6500000000000004</v>
      </c>
      <c r="D292" s="32">
        <f t="shared" si="2"/>
        <v>1234</v>
      </c>
      <c r="E292" s="32">
        <f t="shared" si="2"/>
        <v>0</v>
      </c>
      <c r="F292" s="32">
        <f t="shared" si="2"/>
        <v>0</v>
      </c>
      <c r="G292" s="32">
        <f t="shared" si="2"/>
        <v>0</v>
      </c>
      <c r="H292" s="32">
        <f t="shared" si="2"/>
        <v>0</v>
      </c>
      <c r="I292" s="32">
        <f t="shared" si="2"/>
        <v>0</v>
      </c>
      <c r="J292" s="32">
        <f t="shared" si="2"/>
        <v>0</v>
      </c>
      <c r="K292" s="32">
        <f t="shared" si="4"/>
        <v>0</v>
      </c>
      <c r="L292" s="32">
        <f t="shared" si="4"/>
        <v>0</v>
      </c>
      <c r="M292" s="32"/>
      <c r="N292" s="32"/>
    </row>
    <row r="293" spans="1:14" x14ac:dyDescent="0.2">
      <c r="A293" s="5">
        <v>0</v>
      </c>
      <c r="B293" s="32">
        <f t="shared" si="2"/>
        <v>1234</v>
      </c>
      <c r="C293" s="32">
        <f t="shared" si="2"/>
        <v>4.6500000000000004</v>
      </c>
      <c r="D293" s="32">
        <f t="shared" si="2"/>
        <v>1234</v>
      </c>
      <c r="E293" s="32">
        <f t="shared" si="2"/>
        <v>0</v>
      </c>
      <c r="F293" s="32">
        <f t="shared" si="2"/>
        <v>0</v>
      </c>
      <c r="G293" s="32">
        <f t="shared" si="2"/>
        <v>0</v>
      </c>
      <c r="H293" s="32">
        <f t="shared" si="2"/>
        <v>0</v>
      </c>
      <c r="I293" s="32">
        <f t="shared" si="2"/>
        <v>0</v>
      </c>
      <c r="J293" s="32">
        <f t="shared" si="2"/>
        <v>0</v>
      </c>
      <c r="K293" s="32">
        <f t="shared" si="4"/>
        <v>0</v>
      </c>
      <c r="L293" s="32">
        <f t="shared" si="4"/>
        <v>0</v>
      </c>
      <c r="M293" s="32"/>
      <c r="N293" s="32"/>
    </row>
    <row r="294" spans="1:14" x14ac:dyDescent="0.2">
      <c r="A294" s="5">
        <v>0</v>
      </c>
      <c r="B294" s="32">
        <f t="shared" si="2"/>
        <v>1234</v>
      </c>
      <c r="C294" s="32">
        <f t="shared" si="2"/>
        <v>4.6500000000000004</v>
      </c>
      <c r="D294" s="32">
        <f t="shared" si="2"/>
        <v>1234</v>
      </c>
      <c r="E294" s="32">
        <f t="shared" si="2"/>
        <v>0</v>
      </c>
      <c r="F294" s="32">
        <f t="shared" si="2"/>
        <v>0</v>
      </c>
      <c r="G294" s="32">
        <f t="shared" si="2"/>
        <v>0</v>
      </c>
      <c r="H294" s="32">
        <f t="shared" si="2"/>
        <v>0</v>
      </c>
      <c r="I294" s="32">
        <f t="shared" si="2"/>
        <v>0</v>
      </c>
      <c r="J294" s="32">
        <f t="shared" si="2"/>
        <v>0</v>
      </c>
      <c r="K294" s="32">
        <f t="shared" si="4"/>
        <v>0</v>
      </c>
      <c r="L294" s="32">
        <f t="shared" si="4"/>
        <v>0</v>
      </c>
      <c r="M294" s="32"/>
      <c r="N294" s="32"/>
    </row>
    <row r="295" spans="1:14" x14ac:dyDescent="0.2">
      <c r="A295" s="5">
        <v>0</v>
      </c>
      <c r="B295" s="32">
        <f t="shared" si="2"/>
        <v>1234</v>
      </c>
      <c r="C295" s="32">
        <f t="shared" si="2"/>
        <v>4.6500000000000004</v>
      </c>
      <c r="D295" s="32">
        <f t="shared" si="2"/>
        <v>1234</v>
      </c>
      <c r="E295" s="32">
        <f t="shared" si="2"/>
        <v>0</v>
      </c>
      <c r="F295" s="32">
        <f t="shared" si="2"/>
        <v>0</v>
      </c>
      <c r="G295" s="32">
        <f t="shared" si="2"/>
        <v>0</v>
      </c>
      <c r="H295" s="32">
        <f t="shared" si="2"/>
        <v>0</v>
      </c>
      <c r="I295" s="32">
        <f t="shared" si="2"/>
        <v>0</v>
      </c>
      <c r="J295" s="32">
        <f t="shared" si="2"/>
        <v>0</v>
      </c>
      <c r="K295" s="32">
        <f t="shared" si="4"/>
        <v>0</v>
      </c>
      <c r="L295" s="32">
        <f t="shared" si="4"/>
        <v>0</v>
      </c>
      <c r="M295" s="32"/>
      <c r="N295" s="32"/>
    </row>
    <row r="296" spans="1:14" x14ac:dyDescent="0.2">
      <c r="A296" s="5">
        <v>0</v>
      </c>
      <c r="B296" s="32">
        <f t="shared" si="2"/>
        <v>1234</v>
      </c>
      <c r="C296" s="32">
        <f t="shared" si="2"/>
        <v>4.6500000000000004</v>
      </c>
      <c r="D296" s="32">
        <f t="shared" si="2"/>
        <v>1234</v>
      </c>
      <c r="E296" s="32">
        <f t="shared" si="2"/>
        <v>0</v>
      </c>
      <c r="F296" s="32">
        <f t="shared" si="2"/>
        <v>0</v>
      </c>
      <c r="G296" s="32">
        <f t="shared" si="2"/>
        <v>0</v>
      </c>
      <c r="H296" s="32">
        <f t="shared" si="2"/>
        <v>0</v>
      </c>
      <c r="I296" s="32">
        <f t="shared" si="2"/>
        <v>0</v>
      </c>
      <c r="J296" s="32">
        <f t="shared" si="2"/>
        <v>0</v>
      </c>
      <c r="K296" s="32">
        <f t="shared" si="4"/>
        <v>0</v>
      </c>
      <c r="L296" s="32">
        <f t="shared" si="4"/>
        <v>0</v>
      </c>
      <c r="M296" s="32"/>
      <c r="N296" s="32"/>
    </row>
    <row r="297" spans="1:14" x14ac:dyDescent="0.2">
      <c r="A297" s="5">
        <v>1</v>
      </c>
      <c r="B297" s="32">
        <f t="shared" si="2"/>
        <v>1234</v>
      </c>
      <c r="C297" s="32">
        <f t="shared" si="2"/>
        <v>4.6500000000000004</v>
      </c>
      <c r="D297" s="32">
        <f t="shared" si="2"/>
        <v>1234</v>
      </c>
      <c r="E297" s="32">
        <f t="shared" si="2"/>
        <v>0</v>
      </c>
      <c r="F297" s="32">
        <f t="shared" si="2"/>
        <v>0</v>
      </c>
      <c r="G297" s="32">
        <f t="shared" si="2"/>
        <v>0</v>
      </c>
      <c r="H297" s="32">
        <f t="shared" si="2"/>
        <v>0</v>
      </c>
      <c r="I297" s="32">
        <f t="shared" si="2"/>
        <v>0</v>
      </c>
      <c r="J297" s="32">
        <f t="shared" si="2"/>
        <v>0</v>
      </c>
      <c r="K297" s="32">
        <f t="shared" si="4"/>
        <v>0</v>
      </c>
      <c r="L297" s="32">
        <f t="shared" si="4"/>
        <v>0</v>
      </c>
      <c r="M297" s="32"/>
      <c r="N297" s="32"/>
    </row>
    <row r="298" spans="1:14" x14ac:dyDescent="0.2">
      <c r="A298" s="5">
        <v>0</v>
      </c>
      <c r="B298" s="32">
        <f t="shared" si="2"/>
        <v>1234</v>
      </c>
      <c r="C298" s="32">
        <f t="shared" si="2"/>
        <v>4.6500000000000004</v>
      </c>
      <c r="D298" s="32">
        <f t="shared" si="2"/>
        <v>1234</v>
      </c>
      <c r="E298" s="32">
        <f t="shared" si="2"/>
        <v>0</v>
      </c>
      <c r="F298" s="32">
        <f t="shared" si="2"/>
        <v>0</v>
      </c>
      <c r="G298" s="32">
        <f t="shared" si="2"/>
        <v>0</v>
      </c>
      <c r="H298" s="32">
        <f t="shared" si="2"/>
        <v>0</v>
      </c>
      <c r="I298" s="32">
        <f t="shared" si="2"/>
        <v>0</v>
      </c>
      <c r="J298" s="32">
        <f t="shared" si="2"/>
        <v>0</v>
      </c>
      <c r="K298" s="32">
        <f t="shared" si="4"/>
        <v>0</v>
      </c>
      <c r="L298" s="32">
        <f t="shared" si="4"/>
        <v>0</v>
      </c>
      <c r="M298" s="32"/>
      <c r="N298" s="32"/>
    </row>
    <row r="299" spans="1:14" x14ac:dyDescent="0.2">
      <c r="A299" s="5">
        <v>0</v>
      </c>
      <c r="B299" s="32">
        <f t="shared" si="2"/>
        <v>1234</v>
      </c>
      <c r="C299" s="32">
        <f t="shared" si="2"/>
        <v>4.6500000000000004</v>
      </c>
      <c r="D299" s="32">
        <f t="shared" si="2"/>
        <v>1234</v>
      </c>
      <c r="E299" s="32">
        <f t="shared" si="2"/>
        <v>0</v>
      </c>
      <c r="F299" s="32">
        <f t="shared" si="2"/>
        <v>0</v>
      </c>
      <c r="G299" s="32">
        <f t="shared" si="2"/>
        <v>0</v>
      </c>
      <c r="H299" s="32">
        <f t="shared" si="2"/>
        <v>0</v>
      </c>
      <c r="I299" s="32">
        <f t="shared" si="2"/>
        <v>0</v>
      </c>
      <c r="J299" s="32">
        <f t="shared" si="2"/>
        <v>0</v>
      </c>
      <c r="K299" s="32">
        <f t="shared" si="4"/>
        <v>0</v>
      </c>
      <c r="L299" s="32">
        <f t="shared" si="4"/>
        <v>0</v>
      </c>
      <c r="M299" s="32"/>
      <c r="N299" s="32"/>
    </row>
    <row r="300" spans="1:14" x14ac:dyDescent="0.2">
      <c r="A300" s="5">
        <v>0</v>
      </c>
      <c r="B300" s="32">
        <f t="shared" si="2"/>
        <v>1234</v>
      </c>
      <c r="C300" s="32">
        <f t="shared" si="2"/>
        <v>4.6500000000000004</v>
      </c>
      <c r="D300" s="32">
        <f t="shared" si="2"/>
        <v>1234</v>
      </c>
      <c r="E300" s="32">
        <f t="shared" si="2"/>
        <v>0</v>
      </c>
      <c r="F300" s="32">
        <f t="shared" si="2"/>
        <v>0</v>
      </c>
      <c r="G300" s="32">
        <f t="shared" si="2"/>
        <v>0</v>
      </c>
      <c r="H300" s="32">
        <f t="shared" si="2"/>
        <v>0</v>
      </c>
      <c r="I300" s="32">
        <f t="shared" si="2"/>
        <v>0</v>
      </c>
      <c r="J300" s="32">
        <f t="shared" si="2"/>
        <v>0</v>
      </c>
      <c r="K300" s="32">
        <f t="shared" si="4"/>
        <v>0</v>
      </c>
      <c r="L300" s="32">
        <f t="shared" si="4"/>
        <v>0</v>
      </c>
      <c r="M300" s="32"/>
      <c r="N300" s="32"/>
    </row>
    <row r="301" spans="1:14" x14ac:dyDescent="0.2">
      <c r="A301" s="5">
        <v>0</v>
      </c>
      <c r="B301" s="32">
        <f t="shared" ref="B301:J324" si="5">D24</f>
        <v>1234</v>
      </c>
      <c r="C301" s="32">
        <f t="shared" si="5"/>
        <v>4.6500000000000004</v>
      </c>
      <c r="D301" s="32">
        <f t="shared" si="5"/>
        <v>1234</v>
      </c>
      <c r="E301" s="32">
        <f t="shared" si="5"/>
        <v>0</v>
      </c>
      <c r="F301" s="32">
        <f t="shared" si="5"/>
        <v>0</v>
      </c>
      <c r="G301" s="32">
        <f t="shared" si="5"/>
        <v>0</v>
      </c>
      <c r="H301" s="32">
        <f t="shared" si="5"/>
        <v>0</v>
      </c>
      <c r="I301" s="32">
        <f t="shared" si="5"/>
        <v>0</v>
      </c>
      <c r="J301" s="32">
        <f t="shared" si="5"/>
        <v>0</v>
      </c>
      <c r="K301" s="32">
        <f t="shared" si="4"/>
        <v>0</v>
      </c>
      <c r="L301" s="32">
        <f t="shared" si="4"/>
        <v>0</v>
      </c>
      <c r="M301" s="32"/>
      <c r="N301" s="32"/>
    </row>
    <row r="302" spans="1:14" x14ac:dyDescent="0.2">
      <c r="A302" s="5">
        <v>0</v>
      </c>
      <c r="B302" s="32">
        <f t="shared" si="5"/>
        <v>1234</v>
      </c>
      <c r="C302" s="32">
        <f t="shared" si="5"/>
        <v>4.6500000000000004</v>
      </c>
      <c r="D302" s="32">
        <f t="shared" si="5"/>
        <v>1234</v>
      </c>
      <c r="E302" s="32">
        <f t="shared" si="5"/>
        <v>0</v>
      </c>
      <c r="F302" s="32">
        <f t="shared" si="5"/>
        <v>0</v>
      </c>
      <c r="G302" s="32">
        <f t="shared" si="5"/>
        <v>0</v>
      </c>
      <c r="H302" s="32">
        <f t="shared" si="5"/>
        <v>0</v>
      </c>
      <c r="I302" s="32">
        <f t="shared" si="5"/>
        <v>0</v>
      </c>
      <c r="J302" s="32">
        <f t="shared" si="5"/>
        <v>0</v>
      </c>
      <c r="K302" s="32">
        <f t="shared" si="4"/>
        <v>0</v>
      </c>
      <c r="L302" s="32">
        <f t="shared" si="4"/>
        <v>0</v>
      </c>
      <c r="M302" s="32"/>
      <c r="N302" s="32"/>
    </row>
    <row r="303" spans="1:14" x14ac:dyDescent="0.2">
      <c r="A303" s="5">
        <v>0</v>
      </c>
      <c r="B303" s="32">
        <f t="shared" si="5"/>
        <v>1234</v>
      </c>
      <c r="C303" s="32">
        <f t="shared" si="5"/>
        <v>4.6500000000000004</v>
      </c>
      <c r="D303" s="32">
        <f t="shared" si="5"/>
        <v>1234</v>
      </c>
      <c r="E303" s="32">
        <f t="shared" si="5"/>
        <v>0</v>
      </c>
      <c r="F303" s="32">
        <f t="shared" si="5"/>
        <v>0</v>
      </c>
      <c r="G303" s="32">
        <f t="shared" si="5"/>
        <v>0</v>
      </c>
      <c r="H303" s="32">
        <f t="shared" si="5"/>
        <v>0</v>
      </c>
      <c r="I303" s="32">
        <f t="shared" si="5"/>
        <v>0</v>
      </c>
      <c r="J303" s="32">
        <f t="shared" si="5"/>
        <v>0</v>
      </c>
      <c r="K303" s="32">
        <f t="shared" si="4"/>
        <v>0</v>
      </c>
      <c r="L303" s="32">
        <f t="shared" si="4"/>
        <v>0</v>
      </c>
      <c r="M303" s="32"/>
      <c r="N303" s="32"/>
    </row>
    <row r="304" spans="1:14" x14ac:dyDescent="0.2">
      <c r="A304" s="5">
        <v>0</v>
      </c>
      <c r="B304" s="32">
        <f t="shared" si="5"/>
        <v>1234</v>
      </c>
      <c r="C304" s="32">
        <f t="shared" si="5"/>
        <v>4.6500000000000004</v>
      </c>
      <c r="D304" s="32">
        <f t="shared" si="5"/>
        <v>1234</v>
      </c>
      <c r="E304" s="32">
        <f t="shared" si="5"/>
        <v>0</v>
      </c>
      <c r="F304" s="32">
        <f t="shared" si="5"/>
        <v>0</v>
      </c>
      <c r="G304" s="32">
        <f t="shared" si="5"/>
        <v>0</v>
      </c>
      <c r="H304" s="32">
        <f t="shared" si="5"/>
        <v>0</v>
      </c>
      <c r="I304" s="32">
        <f t="shared" si="5"/>
        <v>0</v>
      </c>
      <c r="J304" s="32">
        <f t="shared" si="5"/>
        <v>0</v>
      </c>
      <c r="K304" s="32">
        <f t="shared" si="4"/>
        <v>0</v>
      </c>
      <c r="L304" s="32">
        <f t="shared" si="4"/>
        <v>0</v>
      </c>
      <c r="M304" s="32"/>
      <c r="N304" s="32"/>
    </row>
    <row r="305" spans="1:14" x14ac:dyDescent="0.2">
      <c r="A305" s="5">
        <v>0</v>
      </c>
      <c r="B305" s="32">
        <f t="shared" si="5"/>
        <v>1234</v>
      </c>
      <c r="C305" s="32">
        <f t="shared" si="5"/>
        <v>4.6500000000000004</v>
      </c>
      <c r="D305" s="32">
        <f t="shared" si="5"/>
        <v>1234</v>
      </c>
      <c r="E305" s="32">
        <f t="shared" si="5"/>
        <v>0</v>
      </c>
      <c r="F305" s="32">
        <f t="shared" si="5"/>
        <v>0</v>
      </c>
      <c r="G305" s="32">
        <f t="shared" si="5"/>
        <v>0</v>
      </c>
      <c r="H305" s="32">
        <f t="shared" si="5"/>
        <v>0</v>
      </c>
      <c r="I305" s="32">
        <f t="shared" si="5"/>
        <v>0</v>
      </c>
      <c r="J305" s="32">
        <f t="shared" si="5"/>
        <v>0</v>
      </c>
      <c r="K305" s="32">
        <f t="shared" si="4"/>
        <v>0</v>
      </c>
      <c r="L305" s="32">
        <f t="shared" si="4"/>
        <v>0</v>
      </c>
      <c r="M305" s="32"/>
      <c r="N305" s="32"/>
    </row>
    <row r="306" spans="1:14" x14ac:dyDescent="0.2">
      <c r="A306" s="5">
        <v>0</v>
      </c>
      <c r="B306" s="32">
        <f t="shared" si="5"/>
        <v>1234</v>
      </c>
      <c r="C306" s="32">
        <f t="shared" si="5"/>
        <v>4.6500000000000004</v>
      </c>
      <c r="D306" s="32">
        <f t="shared" si="5"/>
        <v>1234</v>
      </c>
      <c r="E306" s="32">
        <f t="shared" si="5"/>
        <v>0</v>
      </c>
      <c r="F306" s="32">
        <f t="shared" si="5"/>
        <v>0</v>
      </c>
      <c r="G306" s="32">
        <f t="shared" si="5"/>
        <v>0</v>
      </c>
      <c r="H306" s="32">
        <f t="shared" si="5"/>
        <v>0</v>
      </c>
      <c r="I306" s="32">
        <f t="shared" si="5"/>
        <v>0</v>
      </c>
      <c r="J306" s="32">
        <f t="shared" si="5"/>
        <v>0</v>
      </c>
      <c r="K306" s="32">
        <f t="shared" si="4"/>
        <v>0</v>
      </c>
      <c r="L306" s="32">
        <f t="shared" si="4"/>
        <v>0</v>
      </c>
      <c r="M306" s="32"/>
      <c r="N306" s="32"/>
    </row>
    <row r="307" spans="1:14" x14ac:dyDescent="0.2">
      <c r="A307" s="5">
        <v>0</v>
      </c>
      <c r="B307" s="32">
        <f t="shared" si="5"/>
        <v>1234</v>
      </c>
      <c r="C307" s="32">
        <f t="shared" si="5"/>
        <v>4.6500000000000004</v>
      </c>
      <c r="D307" s="32">
        <f t="shared" si="5"/>
        <v>1234</v>
      </c>
      <c r="E307" s="32">
        <f t="shared" si="5"/>
        <v>0</v>
      </c>
      <c r="F307" s="32">
        <f t="shared" si="5"/>
        <v>0</v>
      </c>
      <c r="G307" s="32">
        <f t="shared" si="5"/>
        <v>0</v>
      </c>
      <c r="H307" s="32">
        <f t="shared" si="5"/>
        <v>0</v>
      </c>
      <c r="I307" s="32">
        <f t="shared" si="5"/>
        <v>0</v>
      </c>
      <c r="J307" s="32">
        <f t="shared" si="5"/>
        <v>0</v>
      </c>
      <c r="K307" s="32">
        <f t="shared" si="4"/>
        <v>0</v>
      </c>
      <c r="L307" s="32">
        <f t="shared" si="4"/>
        <v>0</v>
      </c>
      <c r="M307" s="32"/>
      <c r="N307" s="32"/>
    </row>
    <row r="308" spans="1:14" x14ac:dyDescent="0.2">
      <c r="A308" s="5">
        <v>0</v>
      </c>
      <c r="B308" s="32">
        <f t="shared" si="5"/>
        <v>1234</v>
      </c>
      <c r="C308" s="32">
        <f t="shared" si="5"/>
        <v>4.6500000000000004</v>
      </c>
      <c r="D308" s="32">
        <f t="shared" si="5"/>
        <v>1234</v>
      </c>
      <c r="E308" s="32">
        <f t="shared" si="5"/>
        <v>0</v>
      </c>
      <c r="F308" s="32">
        <f t="shared" si="5"/>
        <v>0</v>
      </c>
      <c r="G308" s="32">
        <f t="shared" si="5"/>
        <v>0</v>
      </c>
      <c r="H308" s="32">
        <f t="shared" si="5"/>
        <v>0</v>
      </c>
      <c r="I308" s="32">
        <f t="shared" si="5"/>
        <v>0</v>
      </c>
      <c r="J308" s="32">
        <f t="shared" si="5"/>
        <v>0</v>
      </c>
      <c r="K308" s="32">
        <f t="shared" si="4"/>
        <v>0</v>
      </c>
      <c r="L308" s="32">
        <f t="shared" si="4"/>
        <v>0</v>
      </c>
      <c r="M308" s="32"/>
      <c r="N308" s="32"/>
    </row>
    <row r="309" spans="1:14" x14ac:dyDescent="0.2">
      <c r="A309" s="5">
        <v>0</v>
      </c>
      <c r="B309" s="32">
        <f t="shared" si="5"/>
        <v>1234</v>
      </c>
      <c r="C309" s="32">
        <f t="shared" si="5"/>
        <v>4.6500000000000004</v>
      </c>
      <c r="D309" s="32">
        <f t="shared" si="5"/>
        <v>1234</v>
      </c>
      <c r="E309" s="32">
        <f t="shared" si="5"/>
        <v>0</v>
      </c>
      <c r="F309" s="32">
        <f t="shared" si="5"/>
        <v>0</v>
      </c>
      <c r="G309" s="32">
        <f t="shared" si="5"/>
        <v>0</v>
      </c>
      <c r="H309" s="32">
        <f t="shared" si="5"/>
        <v>0</v>
      </c>
      <c r="I309" s="32">
        <f t="shared" si="5"/>
        <v>0</v>
      </c>
      <c r="J309" s="32">
        <f t="shared" si="5"/>
        <v>0</v>
      </c>
      <c r="K309" s="32">
        <f t="shared" si="4"/>
        <v>0</v>
      </c>
      <c r="L309" s="32">
        <f t="shared" si="4"/>
        <v>0</v>
      </c>
      <c r="M309" s="32"/>
      <c r="N309" s="32"/>
    </row>
    <row r="310" spans="1:14" x14ac:dyDescent="0.2">
      <c r="A310" s="5">
        <v>0</v>
      </c>
      <c r="B310" s="32">
        <f t="shared" si="5"/>
        <v>1234</v>
      </c>
      <c r="C310" s="32">
        <f t="shared" si="5"/>
        <v>4.6500000000000004</v>
      </c>
      <c r="D310" s="32">
        <f t="shared" si="5"/>
        <v>1234</v>
      </c>
      <c r="E310" s="32">
        <f t="shared" si="5"/>
        <v>0</v>
      </c>
      <c r="F310" s="32">
        <f t="shared" si="5"/>
        <v>0</v>
      </c>
      <c r="G310" s="32">
        <f t="shared" si="5"/>
        <v>0</v>
      </c>
      <c r="H310" s="32">
        <f t="shared" si="5"/>
        <v>0</v>
      </c>
      <c r="I310" s="32">
        <f t="shared" si="5"/>
        <v>0</v>
      </c>
      <c r="J310" s="32">
        <f t="shared" si="5"/>
        <v>0</v>
      </c>
      <c r="K310" s="32">
        <f t="shared" si="4"/>
        <v>0</v>
      </c>
      <c r="L310" s="32">
        <f t="shared" si="4"/>
        <v>0</v>
      </c>
      <c r="M310" s="32"/>
      <c r="N310" s="32"/>
    </row>
    <row r="311" spans="1:14" x14ac:dyDescent="0.2">
      <c r="A311" s="5">
        <v>0</v>
      </c>
      <c r="B311" s="32">
        <f t="shared" si="5"/>
        <v>1234</v>
      </c>
      <c r="C311" s="32">
        <f t="shared" si="5"/>
        <v>4.6500000000000004</v>
      </c>
      <c r="D311" s="32">
        <f t="shared" si="5"/>
        <v>1234</v>
      </c>
      <c r="E311" s="32">
        <f t="shared" si="5"/>
        <v>0</v>
      </c>
      <c r="F311" s="32">
        <f t="shared" si="5"/>
        <v>0</v>
      </c>
      <c r="G311" s="32">
        <f t="shared" si="5"/>
        <v>0</v>
      </c>
      <c r="H311" s="32">
        <f t="shared" si="5"/>
        <v>0</v>
      </c>
      <c r="I311" s="32">
        <f t="shared" si="5"/>
        <v>0</v>
      </c>
      <c r="J311" s="32">
        <f t="shared" si="5"/>
        <v>0</v>
      </c>
      <c r="K311" s="32">
        <f t="shared" si="4"/>
        <v>0</v>
      </c>
      <c r="L311" s="32">
        <f t="shared" si="4"/>
        <v>0</v>
      </c>
      <c r="M311" s="32"/>
      <c r="N311" s="32"/>
    </row>
    <row r="312" spans="1:14" x14ac:dyDescent="0.2">
      <c r="A312" s="5">
        <v>0</v>
      </c>
      <c r="B312" s="32">
        <f t="shared" si="5"/>
        <v>1234</v>
      </c>
      <c r="C312" s="32">
        <f t="shared" si="5"/>
        <v>4.6500000000000004</v>
      </c>
      <c r="D312" s="32">
        <f t="shared" si="5"/>
        <v>1234</v>
      </c>
      <c r="E312" s="32">
        <f t="shared" si="5"/>
        <v>0</v>
      </c>
      <c r="F312" s="32">
        <f t="shared" si="5"/>
        <v>0</v>
      </c>
      <c r="G312" s="32">
        <f t="shared" si="5"/>
        <v>0</v>
      </c>
      <c r="H312" s="32">
        <f t="shared" si="5"/>
        <v>0</v>
      </c>
      <c r="I312" s="32">
        <f t="shared" si="5"/>
        <v>0</v>
      </c>
      <c r="J312" s="32">
        <f t="shared" si="5"/>
        <v>0</v>
      </c>
      <c r="K312" s="32">
        <f t="shared" si="4"/>
        <v>0</v>
      </c>
      <c r="L312" s="32">
        <f t="shared" si="4"/>
        <v>0</v>
      </c>
      <c r="M312" s="32"/>
      <c r="N312" s="32"/>
    </row>
    <row r="313" spans="1:14" x14ac:dyDescent="0.2">
      <c r="A313" s="5">
        <v>0</v>
      </c>
      <c r="B313" s="32">
        <f t="shared" si="5"/>
        <v>1234</v>
      </c>
      <c r="C313" s="32">
        <f t="shared" si="5"/>
        <v>4.6500000000000004</v>
      </c>
      <c r="D313" s="32">
        <f t="shared" si="5"/>
        <v>1234</v>
      </c>
      <c r="E313" s="32">
        <f t="shared" si="5"/>
        <v>0</v>
      </c>
      <c r="F313" s="32">
        <f t="shared" si="5"/>
        <v>0</v>
      </c>
      <c r="G313" s="32">
        <f t="shared" si="5"/>
        <v>0</v>
      </c>
      <c r="H313" s="32">
        <f t="shared" si="5"/>
        <v>0</v>
      </c>
      <c r="I313" s="32">
        <f t="shared" si="5"/>
        <v>0</v>
      </c>
      <c r="J313" s="32">
        <f t="shared" si="5"/>
        <v>0</v>
      </c>
      <c r="K313" s="32">
        <f t="shared" si="4"/>
        <v>0</v>
      </c>
      <c r="L313" s="32">
        <f t="shared" si="4"/>
        <v>0</v>
      </c>
      <c r="M313" s="32"/>
      <c r="N313" s="32"/>
    </row>
    <row r="314" spans="1:14" x14ac:dyDescent="0.2">
      <c r="A314" s="5">
        <v>0</v>
      </c>
      <c r="B314" s="32">
        <f t="shared" si="5"/>
        <v>1234</v>
      </c>
      <c r="C314" s="32">
        <f t="shared" si="5"/>
        <v>4.6500000000000004</v>
      </c>
      <c r="D314" s="32">
        <f t="shared" si="5"/>
        <v>1234</v>
      </c>
      <c r="E314" s="32">
        <f t="shared" si="5"/>
        <v>0</v>
      </c>
      <c r="F314" s="32">
        <f t="shared" si="5"/>
        <v>0</v>
      </c>
      <c r="G314" s="32">
        <f t="shared" si="5"/>
        <v>0</v>
      </c>
      <c r="H314" s="32">
        <f t="shared" si="5"/>
        <v>0</v>
      </c>
      <c r="I314" s="32">
        <f t="shared" si="5"/>
        <v>0</v>
      </c>
      <c r="J314" s="32">
        <f t="shared" si="5"/>
        <v>0</v>
      </c>
      <c r="K314" s="32">
        <f t="shared" si="4"/>
        <v>0</v>
      </c>
      <c r="L314" s="32">
        <f t="shared" si="4"/>
        <v>0</v>
      </c>
      <c r="M314" s="32"/>
      <c r="N314" s="32"/>
    </row>
    <row r="315" spans="1:14" x14ac:dyDescent="0.2">
      <c r="A315" s="5">
        <v>0</v>
      </c>
      <c r="B315" s="32">
        <f t="shared" si="5"/>
        <v>1234</v>
      </c>
      <c r="C315" s="32">
        <f t="shared" si="5"/>
        <v>4.6500000000000004</v>
      </c>
      <c r="D315" s="32">
        <f t="shared" si="5"/>
        <v>1234</v>
      </c>
      <c r="E315" s="32">
        <f t="shared" si="5"/>
        <v>0</v>
      </c>
      <c r="F315" s="32">
        <f t="shared" si="5"/>
        <v>0</v>
      </c>
      <c r="G315" s="32">
        <f t="shared" si="5"/>
        <v>0</v>
      </c>
      <c r="H315" s="32">
        <f t="shared" si="5"/>
        <v>0</v>
      </c>
      <c r="I315" s="32">
        <f t="shared" si="5"/>
        <v>0</v>
      </c>
      <c r="J315" s="32">
        <f t="shared" si="5"/>
        <v>0</v>
      </c>
      <c r="K315" s="32">
        <f t="shared" si="4"/>
        <v>0</v>
      </c>
      <c r="L315" s="32">
        <f t="shared" si="4"/>
        <v>0</v>
      </c>
      <c r="M315" s="32"/>
      <c r="N315" s="32"/>
    </row>
    <row r="316" spans="1:14" x14ac:dyDescent="0.2">
      <c r="A316" s="5">
        <v>0</v>
      </c>
      <c r="B316" s="32">
        <f t="shared" si="5"/>
        <v>1234</v>
      </c>
      <c r="C316" s="32">
        <f t="shared" si="5"/>
        <v>4.6500000000000004</v>
      </c>
      <c r="D316" s="32">
        <f t="shared" si="5"/>
        <v>1234</v>
      </c>
      <c r="E316" s="32">
        <f t="shared" si="5"/>
        <v>0</v>
      </c>
      <c r="F316" s="32">
        <f t="shared" si="5"/>
        <v>0</v>
      </c>
      <c r="G316" s="32">
        <f t="shared" si="5"/>
        <v>0</v>
      </c>
      <c r="H316" s="32">
        <f t="shared" si="5"/>
        <v>0</v>
      </c>
      <c r="I316" s="32">
        <f t="shared" si="5"/>
        <v>0</v>
      </c>
      <c r="J316" s="32">
        <f t="shared" si="5"/>
        <v>0</v>
      </c>
      <c r="K316" s="32">
        <f t="shared" si="4"/>
        <v>0</v>
      </c>
      <c r="L316" s="32">
        <f t="shared" si="4"/>
        <v>0</v>
      </c>
      <c r="M316" s="32"/>
      <c r="N316" s="32"/>
    </row>
    <row r="317" spans="1:14" x14ac:dyDescent="0.2">
      <c r="A317" s="5">
        <v>0</v>
      </c>
      <c r="B317" s="32">
        <f t="shared" si="5"/>
        <v>1234</v>
      </c>
      <c r="C317" s="32">
        <f t="shared" si="5"/>
        <v>4.6500000000000004</v>
      </c>
      <c r="D317" s="32">
        <f t="shared" si="5"/>
        <v>1234</v>
      </c>
      <c r="E317" s="32">
        <f t="shared" si="5"/>
        <v>0</v>
      </c>
      <c r="F317" s="32">
        <f t="shared" si="5"/>
        <v>0</v>
      </c>
      <c r="G317" s="32">
        <f t="shared" si="5"/>
        <v>0</v>
      </c>
      <c r="H317" s="32">
        <f t="shared" si="5"/>
        <v>0</v>
      </c>
      <c r="I317" s="32">
        <f t="shared" si="5"/>
        <v>0</v>
      </c>
      <c r="J317" s="32">
        <f t="shared" si="5"/>
        <v>0</v>
      </c>
      <c r="K317" s="32">
        <f t="shared" si="4"/>
        <v>0</v>
      </c>
      <c r="L317" s="32">
        <f t="shared" si="4"/>
        <v>0</v>
      </c>
      <c r="M317" s="32"/>
      <c r="N317" s="32"/>
    </row>
    <row r="318" spans="1:14" x14ac:dyDescent="0.2">
      <c r="A318" s="5">
        <v>0</v>
      </c>
      <c r="B318" s="32">
        <f t="shared" si="5"/>
        <v>1234</v>
      </c>
      <c r="C318" s="32">
        <f t="shared" si="5"/>
        <v>4.6500000000000004</v>
      </c>
      <c r="D318" s="32">
        <f t="shared" si="5"/>
        <v>1234</v>
      </c>
      <c r="E318" s="32">
        <f t="shared" si="5"/>
        <v>0</v>
      </c>
      <c r="F318" s="32">
        <f t="shared" si="5"/>
        <v>0</v>
      </c>
      <c r="G318" s="32">
        <f t="shared" si="5"/>
        <v>0</v>
      </c>
      <c r="H318" s="32">
        <f t="shared" si="5"/>
        <v>0</v>
      </c>
      <c r="I318" s="32">
        <f t="shared" si="5"/>
        <v>0</v>
      </c>
      <c r="J318" s="32">
        <f t="shared" si="5"/>
        <v>0</v>
      </c>
      <c r="K318" s="32">
        <f t="shared" ref="K318:L349" si="6">O41</f>
        <v>0</v>
      </c>
      <c r="L318" s="32">
        <f t="shared" si="6"/>
        <v>0</v>
      </c>
      <c r="M318" s="32"/>
      <c r="N318" s="32"/>
    </row>
    <row r="319" spans="1:14" x14ac:dyDescent="0.2">
      <c r="A319" s="5">
        <v>0</v>
      </c>
      <c r="B319" s="32">
        <f t="shared" si="5"/>
        <v>1234</v>
      </c>
      <c r="C319" s="32">
        <f t="shared" si="5"/>
        <v>4.6500000000000004</v>
      </c>
      <c r="D319" s="32">
        <f t="shared" si="5"/>
        <v>1234</v>
      </c>
      <c r="E319" s="32">
        <f t="shared" si="5"/>
        <v>0</v>
      </c>
      <c r="F319" s="32">
        <f t="shared" si="5"/>
        <v>0</v>
      </c>
      <c r="G319" s="32">
        <f t="shared" si="5"/>
        <v>0</v>
      </c>
      <c r="H319" s="32">
        <f t="shared" si="5"/>
        <v>0</v>
      </c>
      <c r="I319" s="32">
        <f t="shared" si="5"/>
        <v>0</v>
      </c>
      <c r="J319" s="32">
        <f t="shared" si="5"/>
        <v>0</v>
      </c>
      <c r="K319" s="32">
        <f t="shared" si="6"/>
        <v>0</v>
      </c>
      <c r="L319" s="32">
        <f t="shared" si="6"/>
        <v>0</v>
      </c>
      <c r="M319" s="32"/>
      <c r="N319" s="32"/>
    </row>
    <row r="320" spans="1:14" x14ac:dyDescent="0.2">
      <c r="A320" s="5">
        <v>0</v>
      </c>
      <c r="B320" s="32">
        <f t="shared" si="5"/>
        <v>1234</v>
      </c>
      <c r="C320" s="32">
        <f t="shared" si="5"/>
        <v>4.6500000000000004</v>
      </c>
      <c r="D320" s="32">
        <f t="shared" si="5"/>
        <v>1234</v>
      </c>
      <c r="E320" s="32">
        <f t="shared" si="5"/>
        <v>0</v>
      </c>
      <c r="F320" s="32">
        <f t="shared" si="5"/>
        <v>0</v>
      </c>
      <c r="G320" s="32">
        <f t="shared" si="5"/>
        <v>0</v>
      </c>
      <c r="H320" s="32">
        <f t="shared" si="5"/>
        <v>0</v>
      </c>
      <c r="I320" s="32">
        <f t="shared" si="5"/>
        <v>0</v>
      </c>
      <c r="J320" s="32">
        <f t="shared" si="5"/>
        <v>0</v>
      </c>
      <c r="K320" s="32">
        <f t="shared" si="6"/>
        <v>0</v>
      </c>
      <c r="L320" s="32">
        <f t="shared" si="6"/>
        <v>0</v>
      </c>
      <c r="M320" s="32"/>
      <c r="N320" s="32"/>
    </row>
    <row r="321" spans="1:14" x14ac:dyDescent="0.2">
      <c r="A321" s="5">
        <v>0</v>
      </c>
      <c r="B321" s="32">
        <f t="shared" si="5"/>
        <v>1234</v>
      </c>
      <c r="C321" s="32">
        <f t="shared" si="5"/>
        <v>4.6500000000000004</v>
      </c>
      <c r="D321" s="32">
        <f t="shared" si="5"/>
        <v>1234</v>
      </c>
      <c r="E321" s="32">
        <f t="shared" si="5"/>
        <v>0</v>
      </c>
      <c r="F321" s="32">
        <f t="shared" si="5"/>
        <v>0</v>
      </c>
      <c r="G321" s="32">
        <f t="shared" si="5"/>
        <v>0</v>
      </c>
      <c r="H321" s="32">
        <f t="shared" si="5"/>
        <v>0</v>
      </c>
      <c r="I321" s="32">
        <f t="shared" si="5"/>
        <v>0</v>
      </c>
      <c r="J321" s="32">
        <f t="shared" si="5"/>
        <v>0</v>
      </c>
      <c r="K321" s="32">
        <f t="shared" si="6"/>
        <v>0</v>
      </c>
      <c r="L321" s="32">
        <f t="shared" si="6"/>
        <v>0</v>
      </c>
      <c r="M321" s="32"/>
      <c r="N321" s="32"/>
    </row>
    <row r="322" spans="1:14" x14ac:dyDescent="0.2">
      <c r="A322" s="5">
        <v>0</v>
      </c>
      <c r="B322" s="32">
        <f t="shared" si="5"/>
        <v>1234</v>
      </c>
      <c r="C322" s="32">
        <f t="shared" si="5"/>
        <v>4.6500000000000004</v>
      </c>
      <c r="D322" s="32">
        <f t="shared" si="5"/>
        <v>1234</v>
      </c>
      <c r="E322" s="32">
        <f t="shared" si="5"/>
        <v>0</v>
      </c>
      <c r="F322" s="32">
        <f t="shared" si="5"/>
        <v>0</v>
      </c>
      <c r="G322" s="32">
        <f t="shared" si="5"/>
        <v>0</v>
      </c>
      <c r="H322" s="32">
        <f t="shared" si="5"/>
        <v>0</v>
      </c>
      <c r="I322" s="32">
        <f t="shared" si="5"/>
        <v>0</v>
      </c>
      <c r="J322" s="32">
        <f t="shared" si="5"/>
        <v>0</v>
      </c>
      <c r="K322" s="32">
        <f t="shared" si="6"/>
        <v>0</v>
      </c>
      <c r="L322" s="32">
        <f t="shared" si="6"/>
        <v>0</v>
      </c>
      <c r="M322" s="32"/>
      <c r="N322" s="32"/>
    </row>
    <row r="323" spans="1:14" x14ac:dyDescent="0.2">
      <c r="A323" s="5">
        <v>0</v>
      </c>
      <c r="B323" s="32">
        <f t="shared" si="5"/>
        <v>1234</v>
      </c>
      <c r="C323" s="32">
        <f t="shared" si="5"/>
        <v>4.6500000000000004</v>
      </c>
      <c r="D323" s="32">
        <f t="shared" si="5"/>
        <v>1234</v>
      </c>
      <c r="E323" s="32">
        <f t="shared" si="5"/>
        <v>0</v>
      </c>
      <c r="F323" s="32">
        <f t="shared" si="5"/>
        <v>0</v>
      </c>
      <c r="G323" s="32">
        <f t="shared" si="5"/>
        <v>0</v>
      </c>
      <c r="H323" s="32">
        <f t="shared" si="5"/>
        <v>0</v>
      </c>
      <c r="I323" s="32">
        <f t="shared" si="5"/>
        <v>0</v>
      </c>
      <c r="J323" s="32">
        <f t="shared" si="5"/>
        <v>0</v>
      </c>
      <c r="K323" s="32">
        <f t="shared" si="6"/>
        <v>0</v>
      </c>
      <c r="L323" s="32">
        <f t="shared" si="6"/>
        <v>0</v>
      </c>
      <c r="M323" s="32"/>
      <c r="N323" s="32"/>
    </row>
    <row r="324" spans="1:14" x14ac:dyDescent="0.2">
      <c r="A324" s="5">
        <v>0</v>
      </c>
      <c r="B324" s="32">
        <f t="shared" si="5"/>
        <v>1234</v>
      </c>
      <c r="C324" s="32">
        <f t="shared" si="5"/>
        <v>4.6500000000000004</v>
      </c>
      <c r="D324" s="32">
        <f t="shared" si="5"/>
        <v>1234</v>
      </c>
      <c r="E324" s="32">
        <f t="shared" si="5"/>
        <v>0</v>
      </c>
      <c r="F324" s="32">
        <f t="shared" si="5"/>
        <v>0</v>
      </c>
      <c r="G324" s="32">
        <f t="shared" si="5"/>
        <v>0</v>
      </c>
      <c r="H324" s="32">
        <f t="shared" si="5"/>
        <v>0</v>
      </c>
      <c r="I324" s="32">
        <f t="shared" si="5"/>
        <v>0</v>
      </c>
      <c r="J324" s="32">
        <f t="shared" si="5"/>
        <v>0</v>
      </c>
      <c r="K324" s="32">
        <f t="shared" si="6"/>
        <v>0</v>
      </c>
      <c r="L324" s="32">
        <f t="shared" si="6"/>
        <v>0</v>
      </c>
      <c r="M324" s="32"/>
      <c r="N324" s="32"/>
    </row>
    <row r="325" spans="1:14" x14ac:dyDescent="0.2">
      <c r="A325" s="5">
        <v>0</v>
      </c>
      <c r="B325" s="32">
        <f t="shared" ref="B325:J353" si="7">D48</f>
        <v>1234</v>
      </c>
      <c r="C325" s="32">
        <f t="shared" si="7"/>
        <v>4.6500000000000004</v>
      </c>
      <c r="D325" s="32">
        <f t="shared" si="7"/>
        <v>1234</v>
      </c>
      <c r="E325" s="32">
        <f t="shared" si="7"/>
        <v>0</v>
      </c>
      <c r="F325" s="32">
        <f t="shared" si="7"/>
        <v>0</v>
      </c>
      <c r="G325" s="32">
        <f t="shared" si="7"/>
        <v>0</v>
      </c>
      <c r="H325" s="32">
        <f t="shared" si="7"/>
        <v>0</v>
      </c>
      <c r="I325" s="32">
        <f t="shared" si="7"/>
        <v>0</v>
      </c>
      <c r="J325" s="32">
        <f t="shared" si="7"/>
        <v>0</v>
      </c>
      <c r="K325" s="32">
        <f t="shared" si="6"/>
        <v>0</v>
      </c>
      <c r="L325" s="32">
        <f t="shared" si="6"/>
        <v>0</v>
      </c>
      <c r="M325" s="32"/>
      <c r="N325" s="32"/>
    </row>
    <row r="326" spans="1:14" x14ac:dyDescent="0.2">
      <c r="A326" s="5">
        <v>0</v>
      </c>
      <c r="B326" s="32">
        <f t="shared" si="7"/>
        <v>1234</v>
      </c>
      <c r="C326" s="32">
        <f t="shared" si="7"/>
        <v>4.6500000000000004</v>
      </c>
      <c r="D326" s="32">
        <f t="shared" si="7"/>
        <v>1234</v>
      </c>
      <c r="E326" s="32">
        <f t="shared" si="7"/>
        <v>0</v>
      </c>
      <c r="F326" s="32">
        <f t="shared" si="7"/>
        <v>0</v>
      </c>
      <c r="G326" s="32">
        <f t="shared" si="7"/>
        <v>0</v>
      </c>
      <c r="H326" s="32">
        <f t="shared" si="7"/>
        <v>0</v>
      </c>
      <c r="I326" s="32">
        <f t="shared" si="7"/>
        <v>0</v>
      </c>
      <c r="J326" s="32">
        <f t="shared" si="7"/>
        <v>0</v>
      </c>
      <c r="K326" s="32">
        <f t="shared" si="6"/>
        <v>0</v>
      </c>
      <c r="L326" s="32">
        <f t="shared" si="6"/>
        <v>0</v>
      </c>
      <c r="M326" s="32"/>
      <c r="N326" s="32"/>
    </row>
    <row r="327" spans="1:14" x14ac:dyDescent="0.2">
      <c r="A327" s="5">
        <v>0</v>
      </c>
      <c r="B327" s="32">
        <f t="shared" si="7"/>
        <v>1234</v>
      </c>
      <c r="C327" s="32">
        <f t="shared" si="7"/>
        <v>4.6500000000000004</v>
      </c>
      <c r="D327" s="32">
        <f t="shared" si="7"/>
        <v>1234</v>
      </c>
      <c r="E327" s="32">
        <f t="shared" si="7"/>
        <v>0</v>
      </c>
      <c r="F327" s="32">
        <f t="shared" si="7"/>
        <v>0</v>
      </c>
      <c r="G327" s="32">
        <f t="shared" si="7"/>
        <v>0</v>
      </c>
      <c r="H327" s="32">
        <f t="shared" si="7"/>
        <v>0</v>
      </c>
      <c r="I327" s="32">
        <f t="shared" si="7"/>
        <v>0</v>
      </c>
      <c r="J327" s="32">
        <f t="shared" si="7"/>
        <v>0</v>
      </c>
      <c r="K327" s="32">
        <f t="shared" si="6"/>
        <v>0</v>
      </c>
      <c r="L327" s="32">
        <f t="shared" si="6"/>
        <v>0</v>
      </c>
      <c r="M327" s="32"/>
      <c r="N327" s="32"/>
    </row>
    <row r="328" spans="1:14" x14ac:dyDescent="0.2">
      <c r="A328" s="5">
        <v>0</v>
      </c>
      <c r="B328" s="32">
        <f t="shared" si="7"/>
        <v>1234</v>
      </c>
      <c r="C328" s="32">
        <f t="shared" si="7"/>
        <v>4.6500000000000004</v>
      </c>
      <c r="D328" s="32">
        <f t="shared" si="7"/>
        <v>1234</v>
      </c>
      <c r="E328" s="32">
        <f t="shared" si="7"/>
        <v>0</v>
      </c>
      <c r="F328" s="32">
        <f t="shared" si="7"/>
        <v>0</v>
      </c>
      <c r="G328" s="32">
        <f t="shared" si="7"/>
        <v>0</v>
      </c>
      <c r="H328" s="32">
        <f t="shared" si="7"/>
        <v>0</v>
      </c>
      <c r="I328" s="32">
        <f t="shared" si="7"/>
        <v>0</v>
      </c>
      <c r="J328" s="32">
        <f t="shared" si="7"/>
        <v>0</v>
      </c>
      <c r="K328" s="32">
        <f t="shared" si="6"/>
        <v>0</v>
      </c>
      <c r="L328" s="32">
        <f t="shared" si="6"/>
        <v>0</v>
      </c>
      <c r="M328" s="32"/>
      <c r="N328" s="32"/>
    </row>
    <row r="329" spans="1:14" x14ac:dyDescent="0.2">
      <c r="A329" s="5">
        <v>0</v>
      </c>
      <c r="B329" s="32">
        <f t="shared" si="7"/>
        <v>1234</v>
      </c>
      <c r="C329" s="32">
        <f t="shared" si="7"/>
        <v>4.6500000000000004</v>
      </c>
      <c r="D329" s="32">
        <f t="shared" si="7"/>
        <v>1234</v>
      </c>
      <c r="E329" s="32">
        <f t="shared" si="7"/>
        <v>0</v>
      </c>
      <c r="F329" s="32">
        <f t="shared" si="7"/>
        <v>0</v>
      </c>
      <c r="G329" s="32">
        <f t="shared" si="7"/>
        <v>0</v>
      </c>
      <c r="H329" s="32">
        <f t="shared" si="7"/>
        <v>0</v>
      </c>
      <c r="I329" s="32">
        <f t="shared" si="7"/>
        <v>0</v>
      </c>
      <c r="J329" s="32">
        <f t="shared" si="7"/>
        <v>0</v>
      </c>
      <c r="K329" s="32">
        <f t="shared" si="6"/>
        <v>0</v>
      </c>
      <c r="L329" s="32">
        <f t="shared" si="6"/>
        <v>0</v>
      </c>
      <c r="M329" s="32"/>
      <c r="N329" s="32"/>
    </row>
    <row r="330" spans="1:14" x14ac:dyDescent="0.2">
      <c r="A330" s="5">
        <v>0</v>
      </c>
      <c r="B330" s="32">
        <f t="shared" si="7"/>
        <v>1234</v>
      </c>
      <c r="C330" s="32">
        <f t="shared" si="7"/>
        <v>4.6500000000000004</v>
      </c>
      <c r="D330" s="32">
        <f t="shared" si="7"/>
        <v>1234</v>
      </c>
      <c r="E330" s="32">
        <f t="shared" si="7"/>
        <v>0</v>
      </c>
      <c r="F330" s="32">
        <f t="shared" si="7"/>
        <v>0</v>
      </c>
      <c r="G330" s="32">
        <f t="shared" si="7"/>
        <v>0</v>
      </c>
      <c r="H330" s="32">
        <f t="shared" si="7"/>
        <v>0</v>
      </c>
      <c r="I330" s="32">
        <f t="shared" si="7"/>
        <v>0</v>
      </c>
      <c r="J330" s="32">
        <f t="shared" si="7"/>
        <v>0</v>
      </c>
      <c r="K330" s="32">
        <f t="shared" si="6"/>
        <v>0</v>
      </c>
      <c r="L330" s="32">
        <f t="shared" si="6"/>
        <v>0</v>
      </c>
      <c r="M330" s="32"/>
      <c r="N330" s="32"/>
    </row>
    <row r="331" spans="1:14" x14ac:dyDescent="0.2">
      <c r="A331" s="5">
        <v>0</v>
      </c>
      <c r="B331" s="32">
        <f t="shared" si="7"/>
        <v>1234</v>
      </c>
      <c r="C331" s="32">
        <f t="shared" si="7"/>
        <v>4.6500000000000004</v>
      </c>
      <c r="D331" s="32">
        <f t="shared" si="7"/>
        <v>1234</v>
      </c>
      <c r="E331" s="32">
        <f t="shared" si="7"/>
        <v>0</v>
      </c>
      <c r="F331" s="32">
        <f t="shared" si="7"/>
        <v>0</v>
      </c>
      <c r="G331" s="32">
        <f t="shared" si="7"/>
        <v>0</v>
      </c>
      <c r="H331" s="32">
        <f t="shared" si="7"/>
        <v>0</v>
      </c>
      <c r="I331" s="32">
        <f t="shared" si="7"/>
        <v>0</v>
      </c>
      <c r="J331" s="32">
        <f t="shared" si="7"/>
        <v>0</v>
      </c>
      <c r="K331" s="32">
        <f t="shared" si="6"/>
        <v>0</v>
      </c>
      <c r="L331" s="32">
        <f t="shared" si="6"/>
        <v>0</v>
      </c>
      <c r="M331" s="32"/>
      <c r="N331" s="32"/>
    </row>
    <row r="332" spans="1:14" x14ac:dyDescent="0.2">
      <c r="A332" s="5">
        <v>0</v>
      </c>
      <c r="B332" s="32">
        <f t="shared" si="7"/>
        <v>1234</v>
      </c>
      <c r="C332" s="32">
        <f t="shared" si="7"/>
        <v>4.6500000000000004</v>
      </c>
      <c r="D332" s="32">
        <f t="shared" si="7"/>
        <v>1234</v>
      </c>
      <c r="E332" s="32">
        <f t="shared" si="7"/>
        <v>0</v>
      </c>
      <c r="F332" s="32">
        <f t="shared" si="7"/>
        <v>0</v>
      </c>
      <c r="G332" s="32">
        <f t="shared" si="7"/>
        <v>0</v>
      </c>
      <c r="H332" s="32">
        <f t="shared" si="7"/>
        <v>0</v>
      </c>
      <c r="I332" s="32">
        <f t="shared" si="7"/>
        <v>0</v>
      </c>
      <c r="J332" s="32">
        <f t="shared" si="7"/>
        <v>0</v>
      </c>
      <c r="K332" s="32">
        <f t="shared" si="6"/>
        <v>0</v>
      </c>
      <c r="L332" s="32">
        <f t="shared" si="6"/>
        <v>0</v>
      </c>
      <c r="M332" s="32"/>
      <c r="N332" s="32"/>
    </row>
    <row r="333" spans="1:14" x14ac:dyDescent="0.2">
      <c r="A333" s="5">
        <v>0</v>
      </c>
      <c r="B333" s="32">
        <f t="shared" si="7"/>
        <v>1234</v>
      </c>
      <c r="C333" s="32">
        <f t="shared" si="7"/>
        <v>4.6500000000000004</v>
      </c>
      <c r="D333" s="32">
        <f t="shared" si="7"/>
        <v>1234</v>
      </c>
      <c r="E333" s="32">
        <f t="shared" si="7"/>
        <v>0</v>
      </c>
      <c r="F333" s="32">
        <f t="shared" si="7"/>
        <v>0</v>
      </c>
      <c r="G333" s="32">
        <f t="shared" si="7"/>
        <v>0</v>
      </c>
      <c r="H333" s="32">
        <f t="shared" si="7"/>
        <v>0</v>
      </c>
      <c r="I333" s="32">
        <f t="shared" si="7"/>
        <v>0</v>
      </c>
      <c r="J333" s="32">
        <f t="shared" si="7"/>
        <v>0</v>
      </c>
      <c r="K333" s="32">
        <f t="shared" si="6"/>
        <v>0</v>
      </c>
      <c r="L333" s="32">
        <f t="shared" si="6"/>
        <v>0</v>
      </c>
      <c r="M333" s="32"/>
      <c r="N333" s="32"/>
    </row>
    <row r="334" spans="1:14" x14ac:dyDescent="0.2">
      <c r="A334" s="5">
        <v>0</v>
      </c>
      <c r="B334" s="32">
        <f t="shared" si="7"/>
        <v>1234</v>
      </c>
      <c r="C334" s="32">
        <f t="shared" si="7"/>
        <v>4.6500000000000004</v>
      </c>
      <c r="D334" s="32">
        <f t="shared" si="7"/>
        <v>1234</v>
      </c>
      <c r="E334" s="32">
        <f t="shared" si="7"/>
        <v>0</v>
      </c>
      <c r="F334" s="32">
        <f t="shared" si="7"/>
        <v>0</v>
      </c>
      <c r="G334" s="32">
        <f t="shared" si="7"/>
        <v>0</v>
      </c>
      <c r="H334" s="32">
        <f t="shared" si="7"/>
        <v>0</v>
      </c>
      <c r="I334" s="32">
        <f t="shared" si="7"/>
        <v>0</v>
      </c>
      <c r="J334" s="32">
        <f t="shared" si="7"/>
        <v>0</v>
      </c>
      <c r="K334" s="32">
        <f t="shared" si="6"/>
        <v>0</v>
      </c>
      <c r="L334" s="32">
        <f t="shared" si="6"/>
        <v>0</v>
      </c>
      <c r="M334" s="32"/>
      <c r="N334" s="32"/>
    </row>
    <row r="335" spans="1:14" x14ac:dyDescent="0.2">
      <c r="A335" s="5">
        <v>0</v>
      </c>
      <c r="B335" s="32">
        <f t="shared" si="7"/>
        <v>1234</v>
      </c>
      <c r="C335" s="32">
        <f t="shared" si="7"/>
        <v>4.6500000000000004</v>
      </c>
      <c r="D335" s="32">
        <f t="shared" si="7"/>
        <v>1234</v>
      </c>
      <c r="E335" s="32">
        <f t="shared" si="7"/>
        <v>0</v>
      </c>
      <c r="F335" s="32">
        <f t="shared" si="7"/>
        <v>0</v>
      </c>
      <c r="G335" s="32">
        <f t="shared" si="7"/>
        <v>0</v>
      </c>
      <c r="H335" s="32">
        <f t="shared" si="7"/>
        <v>0</v>
      </c>
      <c r="I335" s="32">
        <f t="shared" si="7"/>
        <v>0</v>
      </c>
      <c r="J335" s="32">
        <f t="shared" si="7"/>
        <v>0</v>
      </c>
      <c r="K335" s="32">
        <f t="shared" si="6"/>
        <v>0</v>
      </c>
      <c r="L335" s="32">
        <f t="shared" si="6"/>
        <v>0</v>
      </c>
      <c r="M335" s="32"/>
      <c r="N335" s="32"/>
    </row>
    <row r="336" spans="1:14" x14ac:dyDescent="0.2">
      <c r="A336" s="5">
        <v>0</v>
      </c>
      <c r="B336" s="32">
        <f t="shared" si="7"/>
        <v>1234</v>
      </c>
      <c r="C336" s="32">
        <f t="shared" si="7"/>
        <v>4.6500000000000004</v>
      </c>
      <c r="D336" s="32">
        <f t="shared" si="7"/>
        <v>1234</v>
      </c>
      <c r="E336" s="32">
        <f t="shared" si="7"/>
        <v>0</v>
      </c>
      <c r="F336" s="32">
        <f t="shared" si="7"/>
        <v>0</v>
      </c>
      <c r="G336" s="32">
        <f t="shared" si="7"/>
        <v>0</v>
      </c>
      <c r="H336" s="32">
        <f t="shared" si="7"/>
        <v>0</v>
      </c>
      <c r="I336" s="32">
        <f t="shared" si="7"/>
        <v>0</v>
      </c>
      <c r="J336" s="32">
        <f t="shared" si="7"/>
        <v>0</v>
      </c>
      <c r="K336" s="32">
        <f t="shared" si="6"/>
        <v>0</v>
      </c>
      <c r="L336" s="32">
        <f t="shared" si="6"/>
        <v>0</v>
      </c>
      <c r="M336" s="32"/>
      <c r="N336" s="32"/>
    </row>
    <row r="337" spans="1:14" x14ac:dyDescent="0.2">
      <c r="A337" s="5">
        <v>0</v>
      </c>
      <c r="B337" s="32">
        <f t="shared" si="7"/>
        <v>1234</v>
      </c>
      <c r="C337" s="32">
        <f t="shared" si="7"/>
        <v>4.6500000000000004</v>
      </c>
      <c r="D337" s="32">
        <f t="shared" si="7"/>
        <v>1234</v>
      </c>
      <c r="E337" s="32">
        <f t="shared" si="7"/>
        <v>0</v>
      </c>
      <c r="F337" s="32">
        <f t="shared" si="7"/>
        <v>0</v>
      </c>
      <c r="G337" s="32">
        <f t="shared" si="7"/>
        <v>0</v>
      </c>
      <c r="H337" s="32">
        <f t="shared" si="7"/>
        <v>0</v>
      </c>
      <c r="I337" s="32">
        <f t="shared" si="7"/>
        <v>0</v>
      </c>
      <c r="J337" s="32">
        <f t="shared" si="7"/>
        <v>0</v>
      </c>
      <c r="K337" s="32">
        <f t="shared" si="6"/>
        <v>0</v>
      </c>
      <c r="L337" s="32">
        <f t="shared" si="6"/>
        <v>0</v>
      </c>
      <c r="M337" s="32"/>
      <c r="N337" s="32"/>
    </row>
    <row r="338" spans="1:14" x14ac:dyDescent="0.2">
      <c r="A338" s="5">
        <v>0</v>
      </c>
      <c r="B338" s="32">
        <f t="shared" si="7"/>
        <v>1234</v>
      </c>
      <c r="C338" s="32">
        <f t="shared" si="7"/>
        <v>4.6500000000000004</v>
      </c>
      <c r="D338" s="32">
        <f t="shared" si="7"/>
        <v>1234</v>
      </c>
      <c r="E338" s="32">
        <f t="shared" si="7"/>
        <v>0</v>
      </c>
      <c r="F338" s="32">
        <f t="shared" si="7"/>
        <v>0</v>
      </c>
      <c r="G338" s="32">
        <f t="shared" si="7"/>
        <v>0</v>
      </c>
      <c r="H338" s="32">
        <f t="shared" si="7"/>
        <v>0</v>
      </c>
      <c r="I338" s="32">
        <f t="shared" si="7"/>
        <v>0</v>
      </c>
      <c r="J338" s="32">
        <f t="shared" si="7"/>
        <v>0</v>
      </c>
      <c r="K338" s="32">
        <f t="shared" si="6"/>
        <v>0</v>
      </c>
      <c r="L338" s="32">
        <f t="shared" si="6"/>
        <v>0</v>
      </c>
      <c r="M338" s="32"/>
      <c r="N338" s="32"/>
    </row>
    <row r="339" spans="1:14" x14ac:dyDescent="0.2">
      <c r="A339" s="5">
        <v>0</v>
      </c>
      <c r="B339" s="32">
        <f t="shared" si="7"/>
        <v>1234</v>
      </c>
      <c r="C339" s="32">
        <f t="shared" si="7"/>
        <v>4.6500000000000004</v>
      </c>
      <c r="D339" s="32">
        <f t="shared" si="7"/>
        <v>1234</v>
      </c>
      <c r="E339" s="32">
        <f t="shared" si="7"/>
        <v>0</v>
      </c>
      <c r="F339" s="32">
        <f t="shared" si="7"/>
        <v>0</v>
      </c>
      <c r="G339" s="32">
        <f t="shared" si="7"/>
        <v>0</v>
      </c>
      <c r="H339" s="32">
        <f t="shared" si="7"/>
        <v>0</v>
      </c>
      <c r="I339" s="32">
        <f t="shared" si="7"/>
        <v>0</v>
      </c>
      <c r="J339" s="32">
        <f t="shared" si="7"/>
        <v>0</v>
      </c>
      <c r="K339" s="32">
        <f t="shared" si="6"/>
        <v>0</v>
      </c>
      <c r="L339" s="32">
        <f t="shared" si="6"/>
        <v>0</v>
      </c>
      <c r="M339" s="32"/>
      <c r="N339" s="32"/>
    </row>
    <row r="340" spans="1:14" x14ac:dyDescent="0.2">
      <c r="A340" s="5">
        <v>0</v>
      </c>
      <c r="B340" s="32">
        <f t="shared" si="7"/>
        <v>1234</v>
      </c>
      <c r="C340" s="32">
        <f t="shared" si="7"/>
        <v>4.6500000000000004</v>
      </c>
      <c r="D340" s="32">
        <f t="shared" si="7"/>
        <v>1234</v>
      </c>
      <c r="E340" s="32">
        <f t="shared" si="7"/>
        <v>0</v>
      </c>
      <c r="F340" s="32">
        <f t="shared" si="7"/>
        <v>0</v>
      </c>
      <c r="G340" s="32">
        <f t="shared" si="7"/>
        <v>0</v>
      </c>
      <c r="H340" s="32">
        <f t="shared" si="7"/>
        <v>0</v>
      </c>
      <c r="I340" s="32">
        <f t="shared" si="7"/>
        <v>0</v>
      </c>
      <c r="J340" s="32">
        <f t="shared" si="7"/>
        <v>0</v>
      </c>
      <c r="K340" s="32">
        <f t="shared" si="6"/>
        <v>0</v>
      </c>
      <c r="L340" s="32">
        <f t="shared" si="6"/>
        <v>0</v>
      </c>
      <c r="M340" s="32"/>
      <c r="N340" s="32"/>
    </row>
    <row r="341" spans="1:14" x14ac:dyDescent="0.2">
      <c r="A341" s="5">
        <v>0</v>
      </c>
      <c r="B341" s="32">
        <f t="shared" si="7"/>
        <v>1234</v>
      </c>
      <c r="C341" s="32">
        <f t="shared" si="7"/>
        <v>4.6500000000000004</v>
      </c>
      <c r="D341" s="32">
        <f t="shared" si="7"/>
        <v>1234</v>
      </c>
      <c r="E341" s="32">
        <f t="shared" si="7"/>
        <v>0</v>
      </c>
      <c r="F341" s="32">
        <f t="shared" si="7"/>
        <v>0</v>
      </c>
      <c r="G341" s="32">
        <f t="shared" si="7"/>
        <v>0</v>
      </c>
      <c r="H341" s="32">
        <f t="shared" si="7"/>
        <v>0</v>
      </c>
      <c r="I341" s="32">
        <f t="shared" si="7"/>
        <v>0</v>
      </c>
      <c r="J341" s="32">
        <f t="shared" si="7"/>
        <v>0</v>
      </c>
      <c r="K341" s="32">
        <f t="shared" si="6"/>
        <v>0</v>
      </c>
      <c r="L341" s="32">
        <f t="shared" si="6"/>
        <v>0</v>
      </c>
      <c r="M341" s="32"/>
      <c r="N341" s="32"/>
    </row>
    <row r="342" spans="1:14" x14ac:dyDescent="0.2">
      <c r="A342" s="5">
        <v>0</v>
      </c>
      <c r="B342" s="32">
        <f t="shared" si="7"/>
        <v>1234</v>
      </c>
      <c r="C342" s="32">
        <f t="shared" si="7"/>
        <v>4.6500000000000004</v>
      </c>
      <c r="D342" s="32">
        <f t="shared" si="7"/>
        <v>1234</v>
      </c>
      <c r="E342" s="32">
        <f t="shared" si="7"/>
        <v>0</v>
      </c>
      <c r="F342" s="32">
        <f t="shared" si="7"/>
        <v>0</v>
      </c>
      <c r="G342" s="32">
        <f t="shared" si="7"/>
        <v>0</v>
      </c>
      <c r="H342" s="32">
        <f t="shared" si="7"/>
        <v>0</v>
      </c>
      <c r="I342" s="32">
        <f t="shared" si="7"/>
        <v>0</v>
      </c>
      <c r="J342" s="32">
        <f t="shared" si="7"/>
        <v>0</v>
      </c>
      <c r="K342" s="32">
        <f t="shared" si="6"/>
        <v>0</v>
      </c>
      <c r="L342" s="32">
        <f t="shared" si="6"/>
        <v>0</v>
      </c>
      <c r="M342" s="32"/>
      <c r="N342" s="32"/>
    </row>
    <row r="343" spans="1:14" x14ac:dyDescent="0.2">
      <c r="A343" s="5">
        <v>0</v>
      </c>
      <c r="B343" s="32">
        <f t="shared" si="7"/>
        <v>1234</v>
      </c>
      <c r="C343" s="32">
        <f t="shared" si="7"/>
        <v>4.6500000000000004</v>
      </c>
      <c r="D343" s="32">
        <f t="shared" si="7"/>
        <v>1234</v>
      </c>
      <c r="E343" s="32">
        <f t="shared" si="7"/>
        <v>0</v>
      </c>
      <c r="F343" s="32">
        <f t="shared" si="7"/>
        <v>0</v>
      </c>
      <c r="G343" s="32">
        <f t="shared" si="7"/>
        <v>0</v>
      </c>
      <c r="H343" s="32">
        <f t="shared" si="7"/>
        <v>0</v>
      </c>
      <c r="I343" s="32">
        <f t="shared" si="7"/>
        <v>0</v>
      </c>
      <c r="J343" s="32">
        <f t="shared" si="7"/>
        <v>0</v>
      </c>
      <c r="K343" s="32">
        <f t="shared" si="6"/>
        <v>0</v>
      </c>
      <c r="L343" s="32">
        <f t="shared" si="6"/>
        <v>0</v>
      </c>
      <c r="M343" s="32"/>
      <c r="N343" s="32"/>
    </row>
    <row r="344" spans="1:14" x14ac:dyDescent="0.2">
      <c r="A344" s="5">
        <v>0</v>
      </c>
      <c r="B344" s="32">
        <f t="shared" si="7"/>
        <v>1234</v>
      </c>
      <c r="C344" s="32">
        <f t="shared" si="7"/>
        <v>4.6500000000000004</v>
      </c>
      <c r="D344" s="32">
        <f t="shared" si="7"/>
        <v>1234</v>
      </c>
      <c r="E344" s="32">
        <f t="shared" si="7"/>
        <v>0</v>
      </c>
      <c r="F344" s="32">
        <f t="shared" si="7"/>
        <v>0</v>
      </c>
      <c r="G344" s="32">
        <f t="shared" si="7"/>
        <v>0</v>
      </c>
      <c r="H344" s="32">
        <f t="shared" si="7"/>
        <v>0</v>
      </c>
      <c r="I344" s="32">
        <f t="shared" si="7"/>
        <v>0</v>
      </c>
      <c r="J344" s="32">
        <f t="shared" si="7"/>
        <v>0</v>
      </c>
      <c r="K344" s="32">
        <f t="shared" si="6"/>
        <v>0</v>
      </c>
      <c r="L344" s="32">
        <f t="shared" si="6"/>
        <v>0</v>
      </c>
      <c r="M344" s="32"/>
      <c r="N344" s="32"/>
    </row>
    <row r="345" spans="1:14" x14ac:dyDescent="0.2">
      <c r="A345" s="5">
        <v>0</v>
      </c>
      <c r="B345" s="32">
        <f t="shared" si="7"/>
        <v>1234</v>
      </c>
      <c r="C345" s="32">
        <f t="shared" si="7"/>
        <v>4.6500000000000004</v>
      </c>
      <c r="D345" s="32">
        <f t="shared" si="7"/>
        <v>1234</v>
      </c>
      <c r="E345" s="32">
        <f t="shared" si="7"/>
        <v>0</v>
      </c>
      <c r="F345" s="32">
        <f t="shared" si="7"/>
        <v>0</v>
      </c>
      <c r="G345" s="32">
        <f t="shared" si="7"/>
        <v>0</v>
      </c>
      <c r="H345" s="32">
        <f t="shared" si="7"/>
        <v>0</v>
      </c>
      <c r="I345" s="32">
        <f t="shared" si="7"/>
        <v>0</v>
      </c>
      <c r="J345" s="32">
        <f t="shared" si="7"/>
        <v>0</v>
      </c>
      <c r="K345" s="32">
        <f t="shared" si="6"/>
        <v>0</v>
      </c>
      <c r="L345" s="32">
        <f t="shared" si="6"/>
        <v>0</v>
      </c>
      <c r="M345" s="32"/>
      <c r="N345" s="32"/>
    </row>
    <row r="346" spans="1:14" x14ac:dyDescent="0.2">
      <c r="A346" s="5">
        <v>0</v>
      </c>
      <c r="B346" s="32">
        <f t="shared" si="7"/>
        <v>1234</v>
      </c>
      <c r="C346" s="32">
        <f t="shared" si="7"/>
        <v>4.6500000000000004</v>
      </c>
      <c r="D346" s="32">
        <f t="shared" si="7"/>
        <v>1234</v>
      </c>
      <c r="E346" s="32">
        <f t="shared" si="7"/>
        <v>0</v>
      </c>
      <c r="F346" s="32">
        <f t="shared" si="7"/>
        <v>0</v>
      </c>
      <c r="G346" s="32">
        <f t="shared" si="7"/>
        <v>0</v>
      </c>
      <c r="H346" s="32">
        <f t="shared" si="7"/>
        <v>0</v>
      </c>
      <c r="I346" s="32">
        <f t="shared" si="7"/>
        <v>0</v>
      </c>
      <c r="J346" s="32">
        <f t="shared" si="7"/>
        <v>0</v>
      </c>
      <c r="K346" s="32">
        <f t="shared" si="6"/>
        <v>0</v>
      </c>
      <c r="L346" s="32">
        <f t="shared" si="6"/>
        <v>0</v>
      </c>
      <c r="M346" s="32"/>
      <c r="N346" s="32"/>
    </row>
    <row r="347" spans="1:14" x14ac:dyDescent="0.2">
      <c r="A347" s="5">
        <v>0</v>
      </c>
      <c r="B347" s="32">
        <f t="shared" si="7"/>
        <v>1234</v>
      </c>
      <c r="C347" s="32">
        <f t="shared" si="7"/>
        <v>4.6500000000000004</v>
      </c>
      <c r="D347" s="32">
        <f t="shared" si="7"/>
        <v>1234</v>
      </c>
      <c r="E347" s="32">
        <f t="shared" si="7"/>
        <v>0</v>
      </c>
      <c r="F347" s="32">
        <f t="shared" si="7"/>
        <v>0</v>
      </c>
      <c r="G347" s="32">
        <f t="shared" si="7"/>
        <v>0</v>
      </c>
      <c r="H347" s="32">
        <f t="shared" si="7"/>
        <v>0</v>
      </c>
      <c r="I347" s="32">
        <f t="shared" si="7"/>
        <v>0</v>
      </c>
      <c r="J347" s="32">
        <f t="shared" si="7"/>
        <v>0</v>
      </c>
      <c r="K347" s="32">
        <f t="shared" si="6"/>
        <v>0</v>
      </c>
      <c r="L347" s="32">
        <f t="shared" si="6"/>
        <v>0</v>
      </c>
      <c r="M347" s="32"/>
      <c r="N347" s="32"/>
    </row>
    <row r="348" spans="1:14" x14ac:dyDescent="0.2">
      <c r="A348" s="5">
        <v>0</v>
      </c>
      <c r="B348" s="32">
        <f t="shared" si="7"/>
        <v>1234</v>
      </c>
      <c r="C348" s="32">
        <f t="shared" si="7"/>
        <v>4.6500000000000004</v>
      </c>
      <c r="D348" s="32">
        <f t="shared" si="7"/>
        <v>1234</v>
      </c>
      <c r="E348" s="32">
        <f t="shared" si="7"/>
        <v>0</v>
      </c>
      <c r="F348" s="32">
        <f t="shared" si="7"/>
        <v>0</v>
      </c>
      <c r="G348" s="32">
        <f t="shared" si="7"/>
        <v>0</v>
      </c>
      <c r="H348" s="32">
        <f t="shared" si="7"/>
        <v>0</v>
      </c>
      <c r="I348" s="32">
        <f t="shared" si="7"/>
        <v>0</v>
      </c>
      <c r="J348" s="32">
        <f t="shared" si="7"/>
        <v>0</v>
      </c>
      <c r="K348" s="32">
        <f t="shared" si="6"/>
        <v>0</v>
      </c>
      <c r="L348" s="32">
        <f t="shared" si="6"/>
        <v>0</v>
      </c>
      <c r="M348" s="32"/>
      <c r="N348" s="32"/>
    </row>
    <row r="349" spans="1:14" x14ac:dyDescent="0.2">
      <c r="A349" s="5">
        <v>0</v>
      </c>
      <c r="B349" s="32">
        <f t="shared" si="7"/>
        <v>1234</v>
      </c>
      <c r="C349" s="32">
        <f t="shared" si="7"/>
        <v>4.6500000000000004</v>
      </c>
      <c r="D349" s="32">
        <f t="shared" si="7"/>
        <v>1234</v>
      </c>
      <c r="E349" s="32">
        <f t="shared" si="7"/>
        <v>0</v>
      </c>
      <c r="F349" s="32">
        <f t="shared" si="7"/>
        <v>0</v>
      </c>
      <c r="G349" s="32">
        <f t="shared" si="7"/>
        <v>0</v>
      </c>
      <c r="H349" s="32">
        <f t="shared" si="7"/>
        <v>0</v>
      </c>
      <c r="I349" s="32">
        <f t="shared" si="7"/>
        <v>0</v>
      </c>
      <c r="J349" s="32">
        <f t="shared" si="7"/>
        <v>0</v>
      </c>
      <c r="K349" s="32">
        <f t="shared" si="6"/>
        <v>0</v>
      </c>
      <c r="L349" s="32">
        <f t="shared" si="6"/>
        <v>0</v>
      </c>
      <c r="M349" s="32"/>
      <c r="N349" s="32"/>
    </row>
    <row r="350" spans="1:14" x14ac:dyDescent="0.2">
      <c r="A350" s="5">
        <v>0</v>
      </c>
      <c r="B350" s="32">
        <f t="shared" si="7"/>
        <v>1234</v>
      </c>
      <c r="C350" s="32">
        <f t="shared" si="7"/>
        <v>4.6500000000000004</v>
      </c>
      <c r="D350" s="32">
        <f t="shared" si="7"/>
        <v>1234</v>
      </c>
      <c r="E350" s="32">
        <f t="shared" si="7"/>
        <v>0</v>
      </c>
      <c r="F350" s="32">
        <f t="shared" si="7"/>
        <v>0</v>
      </c>
      <c r="G350" s="32">
        <f t="shared" si="7"/>
        <v>0</v>
      </c>
      <c r="H350" s="32">
        <f t="shared" si="7"/>
        <v>0</v>
      </c>
      <c r="I350" s="32">
        <f t="shared" si="7"/>
        <v>0</v>
      </c>
      <c r="J350" s="32">
        <f t="shared" si="7"/>
        <v>0</v>
      </c>
      <c r="K350" s="32">
        <f t="shared" ref="K350:L381" si="8">O73</f>
        <v>0</v>
      </c>
      <c r="L350" s="32">
        <f t="shared" si="8"/>
        <v>0</v>
      </c>
      <c r="M350" s="32"/>
      <c r="N350" s="32"/>
    </row>
    <row r="351" spans="1:14" x14ac:dyDescent="0.2">
      <c r="A351" s="5">
        <v>0</v>
      </c>
      <c r="B351" s="32">
        <f t="shared" si="7"/>
        <v>1234</v>
      </c>
      <c r="C351" s="32">
        <f t="shared" si="7"/>
        <v>4.6500000000000004</v>
      </c>
      <c r="D351" s="32">
        <f t="shared" si="7"/>
        <v>1234</v>
      </c>
      <c r="E351" s="32">
        <f t="shared" si="7"/>
        <v>0</v>
      </c>
      <c r="F351" s="32">
        <f t="shared" si="7"/>
        <v>0</v>
      </c>
      <c r="G351" s="32">
        <f t="shared" si="7"/>
        <v>0</v>
      </c>
      <c r="H351" s="32">
        <f t="shared" si="7"/>
        <v>0</v>
      </c>
      <c r="I351" s="32">
        <f t="shared" si="7"/>
        <v>0</v>
      </c>
      <c r="J351" s="32">
        <f t="shared" si="7"/>
        <v>0</v>
      </c>
      <c r="K351" s="32">
        <f t="shared" si="8"/>
        <v>0</v>
      </c>
      <c r="L351" s="32">
        <f t="shared" si="8"/>
        <v>0</v>
      </c>
      <c r="M351" s="32"/>
      <c r="N351" s="32"/>
    </row>
    <row r="352" spans="1:14" x14ac:dyDescent="0.2">
      <c r="A352" s="5">
        <v>0</v>
      </c>
      <c r="B352" s="32">
        <f t="shared" si="7"/>
        <v>1234</v>
      </c>
      <c r="C352" s="32">
        <f t="shared" si="7"/>
        <v>4.6500000000000004</v>
      </c>
      <c r="D352" s="32">
        <f t="shared" si="7"/>
        <v>1234</v>
      </c>
      <c r="E352" s="32">
        <f t="shared" si="7"/>
        <v>0</v>
      </c>
      <c r="F352" s="32">
        <f t="shared" si="7"/>
        <v>0</v>
      </c>
      <c r="G352" s="32">
        <f t="shared" si="7"/>
        <v>0</v>
      </c>
      <c r="H352" s="32">
        <f t="shared" si="7"/>
        <v>0</v>
      </c>
      <c r="I352" s="32">
        <f t="shared" si="7"/>
        <v>0</v>
      </c>
      <c r="J352" s="32">
        <f t="shared" si="7"/>
        <v>0</v>
      </c>
      <c r="K352" s="32">
        <f t="shared" si="8"/>
        <v>0</v>
      </c>
      <c r="L352" s="32">
        <f t="shared" si="8"/>
        <v>0</v>
      </c>
      <c r="M352" s="32"/>
      <c r="N352" s="32"/>
    </row>
    <row r="353" spans="1:14" x14ac:dyDescent="0.2">
      <c r="A353" s="5">
        <v>0</v>
      </c>
      <c r="B353" s="32">
        <f t="shared" si="7"/>
        <v>1234</v>
      </c>
      <c r="C353" s="32">
        <f t="shared" si="7"/>
        <v>4.6500000000000004</v>
      </c>
      <c r="D353" s="32">
        <f t="shared" si="7"/>
        <v>1234</v>
      </c>
      <c r="E353" s="32">
        <f t="shared" ref="B353:J381" si="9">G76</f>
        <v>0</v>
      </c>
      <c r="F353" s="32">
        <f t="shared" si="9"/>
        <v>0</v>
      </c>
      <c r="G353" s="32">
        <f t="shared" si="9"/>
        <v>0</v>
      </c>
      <c r="H353" s="32">
        <f t="shared" si="9"/>
        <v>0</v>
      </c>
      <c r="I353" s="32">
        <f t="shared" si="9"/>
        <v>0</v>
      </c>
      <c r="J353" s="32">
        <f t="shared" si="9"/>
        <v>0</v>
      </c>
      <c r="K353" s="32">
        <f t="shared" si="8"/>
        <v>0</v>
      </c>
      <c r="L353" s="32">
        <f t="shared" si="8"/>
        <v>0</v>
      </c>
      <c r="M353" s="32"/>
      <c r="N353" s="32"/>
    </row>
    <row r="354" spans="1:14" x14ac:dyDescent="0.2">
      <c r="A354" s="5">
        <v>0</v>
      </c>
      <c r="B354" s="32">
        <f t="shared" si="9"/>
        <v>1234</v>
      </c>
      <c r="C354" s="32">
        <f t="shared" si="9"/>
        <v>4.6500000000000004</v>
      </c>
      <c r="D354" s="32">
        <f t="shared" si="9"/>
        <v>1234</v>
      </c>
      <c r="E354" s="32">
        <f t="shared" si="9"/>
        <v>0</v>
      </c>
      <c r="F354" s="32">
        <f t="shared" si="9"/>
        <v>0</v>
      </c>
      <c r="G354" s="32">
        <f t="shared" si="9"/>
        <v>0</v>
      </c>
      <c r="H354" s="32">
        <f t="shared" si="9"/>
        <v>0</v>
      </c>
      <c r="I354" s="32">
        <f t="shared" si="9"/>
        <v>0</v>
      </c>
      <c r="J354" s="32">
        <f t="shared" si="9"/>
        <v>0</v>
      </c>
      <c r="K354" s="32">
        <f t="shared" si="8"/>
        <v>0</v>
      </c>
      <c r="L354" s="32">
        <f t="shared" si="8"/>
        <v>0</v>
      </c>
      <c r="M354" s="32"/>
      <c r="N354" s="32"/>
    </row>
    <row r="355" spans="1:14" x14ac:dyDescent="0.2">
      <c r="A355" s="5">
        <v>0</v>
      </c>
      <c r="B355" s="32">
        <f t="shared" si="9"/>
        <v>1234</v>
      </c>
      <c r="C355" s="32">
        <f t="shared" si="9"/>
        <v>4.6500000000000004</v>
      </c>
      <c r="D355" s="32">
        <f t="shared" si="9"/>
        <v>1234</v>
      </c>
      <c r="E355" s="32">
        <f t="shared" si="9"/>
        <v>0</v>
      </c>
      <c r="F355" s="32">
        <f t="shared" si="9"/>
        <v>0</v>
      </c>
      <c r="G355" s="32">
        <f t="shared" si="9"/>
        <v>0</v>
      </c>
      <c r="H355" s="32">
        <f t="shared" si="9"/>
        <v>0</v>
      </c>
      <c r="I355" s="32">
        <f t="shared" si="9"/>
        <v>0</v>
      </c>
      <c r="J355" s="32">
        <f t="shared" si="9"/>
        <v>0</v>
      </c>
      <c r="K355" s="32">
        <f t="shared" si="8"/>
        <v>0</v>
      </c>
      <c r="L355" s="32">
        <f t="shared" si="8"/>
        <v>0</v>
      </c>
      <c r="M355" s="32"/>
      <c r="N355" s="32"/>
    </row>
    <row r="356" spans="1:14" x14ac:dyDescent="0.2">
      <c r="A356" s="5">
        <v>0</v>
      </c>
      <c r="B356" s="32">
        <f t="shared" si="9"/>
        <v>1234</v>
      </c>
      <c r="C356" s="32">
        <f t="shared" si="9"/>
        <v>4.6500000000000004</v>
      </c>
      <c r="D356" s="32">
        <f t="shared" si="9"/>
        <v>1234</v>
      </c>
      <c r="E356" s="32">
        <f t="shared" si="9"/>
        <v>0</v>
      </c>
      <c r="F356" s="32">
        <f t="shared" si="9"/>
        <v>0</v>
      </c>
      <c r="G356" s="32">
        <f t="shared" si="9"/>
        <v>0</v>
      </c>
      <c r="H356" s="32">
        <f t="shared" si="9"/>
        <v>0</v>
      </c>
      <c r="I356" s="32">
        <f t="shared" si="9"/>
        <v>0</v>
      </c>
      <c r="J356" s="32">
        <f t="shared" si="9"/>
        <v>0</v>
      </c>
      <c r="K356" s="32">
        <f t="shared" si="8"/>
        <v>0</v>
      </c>
      <c r="L356" s="32">
        <f t="shared" si="8"/>
        <v>0</v>
      </c>
      <c r="M356" s="32"/>
      <c r="N356" s="32"/>
    </row>
    <row r="357" spans="1:14" x14ac:dyDescent="0.2">
      <c r="A357" s="5">
        <v>0</v>
      </c>
      <c r="B357" s="32">
        <f t="shared" si="9"/>
        <v>1234</v>
      </c>
      <c r="C357" s="32">
        <f t="shared" si="9"/>
        <v>4.6500000000000004</v>
      </c>
      <c r="D357" s="32">
        <f t="shared" si="9"/>
        <v>1234</v>
      </c>
      <c r="E357" s="32">
        <f t="shared" si="9"/>
        <v>0</v>
      </c>
      <c r="F357" s="32">
        <f t="shared" si="9"/>
        <v>0</v>
      </c>
      <c r="G357" s="32">
        <f t="shared" si="9"/>
        <v>0</v>
      </c>
      <c r="H357" s="32">
        <f t="shared" si="9"/>
        <v>0</v>
      </c>
      <c r="I357" s="32">
        <f t="shared" si="9"/>
        <v>0</v>
      </c>
      <c r="J357" s="32">
        <f t="shared" si="9"/>
        <v>0</v>
      </c>
      <c r="K357" s="32">
        <f t="shared" si="8"/>
        <v>0</v>
      </c>
      <c r="L357" s="32">
        <f t="shared" si="8"/>
        <v>0</v>
      </c>
      <c r="M357" s="32"/>
      <c r="N357" s="32"/>
    </row>
    <row r="358" spans="1:14" x14ac:dyDescent="0.2">
      <c r="A358" s="5">
        <v>0</v>
      </c>
      <c r="B358" s="32">
        <f t="shared" si="9"/>
        <v>1234</v>
      </c>
      <c r="C358" s="32">
        <f t="shared" si="9"/>
        <v>4.6500000000000004</v>
      </c>
      <c r="D358" s="32">
        <f t="shared" si="9"/>
        <v>1234</v>
      </c>
      <c r="E358" s="32">
        <f t="shared" si="9"/>
        <v>0</v>
      </c>
      <c r="F358" s="32">
        <f t="shared" si="9"/>
        <v>0</v>
      </c>
      <c r="G358" s="32">
        <f t="shared" si="9"/>
        <v>0</v>
      </c>
      <c r="H358" s="32">
        <f t="shared" si="9"/>
        <v>0</v>
      </c>
      <c r="I358" s="32">
        <f t="shared" si="9"/>
        <v>0</v>
      </c>
      <c r="J358" s="32">
        <f t="shared" si="9"/>
        <v>0</v>
      </c>
      <c r="K358" s="32">
        <f t="shared" si="8"/>
        <v>0</v>
      </c>
      <c r="L358" s="32">
        <f t="shared" si="8"/>
        <v>0</v>
      </c>
      <c r="M358" s="32"/>
      <c r="N358" s="32"/>
    </row>
    <row r="359" spans="1:14" x14ac:dyDescent="0.2">
      <c r="A359" s="5">
        <v>0</v>
      </c>
      <c r="B359" s="32">
        <f t="shared" si="9"/>
        <v>1234</v>
      </c>
      <c r="C359" s="32">
        <f t="shared" si="9"/>
        <v>4.6500000000000004</v>
      </c>
      <c r="D359" s="32">
        <f t="shared" si="9"/>
        <v>1234</v>
      </c>
      <c r="E359" s="32">
        <f t="shared" si="9"/>
        <v>0</v>
      </c>
      <c r="F359" s="32">
        <f t="shared" si="9"/>
        <v>0</v>
      </c>
      <c r="G359" s="32">
        <f t="shared" si="9"/>
        <v>0</v>
      </c>
      <c r="H359" s="32">
        <f t="shared" si="9"/>
        <v>0</v>
      </c>
      <c r="I359" s="32">
        <f t="shared" si="9"/>
        <v>0</v>
      </c>
      <c r="J359" s="32">
        <f t="shared" si="9"/>
        <v>0</v>
      </c>
      <c r="K359" s="32">
        <f t="shared" si="8"/>
        <v>0</v>
      </c>
      <c r="L359" s="32">
        <f t="shared" si="8"/>
        <v>0</v>
      </c>
      <c r="M359" s="32"/>
      <c r="N359" s="32"/>
    </row>
    <row r="360" spans="1:14" x14ac:dyDescent="0.2">
      <c r="A360" s="5">
        <v>0</v>
      </c>
      <c r="B360" s="32">
        <f t="shared" si="9"/>
        <v>1234</v>
      </c>
      <c r="C360" s="32">
        <f t="shared" si="9"/>
        <v>4.6500000000000004</v>
      </c>
      <c r="D360" s="32">
        <f t="shared" si="9"/>
        <v>1234</v>
      </c>
      <c r="E360" s="32">
        <f t="shared" si="9"/>
        <v>0</v>
      </c>
      <c r="F360" s="32">
        <f t="shared" si="9"/>
        <v>0</v>
      </c>
      <c r="G360" s="32">
        <f t="shared" si="9"/>
        <v>0</v>
      </c>
      <c r="H360" s="32">
        <f t="shared" si="9"/>
        <v>0</v>
      </c>
      <c r="I360" s="32">
        <f t="shared" si="9"/>
        <v>0</v>
      </c>
      <c r="J360" s="32">
        <f t="shared" si="9"/>
        <v>0</v>
      </c>
      <c r="K360" s="32">
        <f t="shared" si="8"/>
        <v>0</v>
      </c>
      <c r="L360" s="32">
        <f t="shared" si="8"/>
        <v>0</v>
      </c>
      <c r="M360" s="32"/>
      <c r="N360" s="32"/>
    </row>
    <row r="361" spans="1:14" x14ac:dyDescent="0.2">
      <c r="A361" s="5">
        <v>0</v>
      </c>
      <c r="B361" s="32">
        <f t="shared" si="9"/>
        <v>1234</v>
      </c>
      <c r="C361" s="32">
        <f t="shared" si="9"/>
        <v>4.6500000000000004</v>
      </c>
      <c r="D361" s="32">
        <f t="shared" si="9"/>
        <v>1234</v>
      </c>
      <c r="E361" s="32">
        <f t="shared" si="9"/>
        <v>0</v>
      </c>
      <c r="F361" s="32">
        <f t="shared" si="9"/>
        <v>0</v>
      </c>
      <c r="G361" s="32">
        <f t="shared" si="9"/>
        <v>0</v>
      </c>
      <c r="H361" s="32">
        <f t="shared" si="9"/>
        <v>0</v>
      </c>
      <c r="I361" s="32">
        <f t="shared" si="9"/>
        <v>0</v>
      </c>
      <c r="J361" s="32">
        <f t="shared" si="9"/>
        <v>0</v>
      </c>
      <c r="K361" s="32">
        <f t="shared" si="8"/>
        <v>0</v>
      </c>
      <c r="L361" s="32">
        <f t="shared" si="8"/>
        <v>0</v>
      </c>
      <c r="M361" s="32"/>
      <c r="N361" s="32"/>
    </row>
    <row r="362" spans="1:14" x14ac:dyDescent="0.2">
      <c r="A362" s="5">
        <v>0</v>
      </c>
      <c r="B362" s="32">
        <f t="shared" si="9"/>
        <v>1234</v>
      </c>
      <c r="C362" s="32">
        <f t="shared" si="9"/>
        <v>4.6500000000000004</v>
      </c>
      <c r="D362" s="32">
        <f t="shared" si="9"/>
        <v>1234</v>
      </c>
      <c r="E362" s="32">
        <f t="shared" si="9"/>
        <v>0</v>
      </c>
      <c r="F362" s="32">
        <f t="shared" si="9"/>
        <v>0</v>
      </c>
      <c r="G362" s="32">
        <f t="shared" si="9"/>
        <v>0</v>
      </c>
      <c r="H362" s="32">
        <f t="shared" si="9"/>
        <v>0</v>
      </c>
      <c r="I362" s="32">
        <f t="shared" si="9"/>
        <v>0</v>
      </c>
      <c r="J362" s="32">
        <f t="shared" si="9"/>
        <v>0</v>
      </c>
      <c r="K362" s="32">
        <f t="shared" si="8"/>
        <v>0</v>
      </c>
      <c r="L362" s="32">
        <f t="shared" si="8"/>
        <v>0</v>
      </c>
      <c r="M362" s="32"/>
      <c r="N362" s="32"/>
    </row>
    <row r="363" spans="1:14" x14ac:dyDescent="0.2">
      <c r="A363" s="5">
        <v>0</v>
      </c>
      <c r="B363" s="32">
        <f t="shared" si="9"/>
        <v>1234</v>
      </c>
      <c r="C363" s="32">
        <f t="shared" si="9"/>
        <v>4.6500000000000004</v>
      </c>
      <c r="D363" s="32">
        <f t="shared" si="9"/>
        <v>1234</v>
      </c>
      <c r="E363" s="32">
        <f t="shared" si="9"/>
        <v>0</v>
      </c>
      <c r="F363" s="32">
        <f t="shared" si="9"/>
        <v>0</v>
      </c>
      <c r="G363" s="32">
        <f t="shared" si="9"/>
        <v>0</v>
      </c>
      <c r="H363" s="32">
        <f t="shared" si="9"/>
        <v>0</v>
      </c>
      <c r="I363" s="32">
        <f t="shared" si="9"/>
        <v>0</v>
      </c>
      <c r="J363" s="32">
        <f t="shared" si="9"/>
        <v>0</v>
      </c>
      <c r="K363" s="32">
        <f t="shared" si="8"/>
        <v>0</v>
      </c>
      <c r="L363" s="32">
        <f t="shared" si="8"/>
        <v>0</v>
      </c>
      <c r="M363" s="32"/>
      <c r="N363" s="32"/>
    </row>
    <row r="364" spans="1:14" x14ac:dyDescent="0.2">
      <c r="A364" s="5">
        <v>0</v>
      </c>
      <c r="B364" s="32">
        <f t="shared" si="9"/>
        <v>1234</v>
      </c>
      <c r="C364" s="32">
        <f t="shared" si="9"/>
        <v>4.6500000000000004</v>
      </c>
      <c r="D364" s="32">
        <f t="shared" si="9"/>
        <v>1234</v>
      </c>
      <c r="E364" s="32">
        <f t="shared" si="9"/>
        <v>0</v>
      </c>
      <c r="F364" s="32">
        <f t="shared" si="9"/>
        <v>0</v>
      </c>
      <c r="G364" s="32">
        <f t="shared" si="9"/>
        <v>0</v>
      </c>
      <c r="H364" s="32">
        <f t="shared" si="9"/>
        <v>0</v>
      </c>
      <c r="I364" s="32">
        <f t="shared" si="9"/>
        <v>0</v>
      </c>
      <c r="J364" s="32">
        <f t="shared" si="9"/>
        <v>0</v>
      </c>
      <c r="K364" s="32">
        <f t="shared" si="8"/>
        <v>0</v>
      </c>
      <c r="L364" s="32">
        <f t="shared" si="8"/>
        <v>0</v>
      </c>
      <c r="M364" s="32"/>
      <c r="N364" s="32"/>
    </row>
    <row r="365" spans="1:14" x14ac:dyDescent="0.2">
      <c r="A365" s="5">
        <v>0</v>
      </c>
      <c r="B365" s="32">
        <f t="shared" si="9"/>
        <v>1234</v>
      </c>
      <c r="C365" s="32">
        <f t="shared" si="9"/>
        <v>4.6500000000000004</v>
      </c>
      <c r="D365" s="32">
        <f t="shared" si="9"/>
        <v>1234</v>
      </c>
      <c r="E365" s="32">
        <f t="shared" si="9"/>
        <v>0</v>
      </c>
      <c r="F365" s="32">
        <f t="shared" si="9"/>
        <v>0</v>
      </c>
      <c r="G365" s="32">
        <f t="shared" si="9"/>
        <v>0</v>
      </c>
      <c r="H365" s="32">
        <f t="shared" si="9"/>
        <v>0</v>
      </c>
      <c r="I365" s="32">
        <f t="shared" si="9"/>
        <v>0</v>
      </c>
      <c r="J365" s="32">
        <f t="shared" si="9"/>
        <v>0</v>
      </c>
      <c r="K365" s="32">
        <f t="shared" si="8"/>
        <v>0</v>
      </c>
      <c r="L365" s="32">
        <f t="shared" si="8"/>
        <v>0</v>
      </c>
      <c r="M365" s="32"/>
      <c r="N365" s="32"/>
    </row>
    <row r="366" spans="1:14" x14ac:dyDescent="0.2">
      <c r="A366" s="5">
        <v>0</v>
      </c>
      <c r="B366" s="32">
        <f t="shared" si="9"/>
        <v>1234</v>
      </c>
      <c r="C366" s="32">
        <f t="shared" si="9"/>
        <v>4.6500000000000004</v>
      </c>
      <c r="D366" s="32">
        <f t="shared" si="9"/>
        <v>1234</v>
      </c>
      <c r="E366" s="32">
        <f t="shared" si="9"/>
        <v>0</v>
      </c>
      <c r="F366" s="32">
        <f t="shared" si="9"/>
        <v>0</v>
      </c>
      <c r="G366" s="32">
        <f t="shared" si="9"/>
        <v>0</v>
      </c>
      <c r="H366" s="32">
        <f t="shared" si="9"/>
        <v>0</v>
      </c>
      <c r="I366" s="32">
        <f t="shared" si="9"/>
        <v>0</v>
      </c>
      <c r="J366" s="32">
        <f t="shared" si="9"/>
        <v>0</v>
      </c>
      <c r="K366" s="32">
        <f t="shared" si="8"/>
        <v>0</v>
      </c>
      <c r="L366" s="32">
        <f t="shared" si="8"/>
        <v>0</v>
      </c>
      <c r="M366" s="32"/>
      <c r="N366" s="32"/>
    </row>
    <row r="367" spans="1:14" x14ac:dyDescent="0.2">
      <c r="A367" s="5">
        <v>0</v>
      </c>
      <c r="B367" s="32">
        <f t="shared" si="9"/>
        <v>1234</v>
      </c>
      <c r="C367" s="32">
        <f t="shared" si="9"/>
        <v>4.6500000000000004</v>
      </c>
      <c r="D367" s="32">
        <f t="shared" si="9"/>
        <v>1234</v>
      </c>
      <c r="E367" s="32">
        <f t="shared" si="9"/>
        <v>0</v>
      </c>
      <c r="F367" s="32">
        <f t="shared" si="9"/>
        <v>0</v>
      </c>
      <c r="G367" s="32">
        <f t="shared" si="9"/>
        <v>0</v>
      </c>
      <c r="H367" s="32">
        <f t="shared" si="9"/>
        <v>0</v>
      </c>
      <c r="I367" s="32">
        <f t="shared" si="9"/>
        <v>0</v>
      </c>
      <c r="J367" s="32">
        <f t="shared" si="9"/>
        <v>0</v>
      </c>
      <c r="K367" s="32">
        <f t="shared" si="8"/>
        <v>0</v>
      </c>
      <c r="L367" s="32">
        <f t="shared" si="8"/>
        <v>0</v>
      </c>
      <c r="M367" s="32"/>
      <c r="N367" s="32"/>
    </row>
    <row r="368" spans="1:14" x14ac:dyDescent="0.2">
      <c r="A368" s="5">
        <v>0</v>
      </c>
      <c r="B368" s="32">
        <f t="shared" si="9"/>
        <v>1234</v>
      </c>
      <c r="C368" s="32">
        <f t="shared" si="9"/>
        <v>4.6500000000000004</v>
      </c>
      <c r="D368" s="32">
        <f t="shared" si="9"/>
        <v>1234</v>
      </c>
      <c r="E368" s="32">
        <f t="shared" si="9"/>
        <v>0</v>
      </c>
      <c r="F368" s="32">
        <f t="shared" si="9"/>
        <v>0</v>
      </c>
      <c r="G368" s="32">
        <f t="shared" si="9"/>
        <v>0</v>
      </c>
      <c r="H368" s="32">
        <f t="shared" si="9"/>
        <v>0</v>
      </c>
      <c r="I368" s="32">
        <f t="shared" si="9"/>
        <v>0</v>
      </c>
      <c r="J368" s="32">
        <f t="shared" si="9"/>
        <v>0</v>
      </c>
      <c r="K368" s="32">
        <f t="shared" si="8"/>
        <v>0</v>
      </c>
      <c r="L368" s="32">
        <f t="shared" si="8"/>
        <v>0</v>
      </c>
      <c r="M368" s="32"/>
      <c r="N368" s="32"/>
    </row>
    <row r="369" spans="1:14" x14ac:dyDescent="0.2">
      <c r="A369" s="5">
        <v>0</v>
      </c>
      <c r="B369" s="32">
        <f t="shared" si="9"/>
        <v>1234</v>
      </c>
      <c r="C369" s="32">
        <f t="shared" si="9"/>
        <v>4.6500000000000004</v>
      </c>
      <c r="D369" s="32">
        <f t="shared" si="9"/>
        <v>1234</v>
      </c>
      <c r="E369" s="32">
        <f t="shared" si="9"/>
        <v>0</v>
      </c>
      <c r="F369" s="32">
        <f t="shared" si="9"/>
        <v>0</v>
      </c>
      <c r="G369" s="32">
        <f t="shared" si="9"/>
        <v>0</v>
      </c>
      <c r="H369" s="32">
        <f t="shared" si="9"/>
        <v>0</v>
      </c>
      <c r="I369" s="32">
        <f t="shared" si="9"/>
        <v>0</v>
      </c>
      <c r="J369" s="32">
        <f t="shared" si="9"/>
        <v>0</v>
      </c>
      <c r="K369" s="32">
        <f t="shared" si="8"/>
        <v>0</v>
      </c>
      <c r="L369" s="32">
        <f t="shared" si="8"/>
        <v>0</v>
      </c>
      <c r="M369" s="32"/>
      <c r="N369" s="32"/>
    </row>
    <row r="370" spans="1:14" x14ac:dyDescent="0.2">
      <c r="A370" s="5">
        <v>0</v>
      </c>
      <c r="B370" s="32">
        <f t="shared" si="9"/>
        <v>1234</v>
      </c>
      <c r="C370" s="32">
        <f t="shared" si="9"/>
        <v>4.6500000000000004</v>
      </c>
      <c r="D370" s="32">
        <f t="shared" si="9"/>
        <v>1234</v>
      </c>
      <c r="E370" s="32">
        <f t="shared" si="9"/>
        <v>0</v>
      </c>
      <c r="F370" s="32">
        <f t="shared" si="9"/>
        <v>0</v>
      </c>
      <c r="G370" s="32">
        <f t="shared" si="9"/>
        <v>0</v>
      </c>
      <c r="H370" s="32">
        <f t="shared" si="9"/>
        <v>0</v>
      </c>
      <c r="I370" s="32">
        <f t="shared" si="9"/>
        <v>0</v>
      </c>
      <c r="J370" s="32">
        <f t="shared" si="9"/>
        <v>0</v>
      </c>
      <c r="K370" s="32">
        <f t="shared" si="8"/>
        <v>0</v>
      </c>
      <c r="L370" s="32">
        <f t="shared" si="8"/>
        <v>0</v>
      </c>
      <c r="M370" s="32"/>
      <c r="N370" s="32"/>
    </row>
    <row r="371" spans="1:14" x14ac:dyDescent="0.2">
      <c r="A371" s="5">
        <v>0</v>
      </c>
      <c r="B371" s="32">
        <f t="shared" si="9"/>
        <v>1234</v>
      </c>
      <c r="C371" s="32">
        <f t="shared" si="9"/>
        <v>4.6500000000000004</v>
      </c>
      <c r="D371" s="32">
        <f t="shared" si="9"/>
        <v>1234</v>
      </c>
      <c r="E371" s="32">
        <f t="shared" si="9"/>
        <v>0</v>
      </c>
      <c r="F371" s="32">
        <f t="shared" si="9"/>
        <v>0</v>
      </c>
      <c r="G371" s="32">
        <f t="shared" si="9"/>
        <v>0</v>
      </c>
      <c r="H371" s="32">
        <f t="shared" si="9"/>
        <v>0</v>
      </c>
      <c r="I371" s="32">
        <f t="shared" si="9"/>
        <v>0</v>
      </c>
      <c r="J371" s="32">
        <f t="shared" si="9"/>
        <v>0</v>
      </c>
      <c r="K371" s="32">
        <f t="shared" si="8"/>
        <v>0</v>
      </c>
      <c r="L371" s="32">
        <f t="shared" si="8"/>
        <v>0</v>
      </c>
      <c r="M371" s="32"/>
      <c r="N371" s="32"/>
    </row>
    <row r="372" spans="1:14" x14ac:dyDescent="0.2">
      <c r="A372" s="5">
        <v>0</v>
      </c>
      <c r="B372" s="32">
        <f t="shared" si="9"/>
        <v>1234</v>
      </c>
      <c r="C372" s="32">
        <f t="shared" si="9"/>
        <v>4.6500000000000004</v>
      </c>
      <c r="D372" s="32">
        <f t="shared" si="9"/>
        <v>1234</v>
      </c>
      <c r="E372" s="32">
        <f t="shared" si="9"/>
        <v>0</v>
      </c>
      <c r="F372" s="32">
        <f t="shared" si="9"/>
        <v>0</v>
      </c>
      <c r="G372" s="32">
        <f t="shared" si="9"/>
        <v>0</v>
      </c>
      <c r="H372" s="32">
        <f t="shared" si="9"/>
        <v>0</v>
      </c>
      <c r="I372" s="32">
        <f t="shared" si="9"/>
        <v>0</v>
      </c>
      <c r="J372" s="32">
        <f t="shared" si="9"/>
        <v>0</v>
      </c>
      <c r="K372" s="32">
        <f t="shared" si="8"/>
        <v>0</v>
      </c>
      <c r="L372" s="32">
        <f t="shared" si="8"/>
        <v>0</v>
      </c>
      <c r="M372" s="32"/>
      <c r="N372" s="32"/>
    </row>
    <row r="373" spans="1:14" x14ac:dyDescent="0.2">
      <c r="A373" s="5">
        <v>0</v>
      </c>
      <c r="B373" s="32">
        <f t="shared" si="9"/>
        <v>1234</v>
      </c>
      <c r="C373" s="32">
        <f t="shared" si="9"/>
        <v>4.6500000000000004</v>
      </c>
      <c r="D373" s="32">
        <f t="shared" si="9"/>
        <v>1234</v>
      </c>
      <c r="E373" s="32">
        <f t="shared" si="9"/>
        <v>0</v>
      </c>
      <c r="F373" s="32">
        <f t="shared" si="9"/>
        <v>0</v>
      </c>
      <c r="G373" s="32">
        <f t="shared" si="9"/>
        <v>0</v>
      </c>
      <c r="H373" s="32">
        <f t="shared" si="9"/>
        <v>0</v>
      </c>
      <c r="I373" s="32">
        <f t="shared" si="9"/>
        <v>0</v>
      </c>
      <c r="J373" s="32">
        <f t="shared" si="9"/>
        <v>0</v>
      </c>
      <c r="K373" s="32">
        <f t="shared" si="8"/>
        <v>0</v>
      </c>
      <c r="L373" s="32">
        <f t="shared" si="8"/>
        <v>0</v>
      </c>
      <c r="M373" s="32"/>
      <c r="N373" s="32"/>
    </row>
    <row r="374" spans="1:14" x14ac:dyDescent="0.2">
      <c r="A374" s="5">
        <v>0</v>
      </c>
      <c r="B374" s="32">
        <f t="shared" si="9"/>
        <v>1234</v>
      </c>
      <c r="C374" s="32">
        <f t="shared" si="9"/>
        <v>4.6500000000000004</v>
      </c>
      <c r="D374" s="32">
        <f t="shared" si="9"/>
        <v>1234</v>
      </c>
      <c r="E374" s="32">
        <f t="shared" si="9"/>
        <v>0</v>
      </c>
      <c r="F374" s="32">
        <f t="shared" si="9"/>
        <v>0</v>
      </c>
      <c r="G374" s="32">
        <f t="shared" si="9"/>
        <v>0</v>
      </c>
      <c r="H374" s="32">
        <f t="shared" si="9"/>
        <v>0</v>
      </c>
      <c r="I374" s="32">
        <f t="shared" si="9"/>
        <v>0</v>
      </c>
      <c r="J374" s="32">
        <f t="shared" si="9"/>
        <v>0</v>
      </c>
      <c r="K374" s="32">
        <f t="shared" si="8"/>
        <v>0</v>
      </c>
      <c r="L374" s="32">
        <f t="shared" si="8"/>
        <v>0</v>
      </c>
      <c r="M374" s="32"/>
      <c r="N374" s="32"/>
    </row>
    <row r="375" spans="1:14" x14ac:dyDescent="0.2">
      <c r="A375" s="5">
        <v>0</v>
      </c>
      <c r="B375" s="32">
        <f t="shared" si="9"/>
        <v>1234</v>
      </c>
      <c r="C375" s="32">
        <f t="shared" si="9"/>
        <v>4.6500000000000004</v>
      </c>
      <c r="D375" s="32">
        <f t="shared" si="9"/>
        <v>1234</v>
      </c>
      <c r="E375" s="32">
        <f t="shared" si="9"/>
        <v>0</v>
      </c>
      <c r="F375" s="32">
        <f t="shared" si="9"/>
        <v>0</v>
      </c>
      <c r="G375" s="32">
        <f t="shared" si="9"/>
        <v>0</v>
      </c>
      <c r="H375" s="32">
        <f t="shared" si="9"/>
        <v>0</v>
      </c>
      <c r="I375" s="32">
        <f t="shared" si="9"/>
        <v>0</v>
      </c>
      <c r="J375" s="32">
        <f t="shared" si="9"/>
        <v>0</v>
      </c>
      <c r="K375" s="32">
        <f t="shared" si="8"/>
        <v>0</v>
      </c>
      <c r="L375" s="32">
        <f t="shared" si="8"/>
        <v>0</v>
      </c>
      <c r="M375" s="32"/>
      <c r="N375" s="32"/>
    </row>
    <row r="376" spans="1:14" x14ac:dyDescent="0.2">
      <c r="A376" s="5">
        <v>0</v>
      </c>
      <c r="B376" s="32">
        <f t="shared" si="9"/>
        <v>1234</v>
      </c>
      <c r="C376" s="32">
        <f t="shared" si="9"/>
        <v>4.6500000000000004</v>
      </c>
      <c r="D376" s="32">
        <f t="shared" si="9"/>
        <v>1234</v>
      </c>
      <c r="E376" s="32">
        <f t="shared" si="9"/>
        <v>0</v>
      </c>
      <c r="F376" s="32">
        <f t="shared" si="9"/>
        <v>0</v>
      </c>
      <c r="G376" s="32">
        <f t="shared" si="9"/>
        <v>0</v>
      </c>
      <c r="H376" s="32">
        <f t="shared" si="9"/>
        <v>0</v>
      </c>
      <c r="I376" s="32">
        <f t="shared" si="9"/>
        <v>0</v>
      </c>
      <c r="J376" s="32">
        <f t="shared" si="9"/>
        <v>0</v>
      </c>
      <c r="K376" s="32">
        <f t="shared" si="8"/>
        <v>0</v>
      </c>
      <c r="L376" s="32">
        <f t="shared" si="8"/>
        <v>0</v>
      </c>
      <c r="M376" s="32"/>
      <c r="N376" s="32"/>
    </row>
    <row r="377" spans="1:14" x14ac:dyDescent="0.2">
      <c r="A377" s="5">
        <v>0</v>
      </c>
      <c r="B377" s="32">
        <f t="shared" si="9"/>
        <v>1234</v>
      </c>
      <c r="C377" s="32">
        <f t="shared" si="9"/>
        <v>4.6500000000000004</v>
      </c>
      <c r="D377" s="32">
        <f t="shared" si="9"/>
        <v>1234</v>
      </c>
      <c r="E377" s="32">
        <f t="shared" si="9"/>
        <v>0</v>
      </c>
      <c r="F377" s="32">
        <f t="shared" si="9"/>
        <v>0</v>
      </c>
      <c r="G377" s="32">
        <f t="shared" si="9"/>
        <v>0</v>
      </c>
      <c r="H377" s="32">
        <f t="shared" si="9"/>
        <v>0</v>
      </c>
      <c r="I377" s="32">
        <f t="shared" si="9"/>
        <v>0</v>
      </c>
      <c r="J377" s="32">
        <f t="shared" si="9"/>
        <v>0</v>
      </c>
      <c r="K377" s="32">
        <f t="shared" si="8"/>
        <v>0</v>
      </c>
      <c r="L377" s="32">
        <f t="shared" si="8"/>
        <v>0</v>
      </c>
      <c r="M377" s="32"/>
      <c r="N377" s="32"/>
    </row>
    <row r="378" spans="1:14" x14ac:dyDescent="0.2">
      <c r="A378" s="5">
        <v>0</v>
      </c>
      <c r="B378" s="32">
        <f t="shared" si="9"/>
        <v>1234</v>
      </c>
      <c r="C378" s="32">
        <f t="shared" si="9"/>
        <v>4.6500000000000004</v>
      </c>
      <c r="D378" s="32">
        <f t="shared" si="9"/>
        <v>1234</v>
      </c>
      <c r="E378" s="32">
        <f t="shared" si="9"/>
        <v>0</v>
      </c>
      <c r="F378" s="32">
        <f t="shared" si="9"/>
        <v>0</v>
      </c>
      <c r="G378" s="32">
        <f t="shared" si="9"/>
        <v>0</v>
      </c>
      <c r="H378" s="32">
        <f t="shared" si="9"/>
        <v>0</v>
      </c>
      <c r="I378" s="32">
        <f t="shared" si="9"/>
        <v>0</v>
      </c>
      <c r="J378" s="32">
        <f t="shared" si="9"/>
        <v>0</v>
      </c>
      <c r="K378" s="32">
        <f t="shared" si="8"/>
        <v>0</v>
      </c>
      <c r="L378" s="32">
        <f t="shared" si="8"/>
        <v>0</v>
      </c>
      <c r="M378" s="32"/>
      <c r="N378" s="32"/>
    </row>
    <row r="379" spans="1:14" x14ac:dyDescent="0.2">
      <c r="A379" s="5">
        <v>0</v>
      </c>
      <c r="B379" s="32">
        <f t="shared" si="9"/>
        <v>1234</v>
      </c>
      <c r="C379" s="32">
        <f t="shared" si="9"/>
        <v>4.6500000000000004</v>
      </c>
      <c r="D379" s="32">
        <f t="shared" si="9"/>
        <v>1234</v>
      </c>
      <c r="E379" s="32">
        <f t="shared" si="9"/>
        <v>0</v>
      </c>
      <c r="F379" s="32">
        <f t="shared" si="9"/>
        <v>0</v>
      </c>
      <c r="G379" s="32">
        <f t="shared" si="9"/>
        <v>0</v>
      </c>
      <c r="H379" s="32">
        <f t="shared" si="9"/>
        <v>0</v>
      </c>
      <c r="I379" s="32">
        <f t="shared" si="9"/>
        <v>0</v>
      </c>
      <c r="J379" s="32">
        <f t="shared" si="9"/>
        <v>0</v>
      </c>
      <c r="K379" s="32">
        <f t="shared" si="8"/>
        <v>0</v>
      </c>
      <c r="L379" s="32">
        <f t="shared" si="8"/>
        <v>0</v>
      </c>
      <c r="M379" s="32"/>
      <c r="N379" s="32"/>
    </row>
    <row r="380" spans="1:14" x14ac:dyDescent="0.2">
      <c r="A380" s="5">
        <v>0</v>
      </c>
      <c r="B380" s="32">
        <f t="shared" si="9"/>
        <v>1234</v>
      </c>
      <c r="C380" s="32">
        <f t="shared" si="9"/>
        <v>4.6500000000000004</v>
      </c>
      <c r="D380" s="32">
        <f t="shared" si="9"/>
        <v>1234</v>
      </c>
      <c r="E380" s="32">
        <f t="shared" si="9"/>
        <v>0</v>
      </c>
      <c r="F380" s="32">
        <f t="shared" si="9"/>
        <v>0</v>
      </c>
      <c r="G380" s="32">
        <f t="shared" si="9"/>
        <v>0</v>
      </c>
      <c r="H380" s="32">
        <f t="shared" si="9"/>
        <v>0</v>
      </c>
      <c r="I380" s="32">
        <f t="shared" si="9"/>
        <v>0</v>
      </c>
      <c r="J380" s="32">
        <f t="shared" si="9"/>
        <v>0</v>
      </c>
      <c r="K380" s="32">
        <f t="shared" si="8"/>
        <v>0</v>
      </c>
      <c r="L380" s="32">
        <f t="shared" si="8"/>
        <v>0</v>
      </c>
      <c r="M380" s="32"/>
      <c r="N380" s="32"/>
    </row>
    <row r="381" spans="1:14" x14ac:dyDescent="0.2">
      <c r="A381" s="5">
        <v>0</v>
      </c>
      <c r="B381" s="32">
        <f t="shared" si="9"/>
        <v>1234</v>
      </c>
      <c r="C381" s="32">
        <f t="shared" si="9"/>
        <v>4.6500000000000004</v>
      </c>
      <c r="D381" s="32">
        <f t="shared" si="9"/>
        <v>1234</v>
      </c>
      <c r="E381" s="32">
        <f t="shared" si="9"/>
        <v>0</v>
      </c>
      <c r="F381" s="32">
        <f t="shared" si="9"/>
        <v>0</v>
      </c>
      <c r="G381" s="32">
        <f t="shared" si="9"/>
        <v>0</v>
      </c>
      <c r="H381" s="32">
        <f t="shared" ref="H381:J381" si="10">J104</f>
        <v>0</v>
      </c>
      <c r="I381" s="32">
        <f t="shared" si="10"/>
        <v>0</v>
      </c>
      <c r="J381" s="32">
        <f t="shared" si="10"/>
        <v>0</v>
      </c>
      <c r="K381" s="32">
        <f t="shared" si="8"/>
        <v>0</v>
      </c>
      <c r="L381" s="32">
        <f t="shared" si="8"/>
        <v>0</v>
      </c>
      <c r="M381" s="32"/>
      <c r="N381" s="32"/>
    </row>
    <row r="485" spans="1:1" x14ac:dyDescent="0.2">
      <c r="A485" s="5" t="s">
        <v>23</v>
      </c>
    </row>
    <row r="486" spans="1:1" x14ac:dyDescent="0.2">
      <c r="A486" s="5" t="s">
        <v>24</v>
      </c>
    </row>
    <row r="487" spans="1:1" x14ac:dyDescent="0.2">
      <c r="A487" s="5" t="s">
        <v>25</v>
      </c>
    </row>
    <row r="488" spans="1:1" x14ac:dyDescent="0.2">
      <c r="A488" s="5" t="s">
        <v>26</v>
      </c>
    </row>
    <row r="489" spans="1:1" x14ac:dyDescent="0.2">
      <c r="A489" s="5" t="s">
        <v>27</v>
      </c>
    </row>
    <row r="490" spans="1:1" x14ac:dyDescent="0.2">
      <c r="A490" s="5" t="s">
        <v>28</v>
      </c>
    </row>
    <row r="491" spans="1:1" x14ac:dyDescent="0.2">
      <c r="A491" s="5" t="s">
        <v>29</v>
      </c>
    </row>
    <row r="492" spans="1:1" x14ac:dyDescent="0.2">
      <c r="A492" s="5" t="s">
        <v>30</v>
      </c>
    </row>
    <row r="493" spans="1:1" x14ac:dyDescent="0.2">
      <c r="A493" s="5" t="s">
        <v>31</v>
      </c>
    </row>
    <row r="494" spans="1:1" x14ac:dyDescent="0.2">
      <c r="A494" s="5" t="s">
        <v>32</v>
      </c>
    </row>
  </sheetData>
  <protectedRanges>
    <protectedRange algorithmName="SHA-512" hashValue="qQYn+m+b4UVdjF94fJY26EWyaL6NXSlMR0hjQ5/xNDkmthaz1VvGWbh/7nGtIdkgRT6aNUF0IIZNQcadTKpO7g==" saltValue="2NnoMCglf5tG+69kK64QMw==" spinCount="100000" sqref="H105:H107 F105:G105 F9:AL104" name="Range3"/>
    <protectedRange algorithmName="SHA-512" hashValue="CuSudXHW9P7CBQkrs8AwohLW+eqtBB1GgPvOQKTdoYabZsh7qeQNmlih2szINLu/Iv371wYh7iyn/B9fW+VuJQ==" saltValue="3apz8eMp+e3RXrdw+Rtnhw==" spinCount="100000" sqref="B6" name="Range1"/>
    <protectedRange algorithmName="SHA-512" hashValue="1jJWfUXWRRT08/cshb+Zq/RAMTya5nSG8yWpGVBg0Dfqhe3vup+3W9p/IBZi/Wrrv1DDhqG9wt/eD6EO1fnNvQ==" saltValue="VWP5arczVApFJ9oxlz3YOA==" spinCount="100000" sqref="D8:E8 AF8:AL8" name="Range2"/>
    <protectedRange algorithmName="SHA-512" hashValue="1jJWfUXWRRT08/cshb+Zq/RAMTya5nSG8yWpGVBg0Dfqhe3vup+3W9p/IBZi/Wrrv1DDhqG9wt/eD6EO1fnNvQ==" saltValue="VWP5arczVApFJ9oxlz3YOA==" spinCount="100000" sqref="S8:T8 V8:AE8" name="Range2_1"/>
    <protectedRange algorithmName="SHA-512" hashValue="1jJWfUXWRRT08/cshb+Zq/RAMTya5nSG8yWpGVBg0Dfqhe3vup+3W9p/IBZi/Wrrv1DDhqG9wt/eD6EO1fnNvQ==" saltValue="VWP5arczVApFJ9oxlz3YOA==" spinCount="100000" sqref="U8 G8:R8" name="Range2_3"/>
    <protectedRange algorithmName="SHA-512" hashValue="1jJWfUXWRRT08/cshb+Zq/RAMTya5nSG8yWpGVBg0Dfqhe3vup+3W9p/IBZi/Wrrv1DDhqG9wt/eD6EO1fnNvQ==" saltValue="VWP5arczVApFJ9oxlz3YOA==" spinCount="100000" sqref="F8" name="Range2_3_2"/>
  </protectedRanges>
  <mergeCells count="7">
    <mergeCell ref="A1:P1"/>
    <mergeCell ref="A2:P2"/>
    <mergeCell ref="A3:A4"/>
    <mergeCell ref="B3:D4"/>
    <mergeCell ref="E3:E4"/>
    <mergeCell ref="F3:G4"/>
    <mergeCell ref="H3:K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CustomerData!$B$1:$B$483</xm:f>
          </x14:formula1>
          <xm:sqref>F8:AL8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 tint="0.59999389629810485"/>
  </sheetPr>
  <dimension ref="A1:AI978"/>
  <sheetViews>
    <sheetView zoomScaleNormal="100" workbookViewId="0">
      <pane ySplit="8" topLeftCell="A9" activePane="bottomLeft" state="frozen"/>
      <selection activeCell="D27" sqref="D27"/>
      <selection pane="bottomLeft" activeCell="G11" sqref="G11"/>
    </sheetView>
  </sheetViews>
  <sheetFormatPr defaultColWidth="9.140625" defaultRowHeight="12.75" x14ac:dyDescent="0.25"/>
  <cols>
    <col min="1" max="2" width="9.140625" style="34" customWidth="1"/>
    <col min="3" max="3" width="11.140625" style="34" customWidth="1"/>
    <col min="4" max="4" width="10.85546875" style="34" customWidth="1"/>
    <col min="5" max="5" width="13.5703125" style="34" customWidth="1"/>
    <col min="6" max="6" width="10.85546875" style="34" bestFit="1" customWidth="1"/>
    <col min="7" max="8" width="10.140625" style="34" bestFit="1" customWidth="1"/>
    <col min="9" max="9" width="10.7109375" style="34" bestFit="1" customWidth="1"/>
    <col min="10" max="10" width="11.85546875" style="34" bestFit="1" customWidth="1"/>
    <col min="11" max="11" width="11.85546875" style="34" customWidth="1"/>
    <col min="12" max="12" width="10.85546875" style="34" customWidth="1"/>
    <col min="13" max="16" width="9.140625" style="34" customWidth="1"/>
    <col min="17" max="17" width="15.7109375" style="34" customWidth="1"/>
    <col min="18" max="16384" width="9.140625" style="34"/>
  </cols>
  <sheetData>
    <row r="1" spans="1:35" ht="28.5" customHeight="1" x14ac:dyDescent="0.25">
      <c r="A1" s="156" t="s">
        <v>33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1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</row>
    <row r="2" spans="1:35" x14ac:dyDescent="0.25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14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</row>
    <row r="3" spans="1:35" s="38" customFormat="1" ht="13.5" customHeight="1" x14ac:dyDescent="0.25">
      <c r="A3" s="158" t="s">
        <v>10</v>
      </c>
      <c r="B3" s="159"/>
      <c r="C3" s="160"/>
      <c r="D3" s="160"/>
      <c r="E3" s="161">
        <f ca="1">TODAY()</f>
        <v>45398</v>
      </c>
      <c r="F3" s="160" t="s">
        <v>11</v>
      </c>
      <c r="G3" s="160"/>
      <c r="H3" s="162" t="s">
        <v>12</v>
      </c>
      <c r="I3" s="163"/>
      <c r="J3" s="163"/>
      <c r="K3" s="163"/>
      <c r="L3" s="163"/>
      <c r="M3" s="36" t="s">
        <v>128</v>
      </c>
      <c r="N3" s="36"/>
      <c r="O3" s="37"/>
      <c r="P3" s="36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3"/>
      <c r="AC3" s="151"/>
      <c r="AD3" s="151"/>
      <c r="AE3" s="151"/>
      <c r="AF3" s="151"/>
      <c r="AG3" s="151"/>
      <c r="AH3" s="151"/>
      <c r="AI3" s="151"/>
    </row>
    <row r="4" spans="1:35" s="38" customFormat="1" ht="13.5" customHeight="1" x14ac:dyDescent="0.25">
      <c r="A4" s="158"/>
      <c r="B4" s="159"/>
      <c r="C4" s="160"/>
      <c r="D4" s="160"/>
      <c r="E4" s="161"/>
      <c r="F4" s="160"/>
      <c r="G4" s="160"/>
      <c r="H4" s="164"/>
      <c r="I4" s="165"/>
      <c r="J4" s="165"/>
      <c r="K4" s="165"/>
      <c r="L4" s="165"/>
      <c r="M4" s="39"/>
      <c r="N4" s="39"/>
      <c r="O4" s="40"/>
      <c r="P4" s="39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5"/>
      <c r="AC4" s="151"/>
      <c r="AD4" s="151"/>
      <c r="AE4" s="151"/>
      <c r="AF4" s="151"/>
      <c r="AG4" s="151"/>
      <c r="AH4" s="151"/>
      <c r="AI4" s="151"/>
    </row>
    <row r="5" spans="1:35" s="38" customFormat="1" ht="15.75" x14ac:dyDescent="0.25">
      <c r="A5" s="41" t="s">
        <v>13</v>
      </c>
      <c r="B5" s="41" t="s">
        <v>14</v>
      </c>
      <c r="C5" s="41" t="s">
        <v>15</v>
      </c>
      <c r="D5" s="42">
        <v>1</v>
      </c>
      <c r="E5" s="43" t="s">
        <v>16</v>
      </c>
      <c r="F5" s="42">
        <v>96</v>
      </c>
      <c r="G5" s="44" t="s">
        <v>34</v>
      </c>
      <c r="H5" s="45">
        <v>1200</v>
      </c>
      <c r="I5" s="46" t="s">
        <v>17</v>
      </c>
      <c r="J5" s="47">
        <v>7</v>
      </c>
      <c r="K5" s="47"/>
      <c r="L5" s="48"/>
    </row>
    <row r="6" spans="1:35" s="38" customFormat="1" ht="15" x14ac:dyDescent="0.25">
      <c r="A6" s="145"/>
      <c r="B6" s="146"/>
      <c r="C6" s="147"/>
      <c r="D6" s="64" t="s">
        <v>18</v>
      </c>
      <c r="E6" s="49">
        <f>VLOOKUP(E8,CustomerData!$B:$I,4,FALSE)</f>
        <v>1033</v>
      </c>
      <c r="F6" s="49">
        <f>VLOOKUP(F8,CustomerData!$B:$I,4,FALSE)</f>
        <v>1392</v>
      </c>
      <c r="G6" s="49" t="e">
        <f>VLOOKUP(G8,CustomerData!$B:$I,4,FALSE)</f>
        <v>#N/A</v>
      </c>
      <c r="H6" s="49" t="e">
        <f>VLOOKUP(H8,CustomerData!$B:$I,4,FALSE)</f>
        <v>#N/A</v>
      </c>
      <c r="I6" s="49" t="e">
        <f>VLOOKUP(I8,CustomerData!$B:$I,4,FALSE)</f>
        <v>#N/A</v>
      </c>
      <c r="J6" s="49" t="e">
        <f>VLOOKUP(J8,CustomerData!$B:$I,4,FALSE)</f>
        <v>#N/A</v>
      </c>
      <c r="K6" s="49" t="e">
        <f>VLOOKUP(K8,CustomerData!$B:$I,4,FALSE)</f>
        <v>#N/A</v>
      </c>
      <c r="L6" s="49" t="e">
        <f>VLOOKUP(L8,CustomerData!$B:$I,4,FALSE)</f>
        <v>#N/A</v>
      </c>
      <c r="M6" s="49" t="e">
        <f>VLOOKUP(M8,CustomerData!$B:$I,4,FALSE)</f>
        <v>#N/A</v>
      </c>
      <c r="N6" s="49" t="e">
        <f>VLOOKUP(N8,CustomerData!$B:$I,4,FALSE)</f>
        <v>#N/A</v>
      </c>
      <c r="O6" s="49" t="e">
        <f>VLOOKUP(O8,CustomerData!$B:$I,4,FALSE)</f>
        <v>#N/A</v>
      </c>
      <c r="P6" s="49"/>
      <c r="Q6" s="49" t="e">
        <f>VLOOKUP(Q8,CustomerData!$B:$I,4,FALSE)</f>
        <v>#N/A</v>
      </c>
      <c r="R6" s="49" t="e">
        <f>VLOOKUP(R8,CustomerData!$B:$I,4,FALSE)</f>
        <v>#N/A</v>
      </c>
      <c r="S6" s="49" t="e">
        <f>VLOOKUP(S8,CustomerData!$B:$I,4,FALSE)</f>
        <v>#N/A</v>
      </c>
      <c r="T6" s="49" t="e">
        <f>VLOOKUP(T8,CustomerData!$B:$I,4,FALSE)</f>
        <v>#N/A</v>
      </c>
      <c r="U6" s="49" t="e">
        <f>VLOOKUP(U8,CustomerData!$B:$I,4,FALSE)</f>
        <v>#N/A</v>
      </c>
      <c r="V6" s="49" t="e">
        <f>VLOOKUP(V8,CustomerData!$B:$I,4,FALSE)</f>
        <v>#N/A</v>
      </c>
      <c r="W6" s="49" t="e">
        <f>VLOOKUP(W8,CustomerData!$B:$I,4,FALSE)</f>
        <v>#N/A</v>
      </c>
      <c r="X6" s="49" t="e">
        <f>VLOOKUP(X8,CustomerData!$B:$I,4,FALSE)</f>
        <v>#N/A</v>
      </c>
      <c r="Y6" s="49" t="e">
        <f>VLOOKUP(Y8,CustomerData!$B:$I,4,FALSE)</f>
        <v>#N/A</v>
      </c>
      <c r="Z6" s="49" t="e">
        <f>VLOOKUP(Z8,CustomerData!$B:$I,4,FALSE)</f>
        <v>#N/A</v>
      </c>
      <c r="AA6" s="49" t="e">
        <f>VLOOKUP(AA8,CustomerData!$B:$I,4,FALSE)</f>
        <v>#N/A</v>
      </c>
      <c r="AB6" s="49" t="e">
        <f>VLOOKUP(AB8,CustomerData!$B:$I,4,FALSE)</f>
        <v>#N/A</v>
      </c>
      <c r="AC6" s="49" t="e">
        <f>VLOOKUP(AC8,CustomerData!$B:$I,4,FALSE)</f>
        <v>#N/A</v>
      </c>
      <c r="AD6" s="49" t="e">
        <f>VLOOKUP(AD8,CustomerData!$B:$I,4,FALSE)</f>
        <v>#N/A</v>
      </c>
      <c r="AE6" s="49" t="e">
        <f>VLOOKUP(AE8,CustomerData!$B:$I,4,FALSE)</f>
        <v>#N/A</v>
      </c>
      <c r="AF6" s="49" t="e">
        <f>VLOOKUP(AF8,CustomerData!$B:$I,4,FALSE)</f>
        <v>#N/A</v>
      </c>
      <c r="AG6" s="49" t="e">
        <f>VLOOKUP(AG8,CustomerData!$B:$I,4,FALSE)</f>
        <v>#N/A</v>
      </c>
      <c r="AH6" s="49" t="e">
        <f>VLOOKUP(AH8,CustomerData!$B:$I,4,FALSE)</f>
        <v>#N/A</v>
      </c>
      <c r="AI6" s="49" t="e">
        <f>VLOOKUP(AI8,CustomerData!$B:$I,4,FALSE)</f>
        <v>#N/A</v>
      </c>
    </row>
    <row r="7" spans="1:35" s="38" customFormat="1" ht="18.75" x14ac:dyDescent="0.25">
      <c r="A7" s="148"/>
      <c r="B7" s="149"/>
      <c r="C7" s="150"/>
      <c r="D7" s="64" t="s">
        <v>19</v>
      </c>
      <c r="E7" s="50" t="str">
        <f>VLOOKUP(E8,CustomerData!$B:$I,8,FALSE)</f>
        <v xml:space="preserve">LT        </v>
      </c>
      <c r="F7" s="50" t="str">
        <f>VLOOKUP(F8,CustomerData!$B:$I,8,FALSE)</f>
        <v xml:space="preserve">ST        </v>
      </c>
      <c r="G7" s="50" t="e">
        <f>VLOOKUP(G8,CustomerData!$B:$I,8,FALSE)</f>
        <v>#N/A</v>
      </c>
      <c r="H7" s="50" t="e">
        <f>VLOOKUP(H8,CustomerData!$B:$I,8,FALSE)</f>
        <v>#N/A</v>
      </c>
      <c r="I7" s="50" t="e">
        <f>VLOOKUP(I8,CustomerData!$B:$I,8,FALSE)</f>
        <v>#N/A</v>
      </c>
      <c r="J7" s="50" t="e">
        <f>VLOOKUP(J8,CustomerData!$B:$I,8,FALSE)</f>
        <v>#N/A</v>
      </c>
      <c r="K7" s="50" t="e">
        <f>VLOOKUP(K8,CustomerData!$B:$I,8,FALSE)</f>
        <v>#N/A</v>
      </c>
      <c r="L7" s="50" t="e">
        <f>VLOOKUP(L8,CustomerData!$B:$I,8,FALSE)</f>
        <v>#N/A</v>
      </c>
      <c r="M7" s="50" t="e">
        <f>VLOOKUP(M8,CustomerData!$B:$I,8,FALSE)</f>
        <v>#N/A</v>
      </c>
      <c r="N7" s="50" t="e">
        <f>VLOOKUP(N8,CustomerData!$B:$I,8,FALSE)</f>
        <v>#N/A</v>
      </c>
      <c r="O7" s="50" t="e">
        <f>VLOOKUP(O8,CustomerData!$B:$I,8,FALSE)</f>
        <v>#N/A</v>
      </c>
      <c r="P7" s="50"/>
      <c r="Q7" s="50" t="e">
        <f>VLOOKUP(Q8,CustomerData!$B:$I,8,FALSE)</f>
        <v>#N/A</v>
      </c>
      <c r="R7" s="50" t="e">
        <f>VLOOKUP(R8,CustomerData!$B:$I,8,FALSE)</f>
        <v>#N/A</v>
      </c>
      <c r="S7" s="50" t="e">
        <f>VLOOKUP(S8,CustomerData!$B:$I,8,FALSE)</f>
        <v>#N/A</v>
      </c>
      <c r="T7" s="50" t="e">
        <f>VLOOKUP(T8,CustomerData!$B:$I,8,FALSE)</f>
        <v>#N/A</v>
      </c>
      <c r="U7" s="50" t="e">
        <f>VLOOKUP(U8,CustomerData!$B:$I,8,FALSE)</f>
        <v>#N/A</v>
      </c>
      <c r="V7" s="50" t="e">
        <f>VLOOKUP(V8,CustomerData!$B:$I,8,FALSE)</f>
        <v>#N/A</v>
      </c>
      <c r="W7" s="50" t="e">
        <f>VLOOKUP(W8,CustomerData!$B:$I,8,FALSE)</f>
        <v>#N/A</v>
      </c>
      <c r="X7" s="50" t="e">
        <f>VLOOKUP(X8,CustomerData!$B:$I,8,FALSE)</f>
        <v>#N/A</v>
      </c>
      <c r="Y7" s="50" t="e">
        <f>VLOOKUP(Y8,CustomerData!$B:$I,8,FALSE)</f>
        <v>#N/A</v>
      </c>
      <c r="Z7" s="50" t="e">
        <f>VLOOKUP(Z8,CustomerData!$B:$I,8,FALSE)</f>
        <v>#N/A</v>
      </c>
      <c r="AA7" s="50" t="e">
        <f>VLOOKUP(AA8,CustomerData!$B:$I,8,FALSE)</f>
        <v>#N/A</v>
      </c>
      <c r="AB7" s="50" t="e">
        <f>VLOOKUP(AB8,CustomerData!$B:$I,8,FALSE)</f>
        <v>#N/A</v>
      </c>
      <c r="AC7" s="50" t="e">
        <f>VLOOKUP(AC8,CustomerData!$B:$I,8,FALSE)</f>
        <v>#N/A</v>
      </c>
      <c r="AD7" s="50" t="e">
        <f>VLOOKUP(AD8,CustomerData!$B:$I,8,FALSE)</f>
        <v>#N/A</v>
      </c>
      <c r="AE7" s="50" t="e">
        <f>VLOOKUP(AE8,CustomerData!$B:$I,8,FALSE)</f>
        <v>#N/A</v>
      </c>
      <c r="AF7" s="50" t="e">
        <f>VLOOKUP(AF8,CustomerData!$B:$I,8,FALSE)</f>
        <v>#N/A</v>
      </c>
      <c r="AG7" s="50" t="e">
        <f>VLOOKUP(AG8,CustomerData!$B:$I,8,FALSE)</f>
        <v>#N/A</v>
      </c>
      <c r="AH7" s="50" t="e">
        <f>VLOOKUP(AH8,CustomerData!$B:$I,8,FALSE)</f>
        <v>#N/A</v>
      </c>
      <c r="AI7" s="50" t="e">
        <f>VLOOKUP(AI8,CustomerData!$B:$I,8,FALSE)</f>
        <v>#N/A</v>
      </c>
    </row>
    <row r="8" spans="1:35" s="38" customFormat="1" ht="30" customHeight="1" x14ac:dyDescent="0.25">
      <c r="A8" s="51" t="s">
        <v>20</v>
      </c>
      <c r="B8" s="52" t="s">
        <v>14</v>
      </c>
      <c r="C8" s="52" t="s">
        <v>16</v>
      </c>
      <c r="D8" s="52" t="s">
        <v>35</v>
      </c>
      <c r="E8" s="132" t="s">
        <v>577</v>
      </c>
      <c r="F8" s="132" t="s">
        <v>613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</row>
    <row r="9" spans="1:35" s="38" customFormat="1" ht="15" x14ac:dyDescent="0.25">
      <c r="A9" s="53">
        <v>1</v>
      </c>
      <c r="B9" s="54">
        <v>0</v>
      </c>
      <c r="C9" s="54">
        <v>0.15</v>
      </c>
      <c r="D9" s="117">
        <f>SUM(E9:AI9)</f>
        <v>1134</v>
      </c>
      <c r="E9" s="77">
        <v>1134</v>
      </c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</row>
    <row r="10" spans="1:35" s="38" customFormat="1" ht="15" x14ac:dyDescent="0.25">
      <c r="A10" s="53">
        <v>2</v>
      </c>
      <c r="B10" s="54">
        <v>0.15</v>
      </c>
      <c r="C10" s="54">
        <v>0.3</v>
      </c>
      <c r="D10" s="117">
        <f t="shared" ref="D10:D73" si="0">SUM(E10:AI10)</f>
        <v>1034</v>
      </c>
      <c r="E10" s="77">
        <v>1034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</row>
    <row r="11" spans="1:35" s="38" customFormat="1" ht="15" x14ac:dyDescent="0.25">
      <c r="A11" s="53">
        <v>3</v>
      </c>
      <c r="B11" s="54">
        <v>0.3</v>
      </c>
      <c r="C11" s="54">
        <v>0.45</v>
      </c>
      <c r="D11" s="117">
        <f t="shared" si="0"/>
        <v>1134</v>
      </c>
      <c r="E11" s="77">
        <v>1134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</row>
    <row r="12" spans="1:35" s="38" customFormat="1" ht="15" x14ac:dyDescent="0.25">
      <c r="A12" s="53">
        <v>4</v>
      </c>
      <c r="B12" s="54">
        <v>0.45</v>
      </c>
      <c r="C12" s="54">
        <v>1</v>
      </c>
      <c r="D12" s="117">
        <f t="shared" si="0"/>
        <v>1134</v>
      </c>
      <c r="E12" s="77">
        <v>1134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</row>
    <row r="13" spans="1:35" s="38" customFormat="1" ht="15" x14ac:dyDescent="0.25">
      <c r="A13" s="53">
        <v>5</v>
      </c>
      <c r="B13" s="54">
        <v>1</v>
      </c>
      <c r="C13" s="54">
        <v>1.1499999999999999</v>
      </c>
      <c r="D13" s="117">
        <f t="shared" si="0"/>
        <v>1034</v>
      </c>
      <c r="E13" s="77">
        <v>1034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</row>
    <row r="14" spans="1:35" s="38" customFormat="1" ht="15" x14ac:dyDescent="0.25">
      <c r="A14" s="53">
        <v>6</v>
      </c>
      <c r="B14" s="54">
        <v>1.1499999999999999</v>
      </c>
      <c r="C14" s="54">
        <v>1.3</v>
      </c>
      <c r="D14" s="117">
        <f t="shared" si="0"/>
        <v>996.8</v>
      </c>
      <c r="E14" s="77">
        <v>996.8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</row>
    <row r="15" spans="1:35" s="38" customFormat="1" ht="15" x14ac:dyDescent="0.25">
      <c r="A15" s="53">
        <v>7</v>
      </c>
      <c r="B15" s="54">
        <v>1.3</v>
      </c>
      <c r="C15" s="54">
        <v>1.45</v>
      </c>
      <c r="D15" s="117">
        <f t="shared" si="0"/>
        <v>996.8</v>
      </c>
      <c r="E15" s="77">
        <v>996.8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</row>
    <row r="16" spans="1:35" s="38" customFormat="1" ht="15" x14ac:dyDescent="0.25">
      <c r="A16" s="53">
        <v>8</v>
      </c>
      <c r="B16" s="54">
        <v>1.45</v>
      </c>
      <c r="C16" s="54">
        <v>2</v>
      </c>
      <c r="D16" s="117">
        <f t="shared" si="0"/>
        <v>996.8</v>
      </c>
      <c r="E16" s="77">
        <v>996.8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</row>
    <row r="17" spans="1:35" s="38" customFormat="1" ht="15" x14ac:dyDescent="0.25">
      <c r="A17" s="53">
        <v>9</v>
      </c>
      <c r="B17" s="54">
        <v>2</v>
      </c>
      <c r="C17" s="54">
        <v>2.15</v>
      </c>
      <c r="D17" s="117">
        <f t="shared" si="0"/>
        <v>996.8</v>
      </c>
      <c r="E17" s="77">
        <v>996.8</v>
      </c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</row>
    <row r="18" spans="1:35" s="38" customFormat="1" ht="15" x14ac:dyDescent="0.25">
      <c r="A18" s="53">
        <v>10</v>
      </c>
      <c r="B18" s="54">
        <v>2.15</v>
      </c>
      <c r="C18" s="54">
        <v>2.2999999999999998</v>
      </c>
      <c r="D18" s="117">
        <f t="shared" si="0"/>
        <v>996.8</v>
      </c>
      <c r="E18" s="77">
        <v>996.8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</row>
    <row r="19" spans="1:35" s="38" customFormat="1" ht="15" x14ac:dyDescent="0.25">
      <c r="A19" s="53">
        <v>11</v>
      </c>
      <c r="B19" s="54">
        <v>2.2999999999999998</v>
      </c>
      <c r="C19" s="54">
        <v>2.4500000000000002</v>
      </c>
      <c r="D19" s="117">
        <f t="shared" si="0"/>
        <v>996.8</v>
      </c>
      <c r="E19" s="77">
        <v>996.8</v>
      </c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</row>
    <row r="20" spans="1:35" s="38" customFormat="1" ht="15" x14ac:dyDescent="0.25">
      <c r="A20" s="53">
        <v>12</v>
      </c>
      <c r="B20" s="54">
        <v>2.4500000000000002</v>
      </c>
      <c r="C20" s="54">
        <v>3</v>
      </c>
      <c r="D20" s="117">
        <f t="shared" si="0"/>
        <v>996.8</v>
      </c>
      <c r="E20" s="77">
        <v>996.8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</row>
    <row r="21" spans="1:35" s="38" customFormat="1" ht="15" x14ac:dyDescent="0.25">
      <c r="A21" s="53">
        <v>13</v>
      </c>
      <c r="B21" s="54">
        <v>3</v>
      </c>
      <c r="C21" s="54">
        <v>3.15</v>
      </c>
      <c r="D21" s="117">
        <f t="shared" si="0"/>
        <v>996.8</v>
      </c>
      <c r="E21" s="77">
        <v>996.8</v>
      </c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</row>
    <row r="22" spans="1:35" s="38" customFormat="1" ht="15" x14ac:dyDescent="0.25">
      <c r="A22" s="53">
        <v>14</v>
      </c>
      <c r="B22" s="54">
        <v>3.15</v>
      </c>
      <c r="C22" s="54">
        <v>3.3</v>
      </c>
      <c r="D22" s="117">
        <f t="shared" si="0"/>
        <v>996.8</v>
      </c>
      <c r="E22" s="77">
        <v>996.8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</row>
    <row r="23" spans="1:35" s="38" customFormat="1" ht="15" x14ac:dyDescent="0.25">
      <c r="A23" s="53">
        <v>15</v>
      </c>
      <c r="B23" s="54">
        <v>3.3</v>
      </c>
      <c r="C23" s="54">
        <v>3.45</v>
      </c>
      <c r="D23" s="117">
        <f t="shared" si="0"/>
        <v>996.8</v>
      </c>
      <c r="E23" s="77">
        <v>996.8</v>
      </c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</row>
    <row r="24" spans="1:35" s="38" customFormat="1" ht="15" x14ac:dyDescent="0.25">
      <c r="A24" s="53">
        <v>16</v>
      </c>
      <c r="B24" s="54">
        <v>3.45</v>
      </c>
      <c r="C24" s="54">
        <v>4</v>
      </c>
      <c r="D24" s="117">
        <f t="shared" si="0"/>
        <v>996.8</v>
      </c>
      <c r="E24" s="77">
        <v>996.8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</row>
    <row r="25" spans="1:35" s="38" customFormat="1" ht="15" x14ac:dyDescent="0.25">
      <c r="A25" s="53">
        <v>17</v>
      </c>
      <c r="B25" s="54">
        <v>4</v>
      </c>
      <c r="C25" s="54">
        <v>4.1500000000000004</v>
      </c>
      <c r="D25" s="117">
        <f t="shared" si="0"/>
        <v>996.8</v>
      </c>
      <c r="E25" s="77">
        <v>996.8</v>
      </c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</row>
    <row r="26" spans="1:35" s="38" customFormat="1" ht="15" x14ac:dyDescent="0.25">
      <c r="A26" s="53">
        <v>18</v>
      </c>
      <c r="B26" s="54">
        <v>4.1500000000000004</v>
      </c>
      <c r="C26" s="54">
        <v>4.3</v>
      </c>
      <c r="D26" s="117">
        <f t="shared" si="0"/>
        <v>996.8</v>
      </c>
      <c r="E26" s="77">
        <v>996.8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</row>
    <row r="27" spans="1:35" s="38" customFormat="1" ht="15" x14ac:dyDescent="0.25">
      <c r="A27" s="53">
        <v>19</v>
      </c>
      <c r="B27" s="54">
        <v>4.3</v>
      </c>
      <c r="C27" s="54">
        <v>4.45</v>
      </c>
      <c r="D27" s="117">
        <f t="shared" si="0"/>
        <v>996.8</v>
      </c>
      <c r="E27" s="77">
        <v>996.8</v>
      </c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</row>
    <row r="28" spans="1:35" s="38" customFormat="1" ht="15" x14ac:dyDescent="0.25">
      <c r="A28" s="53">
        <v>20</v>
      </c>
      <c r="B28" s="54">
        <v>4.45</v>
      </c>
      <c r="C28" s="54">
        <v>5</v>
      </c>
      <c r="D28" s="117">
        <f t="shared" si="0"/>
        <v>996.8</v>
      </c>
      <c r="E28" s="77">
        <v>996.8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</row>
    <row r="29" spans="1:35" s="38" customFormat="1" ht="15" x14ac:dyDescent="0.25">
      <c r="A29" s="53">
        <v>21</v>
      </c>
      <c r="B29" s="54">
        <v>5</v>
      </c>
      <c r="C29" s="54">
        <v>5.15</v>
      </c>
      <c r="D29" s="117">
        <f t="shared" si="0"/>
        <v>996.8</v>
      </c>
      <c r="E29" s="77">
        <v>996.8</v>
      </c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</row>
    <row r="30" spans="1:35" s="38" customFormat="1" ht="15" x14ac:dyDescent="0.25">
      <c r="A30" s="53">
        <v>22</v>
      </c>
      <c r="B30" s="54">
        <v>5.15</v>
      </c>
      <c r="C30" s="54">
        <v>5.3</v>
      </c>
      <c r="D30" s="117">
        <f t="shared" si="0"/>
        <v>996.8</v>
      </c>
      <c r="E30" s="77">
        <v>996.8</v>
      </c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</row>
    <row r="31" spans="1:35" s="38" customFormat="1" ht="15" x14ac:dyDescent="0.25">
      <c r="A31" s="53">
        <v>23</v>
      </c>
      <c r="B31" s="54">
        <v>5.3</v>
      </c>
      <c r="C31" s="54">
        <v>5.45</v>
      </c>
      <c r="D31" s="117">
        <f t="shared" si="0"/>
        <v>996.8</v>
      </c>
      <c r="E31" s="77">
        <v>996.8</v>
      </c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</row>
    <row r="32" spans="1:35" s="38" customFormat="1" ht="15" x14ac:dyDescent="0.25">
      <c r="A32" s="53">
        <v>24</v>
      </c>
      <c r="B32" s="54">
        <v>5.45</v>
      </c>
      <c r="C32" s="54">
        <v>6</v>
      </c>
      <c r="D32" s="117">
        <f t="shared" si="0"/>
        <v>996.8</v>
      </c>
      <c r="E32" s="77">
        <v>996.8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</row>
    <row r="33" spans="1:35" s="38" customFormat="1" ht="15" x14ac:dyDescent="0.25">
      <c r="A33" s="53">
        <v>25</v>
      </c>
      <c r="B33" s="54">
        <v>6</v>
      </c>
      <c r="C33" s="54">
        <v>6.15</v>
      </c>
      <c r="D33" s="117">
        <f t="shared" si="0"/>
        <v>996.8</v>
      </c>
      <c r="E33" s="77">
        <v>996.8</v>
      </c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</row>
    <row r="34" spans="1:35" s="38" customFormat="1" ht="15" x14ac:dyDescent="0.25">
      <c r="A34" s="53">
        <v>26</v>
      </c>
      <c r="B34" s="54">
        <v>6.15</v>
      </c>
      <c r="C34" s="54">
        <v>6.3</v>
      </c>
      <c r="D34" s="117">
        <f t="shared" si="0"/>
        <v>996.8</v>
      </c>
      <c r="E34" s="77">
        <v>996.8</v>
      </c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</row>
    <row r="35" spans="1:35" s="38" customFormat="1" ht="18" customHeight="1" x14ac:dyDescent="0.25">
      <c r="A35" s="53">
        <v>27</v>
      </c>
      <c r="B35" s="54">
        <v>6.3</v>
      </c>
      <c r="C35" s="54">
        <v>6.45</v>
      </c>
      <c r="D35" s="117">
        <f t="shared" si="0"/>
        <v>996.8</v>
      </c>
      <c r="E35" s="77">
        <v>996.8</v>
      </c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</row>
    <row r="36" spans="1:35" s="38" customFormat="1" ht="15" x14ac:dyDescent="0.25">
      <c r="A36" s="53">
        <v>28</v>
      </c>
      <c r="B36" s="54">
        <v>6.45</v>
      </c>
      <c r="C36" s="54">
        <v>7</v>
      </c>
      <c r="D36" s="117">
        <f t="shared" si="0"/>
        <v>996.8</v>
      </c>
      <c r="E36" s="77">
        <v>996.8</v>
      </c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</row>
    <row r="37" spans="1:35" s="38" customFormat="1" ht="15" x14ac:dyDescent="0.25">
      <c r="A37" s="53">
        <v>29</v>
      </c>
      <c r="B37" s="54">
        <v>7</v>
      </c>
      <c r="C37" s="54">
        <v>7.15</v>
      </c>
      <c r="D37" s="117">
        <f t="shared" si="0"/>
        <v>996.8</v>
      </c>
      <c r="E37" s="77">
        <v>996.8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</row>
    <row r="38" spans="1:35" s="38" customFormat="1" ht="15" x14ac:dyDescent="0.25">
      <c r="A38" s="53">
        <v>30</v>
      </c>
      <c r="B38" s="54">
        <v>7.15</v>
      </c>
      <c r="C38" s="54">
        <v>7.3</v>
      </c>
      <c r="D38" s="117">
        <f t="shared" si="0"/>
        <v>996.8</v>
      </c>
      <c r="E38" s="77">
        <v>996.8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</row>
    <row r="39" spans="1:35" s="38" customFormat="1" ht="15" x14ac:dyDescent="0.25">
      <c r="A39" s="53">
        <v>31</v>
      </c>
      <c r="B39" s="54">
        <v>7.3</v>
      </c>
      <c r="C39" s="54">
        <v>7.45</v>
      </c>
      <c r="D39" s="117">
        <f t="shared" si="0"/>
        <v>996.8</v>
      </c>
      <c r="E39" s="77">
        <v>996.8</v>
      </c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</row>
    <row r="40" spans="1:35" s="38" customFormat="1" ht="15" x14ac:dyDescent="0.25">
      <c r="A40" s="53">
        <v>32</v>
      </c>
      <c r="B40" s="54">
        <v>7.45</v>
      </c>
      <c r="C40" s="54">
        <v>8</v>
      </c>
      <c r="D40" s="117">
        <f t="shared" si="0"/>
        <v>996.8</v>
      </c>
      <c r="E40" s="77">
        <v>996.8</v>
      </c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</row>
    <row r="41" spans="1:35" ht="15" x14ac:dyDescent="0.25">
      <c r="A41" s="53">
        <v>33</v>
      </c>
      <c r="B41" s="54">
        <v>8</v>
      </c>
      <c r="C41" s="54">
        <v>8.15</v>
      </c>
      <c r="D41" s="117">
        <f t="shared" si="0"/>
        <v>996.8</v>
      </c>
      <c r="E41" s="77">
        <v>996.8</v>
      </c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</row>
    <row r="42" spans="1:35" ht="15" x14ac:dyDescent="0.25">
      <c r="A42" s="53">
        <v>34</v>
      </c>
      <c r="B42" s="54">
        <v>8.15</v>
      </c>
      <c r="C42" s="56">
        <v>8.3000000000000007</v>
      </c>
      <c r="D42" s="117">
        <f t="shared" si="0"/>
        <v>996.8</v>
      </c>
      <c r="E42" s="77">
        <v>996.8</v>
      </c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</row>
    <row r="43" spans="1:35" ht="15" x14ac:dyDescent="0.25">
      <c r="A43" s="53">
        <v>35</v>
      </c>
      <c r="B43" s="54">
        <v>8.3000000000000007</v>
      </c>
      <c r="C43" s="54">
        <v>8.4499999999999993</v>
      </c>
      <c r="D43" s="117">
        <f t="shared" si="0"/>
        <v>996.8</v>
      </c>
      <c r="E43" s="77">
        <v>996.8</v>
      </c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</row>
    <row r="44" spans="1:35" ht="15" x14ac:dyDescent="0.25">
      <c r="A44" s="53">
        <v>36</v>
      </c>
      <c r="B44" s="54">
        <v>8.4499999999999993</v>
      </c>
      <c r="C44" s="54">
        <v>9</v>
      </c>
      <c r="D44" s="117">
        <f t="shared" si="0"/>
        <v>996.8</v>
      </c>
      <c r="E44" s="77">
        <v>996.8</v>
      </c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</row>
    <row r="45" spans="1:35" ht="15" x14ac:dyDescent="0.25">
      <c r="A45" s="53">
        <v>37</v>
      </c>
      <c r="B45" s="54">
        <v>9</v>
      </c>
      <c r="C45" s="54">
        <v>9.15</v>
      </c>
      <c r="D45" s="117">
        <f t="shared" si="0"/>
        <v>996.8</v>
      </c>
      <c r="E45" s="77">
        <v>996.8</v>
      </c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</row>
    <row r="46" spans="1:35" ht="15" x14ac:dyDescent="0.25">
      <c r="A46" s="53">
        <v>38</v>
      </c>
      <c r="B46" s="56">
        <v>9.15</v>
      </c>
      <c r="C46" s="56">
        <v>9.3000000000000007</v>
      </c>
      <c r="D46" s="117">
        <f t="shared" si="0"/>
        <v>996.8</v>
      </c>
      <c r="E46" s="77">
        <v>996.8</v>
      </c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</row>
    <row r="47" spans="1:35" ht="15" x14ac:dyDescent="0.25">
      <c r="A47" s="53">
        <v>39</v>
      </c>
      <c r="B47" s="54">
        <v>9.3000000000000007</v>
      </c>
      <c r="C47" s="54">
        <v>9.4499999999999993</v>
      </c>
      <c r="D47" s="117">
        <f t="shared" si="0"/>
        <v>996.8</v>
      </c>
      <c r="E47" s="77">
        <v>996.8</v>
      </c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</row>
    <row r="48" spans="1:35" ht="15" x14ac:dyDescent="0.25">
      <c r="A48" s="53">
        <v>40</v>
      </c>
      <c r="B48" s="54">
        <v>9.4499999999999993</v>
      </c>
      <c r="C48" s="54">
        <v>10</v>
      </c>
      <c r="D48" s="117">
        <f t="shared" si="0"/>
        <v>996.8</v>
      </c>
      <c r="E48" s="77">
        <v>996.8</v>
      </c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</row>
    <row r="49" spans="1:35" ht="15" x14ac:dyDescent="0.25">
      <c r="A49" s="53">
        <v>41</v>
      </c>
      <c r="B49" s="54">
        <v>10</v>
      </c>
      <c r="C49" s="54">
        <v>10.15</v>
      </c>
      <c r="D49" s="117">
        <f t="shared" si="0"/>
        <v>896.8</v>
      </c>
      <c r="E49" s="77">
        <v>896.8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</row>
    <row r="50" spans="1:35" ht="15" x14ac:dyDescent="0.25">
      <c r="A50" s="53">
        <v>42</v>
      </c>
      <c r="B50" s="54">
        <v>10.15</v>
      </c>
      <c r="C50" s="54">
        <v>10.3</v>
      </c>
      <c r="D50" s="117">
        <f t="shared" si="0"/>
        <v>796.8</v>
      </c>
      <c r="E50" s="77">
        <v>796.8</v>
      </c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</row>
    <row r="51" spans="1:35" ht="15" x14ac:dyDescent="0.25">
      <c r="A51" s="53">
        <v>43</v>
      </c>
      <c r="B51" s="54">
        <v>10.3</v>
      </c>
      <c r="C51" s="54">
        <v>10.45</v>
      </c>
      <c r="D51" s="117">
        <f t="shared" si="0"/>
        <v>696.8</v>
      </c>
      <c r="E51" s="77">
        <v>696.8</v>
      </c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</row>
    <row r="52" spans="1:35" ht="15" x14ac:dyDescent="0.25">
      <c r="A52" s="53">
        <v>44</v>
      </c>
      <c r="B52" s="54">
        <v>10.45</v>
      </c>
      <c r="C52" s="54">
        <v>11</v>
      </c>
      <c r="D52" s="117">
        <f t="shared" si="0"/>
        <v>680</v>
      </c>
      <c r="E52" s="77">
        <v>680</v>
      </c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</row>
    <row r="53" spans="1:35" ht="15" x14ac:dyDescent="0.25">
      <c r="A53" s="53">
        <v>45</v>
      </c>
      <c r="B53" s="54">
        <v>11</v>
      </c>
      <c r="C53" s="54">
        <v>11.15</v>
      </c>
      <c r="D53" s="117">
        <f t="shared" si="0"/>
        <v>680</v>
      </c>
      <c r="E53" s="77">
        <v>680</v>
      </c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</row>
    <row r="54" spans="1:35" ht="15" x14ac:dyDescent="0.25">
      <c r="A54" s="53">
        <v>46</v>
      </c>
      <c r="B54" s="54">
        <v>11.15</v>
      </c>
      <c r="C54" s="54">
        <v>11.3</v>
      </c>
      <c r="D54" s="117">
        <f t="shared" si="0"/>
        <v>680</v>
      </c>
      <c r="E54" s="77">
        <v>680</v>
      </c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</row>
    <row r="55" spans="1:35" ht="15" x14ac:dyDescent="0.25">
      <c r="A55" s="53">
        <v>47</v>
      </c>
      <c r="B55" s="54">
        <v>11.3</v>
      </c>
      <c r="C55" s="54">
        <v>11.45</v>
      </c>
      <c r="D55" s="117">
        <f t="shared" si="0"/>
        <v>680</v>
      </c>
      <c r="E55" s="77">
        <v>680</v>
      </c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</row>
    <row r="56" spans="1:35" ht="15" x14ac:dyDescent="0.25">
      <c r="A56" s="53">
        <v>48</v>
      </c>
      <c r="B56" s="54">
        <v>11.45</v>
      </c>
      <c r="C56" s="54">
        <v>12</v>
      </c>
      <c r="D56" s="117">
        <f t="shared" si="0"/>
        <v>680</v>
      </c>
      <c r="E56" s="77">
        <v>680</v>
      </c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</row>
    <row r="57" spans="1:35" ht="15" x14ac:dyDescent="0.25">
      <c r="A57" s="53">
        <v>49</v>
      </c>
      <c r="B57" s="54">
        <v>12</v>
      </c>
      <c r="C57" s="54">
        <v>12.15</v>
      </c>
      <c r="D57" s="117">
        <f t="shared" si="0"/>
        <v>680</v>
      </c>
      <c r="E57" s="77">
        <v>680</v>
      </c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</row>
    <row r="58" spans="1:35" ht="15" x14ac:dyDescent="0.25">
      <c r="A58" s="53">
        <v>50</v>
      </c>
      <c r="B58" s="54">
        <v>12.15</v>
      </c>
      <c r="C58" s="54">
        <v>12.3</v>
      </c>
      <c r="D58" s="117">
        <f t="shared" si="0"/>
        <v>680</v>
      </c>
      <c r="E58" s="77">
        <v>680</v>
      </c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</row>
    <row r="59" spans="1:35" ht="15" x14ac:dyDescent="0.25">
      <c r="A59" s="53">
        <v>51</v>
      </c>
      <c r="B59" s="54">
        <v>12.3</v>
      </c>
      <c r="C59" s="54">
        <v>12.45</v>
      </c>
      <c r="D59" s="117">
        <f t="shared" si="0"/>
        <v>680</v>
      </c>
      <c r="E59" s="77">
        <v>680</v>
      </c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</row>
    <row r="60" spans="1:35" ht="15" x14ac:dyDescent="0.25">
      <c r="A60" s="53">
        <v>52</v>
      </c>
      <c r="B60" s="54">
        <v>12.45</v>
      </c>
      <c r="C60" s="54">
        <v>13</v>
      </c>
      <c r="D60" s="117">
        <f t="shared" si="0"/>
        <v>680</v>
      </c>
      <c r="E60" s="77">
        <v>680</v>
      </c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</row>
    <row r="61" spans="1:35" ht="14.25" customHeight="1" x14ac:dyDescent="0.25">
      <c r="A61" s="53">
        <v>53</v>
      </c>
      <c r="B61" s="54">
        <v>13</v>
      </c>
      <c r="C61" s="54">
        <v>13.15</v>
      </c>
      <c r="D61" s="117">
        <f t="shared" si="0"/>
        <v>680</v>
      </c>
      <c r="E61" s="77">
        <v>680</v>
      </c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</row>
    <row r="62" spans="1:35" ht="15" x14ac:dyDescent="0.25">
      <c r="A62" s="53">
        <v>54</v>
      </c>
      <c r="B62" s="54">
        <v>13.15</v>
      </c>
      <c r="C62" s="54">
        <v>13.3</v>
      </c>
      <c r="D62" s="117">
        <f t="shared" si="0"/>
        <v>680</v>
      </c>
      <c r="E62" s="77">
        <v>680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</row>
    <row r="63" spans="1:35" ht="15" x14ac:dyDescent="0.25">
      <c r="A63" s="53">
        <v>55</v>
      </c>
      <c r="B63" s="54">
        <v>13.3</v>
      </c>
      <c r="C63" s="54">
        <v>13.45</v>
      </c>
      <c r="D63" s="117">
        <f t="shared" si="0"/>
        <v>680</v>
      </c>
      <c r="E63" s="77">
        <v>680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</row>
    <row r="64" spans="1:35" ht="15" x14ac:dyDescent="0.25">
      <c r="A64" s="53">
        <v>56</v>
      </c>
      <c r="B64" s="54">
        <v>13.45</v>
      </c>
      <c r="C64" s="54">
        <v>14</v>
      </c>
      <c r="D64" s="117">
        <f t="shared" si="0"/>
        <v>680</v>
      </c>
      <c r="E64" s="77">
        <v>680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</row>
    <row r="65" spans="1:35" ht="15" x14ac:dyDescent="0.25">
      <c r="A65" s="53">
        <v>57</v>
      </c>
      <c r="B65" s="54">
        <v>14</v>
      </c>
      <c r="C65" s="54">
        <v>14.15</v>
      </c>
      <c r="D65" s="117">
        <f t="shared" si="0"/>
        <v>680</v>
      </c>
      <c r="E65" s="77">
        <v>680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</row>
    <row r="66" spans="1:35" ht="15" x14ac:dyDescent="0.25">
      <c r="A66" s="53">
        <v>58</v>
      </c>
      <c r="B66" s="54">
        <v>14.15</v>
      </c>
      <c r="C66" s="54">
        <v>14.3</v>
      </c>
      <c r="D66" s="117">
        <f t="shared" si="0"/>
        <v>680</v>
      </c>
      <c r="E66" s="77">
        <v>680</v>
      </c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</row>
    <row r="67" spans="1:35" ht="15" x14ac:dyDescent="0.25">
      <c r="A67" s="53">
        <v>59</v>
      </c>
      <c r="B67" s="54">
        <v>14.3</v>
      </c>
      <c r="C67" s="54">
        <v>14.45</v>
      </c>
      <c r="D67" s="117">
        <f t="shared" si="0"/>
        <v>680</v>
      </c>
      <c r="E67" s="77">
        <v>680</v>
      </c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</row>
    <row r="68" spans="1:35" ht="15" x14ac:dyDescent="0.25">
      <c r="A68" s="53">
        <v>60</v>
      </c>
      <c r="B68" s="54">
        <v>14.45</v>
      </c>
      <c r="C68" s="54">
        <v>15</v>
      </c>
      <c r="D68" s="117">
        <f t="shared" si="0"/>
        <v>680</v>
      </c>
      <c r="E68" s="77">
        <v>680</v>
      </c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</row>
    <row r="69" spans="1:35" ht="15" x14ac:dyDescent="0.25">
      <c r="A69" s="53">
        <v>61</v>
      </c>
      <c r="B69" s="54">
        <v>15</v>
      </c>
      <c r="C69" s="54">
        <v>15.15</v>
      </c>
      <c r="D69" s="117">
        <f t="shared" si="0"/>
        <v>780</v>
      </c>
      <c r="E69" s="77">
        <v>780</v>
      </c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</row>
    <row r="70" spans="1:35" ht="15" x14ac:dyDescent="0.25">
      <c r="A70" s="53">
        <v>62</v>
      </c>
      <c r="B70" s="54">
        <v>15.15</v>
      </c>
      <c r="C70" s="54">
        <v>15.3</v>
      </c>
      <c r="D70" s="117">
        <f t="shared" si="0"/>
        <v>880</v>
      </c>
      <c r="E70" s="77">
        <v>880</v>
      </c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</row>
    <row r="71" spans="1:35" ht="15" x14ac:dyDescent="0.25">
      <c r="A71" s="53">
        <v>63</v>
      </c>
      <c r="B71" s="54">
        <v>15.3</v>
      </c>
      <c r="C71" s="54">
        <v>15.45</v>
      </c>
      <c r="D71" s="117">
        <f t="shared" si="0"/>
        <v>980</v>
      </c>
      <c r="E71" s="77">
        <v>980</v>
      </c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</row>
    <row r="72" spans="1:35" ht="15" x14ac:dyDescent="0.25">
      <c r="A72" s="53">
        <v>64</v>
      </c>
      <c r="B72" s="54">
        <v>15.45</v>
      </c>
      <c r="C72" s="54">
        <v>16</v>
      </c>
      <c r="D72" s="117">
        <f t="shared" si="0"/>
        <v>996.8</v>
      </c>
      <c r="E72" s="77">
        <v>996.8</v>
      </c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</row>
    <row r="73" spans="1:35" ht="15" x14ac:dyDescent="0.25">
      <c r="A73" s="53">
        <v>65</v>
      </c>
      <c r="B73" s="54">
        <v>16</v>
      </c>
      <c r="C73" s="54">
        <v>16.149999999999999</v>
      </c>
      <c r="D73" s="117">
        <f t="shared" si="0"/>
        <v>996.8</v>
      </c>
      <c r="E73" s="77">
        <v>996.8</v>
      </c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</row>
    <row r="74" spans="1:35" ht="15" x14ac:dyDescent="0.25">
      <c r="A74" s="53">
        <v>66</v>
      </c>
      <c r="B74" s="54">
        <v>16.149999999999999</v>
      </c>
      <c r="C74" s="54">
        <v>16.3</v>
      </c>
      <c r="D74" s="117">
        <f t="shared" ref="D74:D104" si="1">SUM(E74:AI74)</f>
        <v>996.8</v>
      </c>
      <c r="E74" s="77">
        <v>996.8</v>
      </c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</row>
    <row r="75" spans="1:35" ht="15" x14ac:dyDescent="0.25">
      <c r="A75" s="53">
        <v>67</v>
      </c>
      <c r="B75" s="54">
        <v>16.3</v>
      </c>
      <c r="C75" s="54">
        <v>16.45</v>
      </c>
      <c r="D75" s="117">
        <f t="shared" si="1"/>
        <v>996.8</v>
      </c>
      <c r="E75" s="77">
        <v>996.8</v>
      </c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</row>
    <row r="76" spans="1:35" ht="15" x14ac:dyDescent="0.25">
      <c r="A76" s="53">
        <v>68</v>
      </c>
      <c r="B76" s="54">
        <v>16.45</v>
      </c>
      <c r="C76" s="54">
        <v>17</v>
      </c>
      <c r="D76" s="117">
        <f t="shared" si="1"/>
        <v>996.8</v>
      </c>
      <c r="E76" s="77">
        <v>996.8</v>
      </c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</row>
    <row r="77" spans="1:35" ht="15" x14ac:dyDescent="0.25">
      <c r="A77" s="53">
        <v>69</v>
      </c>
      <c r="B77" s="54">
        <v>17</v>
      </c>
      <c r="C77" s="54">
        <v>17.149999999999999</v>
      </c>
      <c r="D77" s="117">
        <f t="shared" si="1"/>
        <v>996.8</v>
      </c>
      <c r="E77" s="77">
        <v>996.8</v>
      </c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</row>
    <row r="78" spans="1:35" ht="15" x14ac:dyDescent="0.25">
      <c r="A78" s="53">
        <v>70</v>
      </c>
      <c r="B78" s="54">
        <v>17.149999999999999</v>
      </c>
      <c r="C78" s="54">
        <v>17.3</v>
      </c>
      <c r="D78" s="117">
        <f t="shared" si="1"/>
        <v>996.8</v>
      </c>
      <c r="E78" s="77">
        <v>996.8</v>
      </c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</row>
    <row r="79" spans="1:35" ht="15" x14ac:dyDescent="0.25">
      <c r="A79" s="53">
        <v>71</v>
      </c>
      <c r="B79" s="54">
        <v>17.3</v>
      </c>
      <c r="C79" s="54">
        <v>17.45</v>
      </c>
      <c r="D79" s="117">
        <f t="shared" si="1"/>
        <v>996.8</v>
      </c>
      <c r="E79" s="77">
        <v>996.8</v>
      </c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</row>
    <row r="80" spans="1:35" ht="15" x14ac:dyDescent="0.25">
      <c r="A80" s="53">
        <v>72</v>
      </c>
      <c r="B80" s="54">
        <v>17.45</v>
      </c>
      <c r="C80" s="54">
        <v>18</v>
      </c>
      <c r="D80" s="117">
        <f t="shared" si="1"/>
        <v>996.8</v>
      </c>
      <c r="E80" s="77">
        <v>996.8</v>
      </c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</row>
    <row r="81" spans="1:35" ht="15" x14ac:dyDescent="0.25">
      <c r="A81" s="53">
        <v>73</v>
      </c>
      <c r="B81" s="54">
        <v>18</v>
      </c>
      <c r="C81" s="54">
        <v>18.149999999999999</v>
      </c>
      <c r="D81" s="117">
        <f t="shared" si="1"/>
        <v>996.8</v>
      </c>
      <c r="E81" s="77">
        <v>996.8</v>
      </c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</row>
    <row r="82" spans="1:35" ht="15" x14ac:dyDescent="0.25">
      <c r="A82" s="53">
        <v>74</v>
      </c>
      <c r="B82" s="54">
        <v>18.149999999999999</v>
      </c>
      <c r="C82" s="54">
        <v>18.3</v>
      </c>
      <c r="D82" s="117">
        <f t="shared" si="1"/>
        <v>996.8</v>
      </c>
      <c r="E82" s="77">
        <v>996.8</v>
      </c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</row>
    <row r="83" spans="1:35" ht="15" x14ac:dyDescent="0.25">
      <c r="A83" s="53">
        <v>75</v>
      </c>
      <c r="B83" s="54">
        <v>18.3</v>
      </c>
      <c r="C83" s="54">
        <v>18.45</v>
      </c>
      <c r="D83" s="117">
        <f t="shared" si="1"/>
        <v>996.8</v>
      </c>
      <c r="E83" s="77">
        <v>996.8</v>
      </c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</row>
    <row r="84" spans="1:35" ht="15" x14ac:dyDescent="0.25">
      <c r="A84" s="53">
        <v>76</v>
      </c>
      <c r="B84" s="54">
        <v>18.45</v>
      </c>
      <c r="C84" s="54">
        <v>19</v>
      </c>
      <c r="D84" s="117">
        <f t="shared" si="1"/>
        <v>996.8</v>
      </c>
      <c r="E84" s="77">
        <v>996.8</v>
      </c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</row>
    <row r="85" spans="1:35" ht="15" x14ac:dyDescent="0.25">
      <c r="A85" s="53">
        <v>77</v>
      </c>
      <c r="B85" s="54">
        <v>19</v>
      </c>
      <c r="C85" s="54">
        <v>19.149999999999999</v>
      </c>
      <c r="D85" s="117">
        <f t="shared" si="1"/>
        <v>996.8</v>
      </c>
      <c r="E85" s="77">
        <v>996.8</v>
      </c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</row>
    <row r="86" spans="1:35" ht="15" x14ac:dyDescent="0.25">
      <c r="A86" s="53">
        <v>78</v>
      </c>
      <c r="B86" s="54">
        <v>19.149999999999999</v>
      </c>
      <c r="C86" s="54">
        <v>19.3</v>
      </c>
      <c r="D86" s="117">
        <f t="shared" si="1"/>
        <v>996.8</v>
      </c>
      <c r="E86" s="77">
        <v>996.8</v>
      </c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</row>
    <row r="87" spans="1:35" ht="15" x14ac:dyDescent="0.25">
      <c r="A87" s="53">
        <v>79</v>
      </c>
      <c r="B87" s="54">
        <v>19.3</v>
      </c>
      <c r="C87" s="54">
        <v>19.45</v>
      </c>
      <c r="D87" s="117">
        <f t="shared" si="1"/>
        <v>996.8</v>
      </c>
      <c r="E87" s="77">
        <v>996.8</v>
      </c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</row>
    <row r="88" spans="1:35" ht="15" x14ac:dyDescent="0.25">
      <c r="A88" s="53">
        <v>80</v>
      </c>
      <c r="B88" s="54">
        <v>19.45</v>
      </c>
      <c r="C88" s="54">
        <v>20</v>
      </c>
      <c r="D88" s="117">
        <f t="shared" si="1"/>
        <v>996.8</v>
      </c>
      <c r="E88" s="77">
        <v>996.8</v>
      </c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</row>
    <row r="89" spans="1:35" ht="15" x14ac:dyDescent="0.25">
      <c r="A89" s="53">
        <v>81</v>
      </c>
      <c r="B89" s="54">
        <v>20</v>
      </c>
      <c r="C89" s="54">
        <v>20.149999999999999</v>
      </c>
      <c r="D89" s="117">
        <f t="shared" si="1"/>
        <v>996.8</v>
      </c>
      <c r="E89" s="77">
        <v>996.8</v>
      </c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</row>
    <row r="90" spans="1:35" ht="15" x14ac:dyDescent="0.25">
      <c r="A90" s="53">
        <v>82</v>
      </c>
      <c r="B90" s="54">
        <v>20.149999999999999</v>
      </c>
      <c r="C90" s="54">
        <v>20.3</v>
      </c>
      <c r="D90" s="117">
        <f t="shared" si="1"/>
        <v>996.8</v>
      </c>
      <c r="E90" s="77">
        <v>996.8</v>
      </c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</row>
    <row r="91" spans="1:35" ht="15" x14ac:dyDescent="0.25">
      <c r="A91" s="53">
        <v>83</v>
      </c>
      <c r="B91" s="54">
        <v>20.3</v>
      </c>
      <c r="C91" s="54">
        <v>20.45</v>
      </c>
      <c r="D91" s="117">
        <f t="shared" si="1"/>
        <v>996.8</v>
      </c>
      <c r="E91" s="77">
        <v>996.8</v>
      </c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</row>
    <row r="92" spans="1:35" ht="15" x14ac:dyDescent="0.25">
      <c r="A92" s="53">
        <v>84</v>
      </c>
      <c r="B92" s="54">
        <v>20.45</v>
      </c>
      <c r="C92" s="54">
        <v>21</v>
      </c>
      <c r="D92" s="117">
        <f t="shared" si="1"/>
        <v>996.8</v>
      </c>
      <c r="E92" s="77">
        <v>996.8</v>
      </c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</row>
    <row r="93" spans="1:35" ht="15" x14ac:dyDescent="0.25">
      <c r="A93" s="53">
        <v>85</v>
      </c>
      <c r="B93" s="54">
        <v>21</v>
      </c>
      <c r="C93" s="54">
        <v>21.15</v>
      </c>
      <c r="D93" s="117">
        <f t="shared" si="1"/>
        <v>996.8</v>
      </c>
      <c r="E93" s="77">
        <v>996.8</v>
      </c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</row>
    <row r="94" spans="1:35" ht="15" x14ac:dyDescent="0.25">
      <c r="A94" s="53">
        <v>86</v>
      </c>
      <c r="B94" s="54">
        <v>21.15</v>
      </c>
      <c r="C94" s="54">
        <v>21.3</v>
      </c>
      <c r="D94" s="117">
        <f t="shared" si="1"/>
        <v>996.8</v>
      </c>
      <c r="E94" s="77">
        <v>996.8</v>
      </c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</row>
    <row r="95" spans="1:35" ht="15" x14ac:dyDescent="0.25">
      <c r="A95" s="53">
        <v>87</v>
      </c>
      <c r="B95" s="54">
        <v>21.3</v>
      </c>
      <c r="C95" s="54">
        <v>21.45</v>
      </c>
      <c r="D95" s="117">
        <f t="shared" si="1"/>
        <v>996.8</v>
      </c>
      <c r="E95" s="77">
        <v>996.8</v>
      </c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</row>
    <row r="96" spans="1:35" ht="15" x14ac:dyDescent="0.25">
      <c r="A96" s="53">
        <v>88</v>
      </c>
      <c r="B96" s="54">
        <v>21.45</v>
      </c>
      <c r="C96" s="54">
        <v>22</v>
      </c>
      <c r="D96" s="117">
        <f t="shared" si="1"/>
        <v>996.8</v>
      </c>
      <c r="E96" s="77">
        <v>996.8</v>
      </c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</row>
    <row r="97" spans="1:35" ht="15" x14ac:dyDescent="0.25">
      <c r="A97" s="53">
        <v>89</v>
      </c>
      <c r="B97" s="54">
        <v>22</v>
      </c>
      <c r="C97" s="54">
        <v>22.15</v>
      </c>
      <c r="D97" s="117">
        <f t="shared" si="1"/>
        <v>996.8</v>
      </c>
      <c r="E97" s="77">
        <v>996.8</v>
      </c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</row>
    <row r="98" spans="1:35" ht="15" x14ac:dyDescent="0.25">
      <c r="A98" s="53">
        <v>90</v>
      </c>
      <c r="B98" s="54">
        <v>22.15</v>
      </c>
      <c r="C98" s="54">
        <v>22.3</v>
      </c>
      <c r="D98" s="117">
        <f t="shared" si="1"/>
        <v>996.8</v>
      </c>
      <c r="E98" s="77">
        <v>996.8</v>
      </c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</row>
    <row r="99" spans="1:35" ht="15" x14ac:dyDescent="0.25">
      <c r="A99" s="53">
        <v>91</v>
      </c>
      <c r="B99" s="54">
        <v>22.3</v>
      </c>
      <c r="C99" s="54">
        <v>22.45</v>
      </c>
      <c r="D99" s="117">
        <f t="shared" si="1"/>
        <v>996.8</v>
      </c>
      <c r="E99" s="77">
        <v>996.8</v>
      </c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</row>
    <row r="100" spans="1:35" ht="15" x14ac:dyDescent="0.25">
      <c r="A100" s="53">
        <v>92</v>
      </c>
      <c r="B100" s="54">
        <v>22.45</v>
      </c>
      <c r="C100" s="54">
        <v>23</v>
      </c>
      <c r="D100" s="117">
        <f t="shared" si="1"/>
        <v>996.8</v>
      </c>
      <c r="E100" s="77">
        <v>996.8</v>
      </c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</row>
    <row r="101" spans="1:35" ht="15" x14ac:dyDescent="0.25">
      <c r="A101" s="53">
        <v>93</v>
      </c>
      <c r="B101" s="54">
        <v>23</v>
      </c>
      <c r="C101" s="54">
        <v>23.15</v>
      </c>
      <c r="D101" s="117">
        <f t="shared" si="1"/>
        <v>996.8</v>
      </c>
      <c r="E101" s="77">
        <v>996.8</v>
      </c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</row>
    <row r="102" spans="1:35" ht="15" x14ac:dyDescent="0.25">
      <c r="A102" s="53">
        <v>94</v>
      </c>
      <c r="B102" s="54">
        <v>23.15</v>
      </c>
      <c r="C102" s="54">
        <v>23.3</v>
      </c>
      <c r="D102" s="117">
        <f t="shared" si="1"/>
        <v>996.8</v>
      </c>
      <c r="E102" s="77">
        <v>996.8</v>
      </c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</row>
    <row r="103" spans="1:35" ht="15" x14ac:dyDescent="0.25">
      <c r="A103" s="53">
        <v>95</v>
      </c>
      <c r="B103" s="54">
        <v>23.3</v>
      </c>
      <c r="C103" s="54">
        <v>23.45</v>
      </c>
      <c r="D103" s="117">
        <f t="shared" si="1"/>
        <v>996.8</v>
      </c>
      <c r="E103" s="77">
        <v>996.8</v>
      </c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</row>
    <row r="104" spans="1:35" ht="15" x14ac:dyDescent="0.25">
      <c r="A104" s="53">
        <v>96</v>
      </c>
      <c r="B104" s="54">
        <v>23.45</v>
      </c>
      <c r="C104" s="54">
        <v>24</v>
      </c>
      <c r="D104" s="117">
        <f t="shared" si="1"/>
        <v>996.8</v>
      </c>
      <c r="E104" s="77">
        <v>996.8</v>
      </c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</row>
    <row r="108" spans="1:35" x14ac:dyDescent="0.25">
      <c r="D108" s="63"/>
      <c r="E108" s="63"/>
    </row>
    <row r="290" spans="1:13" x14ac:dyDescent="0.25">
      <c r="A290" s="34">
        <f>SUM(E9:L104)</f>
        <v>89842.800000000105</v>
      </c>
    </row>
    <row r="291" spans="1:13" x14ac:dyDescent="0.25">
      <c r="A291" s="34">
        <v>1</v>
      </c>
    </row>
    <row r="292" spans="1:13" x14ac:dyDescent="0.25">
      <c r="A292" s="34">
        <v>1</v>
      </c>
      <c r="B292" s="34">
        <v>521</v>
      </c>
      <c r="C292" s="34">
        <v>281</v>
      </c>
      <c r="D292" s="34">
        <v>3</v>
      </c>
      <c r="E292" s="34">
        <v>180</v>
      </c>
      <c r="F292" s="34">
        <v>0</v>
      </c>
      <c r="G292" s="34">
        <v>0</v>
      </c>
      <c r="H292" s="34">
        <v>45</v>
      </c>
      <c r="I292" s="34">
        <v>12</v>
      </c>
      <c r="J292" s="34">
        <v>0</v>
      </c>
    </row>
    <row r="293" spans="1:13" x14ac:dyDescent="0.25">
      <c r="A293" s="34">
        <v>0</v>
      </c>
      <c r="B293" s="57">
        <f>D9</f>
        <v>1134</v>
      </c>
      <c r="C293" s="57">
        <f t="shared" ref="C293:M308" si="2">E9</f>
        <v>1134</v>
      </c>
      <c r="D293" s="57">
        <f t="shared" si="2"/>
        <v>0</v>
      </c>
      <c r="E293" s="57">
        <f t="shared" si="2"/>
        <v>0</v>
      </c>
      <c r="F293" s="57">
        <f t="shared" si="2"/>
        <v>0</v>
      </c>
      <c r="G293" s="57">
        <f t="shared" si="2"/>
        <v>0</v>
      </c>
      <c r="H293" s="57">
        <f t="shared" si="2"/>
        <v>0</v>
      </c>
      <c r="I293" s="57">
        <f t="shared" ref="I293:J324" si="3">L9</f>
        <v>0</v>
      </c>
      <c r="J293" s="57">
        <f t="shared" si="3"/>
        <v>0</v>
      </c>
      <c r="K293" s="57"/>
      <c r="L293" s="57">
        <f t="shared" si="2"/>
        <v>0</v>
      </c>
      <c r="M293" s="57">
        <f t="shared" si="2"/>
        <v>0</v>
      </c>
    </row>
    <row r="294" spans="1:13" x14ac:dyDescent="0.25">
      <c r="A294" s="34">
        <v>0</v>
      </c>
      <c r="B294" s="57">
        <f t="shared" ref="B294:M330" si="4">D10</f>
        <v>1034</v>
      </c>
      <c r="C294" s="57">
        <f t="shared" si="2"/>
        <v>1034</v>
      </c>
      <c r="D294" s="57">
        <f t="shared" si="2"/>
        <v>0</v>
      </c>
      <c r="E294" s="57">
        <f t="shared" si="2"/>
        <v>0</v>
      </c>
      <c r="F294" s="57">
        <f t="shared" si="2"/>
        <v>0</v>
      </c>
      <c r="G294" s="57">
        <f t="shared" si="2"/>
        <v>0</v>
      </c>
      <c r="H294" s="57">
        <f t="shared" si="2"/>
        <v>0</v>
      </c>
      <c r="I294" s="57">
        <f t="shared" si="3"/>
        <v>0</v>
      </c>
      <c r="J294" s="57">
        <f t="shared" si="3"/>
        <v>0</v>
      </c>
      <c r="K294" s="57"/>
      <c r="L294" s="57">
        <f t="shared" si="2"/>
        <v>0</v>
      </c>
      <c r="M294" s="57">
        <f t="shared" si="2"/>
        <v>0</v>
      </c>
    </row>
    <row r="295" spans="1:13" x14ac:dyDescent="0.25">
      <c r="A295" s="34">
        <v>0</v>
      </c>
      <c r="B295" s="57">
        <f t="shared" si="4"/>
        <v>1134</v>
      </c>
      <c r="C295" s="57">
        <f t="shared" si="2"/>
        <v>1134</v>
      </c>
      <c r="D295" s="57">
        <f t="shared" si="2"/>
        <v>0</v>
      </c>
      <c r="E295" s="57">
        <f t="shared" si="2"/>
        <v>0</v>
      </c>
      <c r="F295" s="57">
        <f t="shared" si="2"/>
        <v>0</v>
      </c>
      <c r="G295" s="57">
        <f t="shared" si="2"/>
        <v>0</v>
      </c>
      <c r="H295" s="57">
        <f t="shared" si="2"/>
        <v>0</v>
      </c>
      <c r="I295" s="57">
        <f t="shared" si="3"/>
        <v>0</v>
      </c>
      <c r="J295" s="57">
        <f t="shared" si="3"/>
        <v>0</v>
      </c>
      <c r="K295" s="57"/>
      <c r="L295" s="57">
        <f t="shared" si="2"/>
        <v>0</v>
      </c>
      <c r="M295" s="57">
        <f t="shared" si="2"/>
        <v>0</v>
      </c>
    </row>
    <row r="296" spans="1:13" x14ac:dyDescent="0.25">
      <c r="A296" s="34">
        <v>0</v>
      </c>
      <c r="B296" s="57">
        <f t="shared" si="4"/>
        <v>1134</v>
      </c>
      <c r="C296" s="57">
        <f t="shared" si="2"/>
        <v>1134</v>
      </c>
      <c r="D296" s="57">
        <f t="shared" si="2"/>
        <v>0</v>
      </c>
      <c r="E296" s="57">
        <f t="shared" si="2"/>
        <v>0</v>
      </c>
      <c r="F296" s="57">
        <f t="shared" si="2"/>
        <v>0</v>
      </c>
      <c r="G296" s="57">
        <f t="shared" si="2"/>
        <v>0</v>
      </c>
      <c r="H296" s="57">
        <f t="shared" si="2"/>
        <v>0</v>
      </c>
      <c r="I296" s="57">
        <f t="shared" si="3"/>
        <v>0</v>
      </c>
      <c r="J296" s="57">
        <f t="shared" si="3"/>
        <v>0</v>
      </c>
      <c r="K296" s="57"/>
      <c r="L296" s="57">
        <f t="shared" si="2"/>
        <v>0</v>
      </c>
      <c r="M296" s="57">
        <f t="shared" si="2"/>
        <v>0</v>
      </c>
    </row>
    <row r="297" spans="1:13" x14ac:dyDescent="0.25">
      <c r="A297" s="34">
        <v>0</v>
      </c>
      <c r="B297" s="57">
        <f t="shared" si="4"/>
        <v>1034</v>
      </c>
      <c r="C297" s="57">
        <f t="shared" si="2"/>
        <v>1034</v>
      </c>
      <c r="D297" s="57">
        <f t="shared" si="2"/>
        <v>0</v>
      </c>
      <c r="E297" s="57">
        <f t="shared" si="2"/>
        <v>0</v>
      </c>
      <c r="F297" s="57">
        <f t="shared" si="2"/>
        <v>0</v>
      </c>
      <c r="G297" s="57">
        <f t="shared" si="2"/>
        <v>0</v>
      </c>
      <c r="H297" s="57">
        <f t="shared" si="2"/>
        <v>0</v>
      </c>
      <c r="I297" s="57">
        <f t="shared" si="3"/>
        <v>0</v>
      </c>
      <c r="J297" s="57">
        <f t="shared" si="3"/>
        <v>0</v>
      </c>
      <c r="K297" s="57"/>
      <c r="L297" s="57">
        <f t="shared" si="2"/>
        <v>0</v>
      </c>
      <c r="M297" s="57">
        <f t="shared" si="2"/>
        <v>0</v>
      </c>
    </row>
    <row r="298" spans="1:13" x14ac:dyDescent="0.25">
      <c r="A298" s="34">
        <v>0</v>
      </c>
      <c r="B298" s="57">
        <f t="shared" si="4"/>
        <v>996.8</v>
      </c>
      <c r="C298" s="57">
        <f t="shared" si="2"/>
        <v>996.8</v>
      </c>
      <c r="D298" s="57">
        <f t="shared" si="2"/>
        <v>0</v>
      </c>
      <c r="E298" s="57">
        <f t="shared" si="2"/>
        <v>0</v>
      </c>
      <c r="F298" s="57">
        <f t="shared" si="2"/>
        <v>0</v>
      </c>
      <c r="G298" s="57">
        <f t="shared" si="2"/>
        <v>0</v>
      </c>
      <c r="H298" s="57">
        <f t="shared" si="2"/>
        <v>0</v>
      </c>
      <c r="I298" s="57">
        <f t="shared" si="3"/>
        <v>0</v>
      </c>
      <c r="J298" s="57">
        <f t="shared" si="3"/>
        <v>0</v>
      </c>
      <c r="K298" s="57"/>
      <c r="L298" s="57">
        <f t="shared" si="2"/>
        <v>0</v>
      </c>
      <c r="M298" s="57">
        <f t="shared" si="2"/>
        <v>0</v>
      </c>
    </row>
    <row r="299" spans="1:13" x14ac:dyDescent="0.25">
      <c r="A299" s="34">
        <v>0</v>
      </c>
      <c r="B299" s="57">
        <f t="shared" si="4"/>
        <v>996.8</v>
      </c>
      <c r="C299" s="57">
        <f t="shared" si="2"/>
        <v>996.8</v>
      </c>
      <c r="D299" s="57">
        <f t="shared" si="2"/>
        <v>0</v>
      </c>
      <c r="E299" s="57">
        <f t="shared" si="2"/>
        <v>0</v>
      </c>
      <c r="F299" s="57">
        <f t="shared" si="2"/>
        <v>0</v>
      </c>
      <c r="G299" s="57">
        <f t="shared" si="2"/>
        <v>0</v>
      </c>
      <c r="H299" s="57">
        <f t="shared" si="2"/>
        <v>0</v>
      </c>
      <c r="I299" s="57">
        <f t="shared" si="3"/>
        <v>0</v>
      </c>
      <c r="J299" s="57">
        <f t="shared" si="3"/>
        <v>0</v>
      </c>
      <c r="K299" s="57"/>
      <c r="L299" s="57">
        <f t="shared" si="2"/>
        <v>0</v>
      </c>
      <c r="M299" s="57">
        <f t="shared" si="2"/>
        <v>0</v>
      </c>
    </row>
    <row r="300" spans="1:13" x14ac:dyDescent="0.25">
      <c r="A300" s="34">
        <v>0</v>
      </c>
      <c r="B300" s="57">
        <f t="shared" si="4"/>
        <v>996.8</v>
      </c>
      <c r="C300" s="57">
        <f t="shared" si="2"/>
        <v>996.8</v>
      </c>
      <c r="D300" s="57">
        <f t="shared" si="2"/>
        <v>0</v>
      </c>
      <c r="E300" s="57">
        <f t="shared" si="2"/>
        <v>0</v>
      </c>
      <c r="F300" s="57">
        <f t="shared" si="2"/>
        <v>0</v>
      </c>
      <c r="G300" s="57">
        <f t="shared" si="2"/>
        <v>0</v>
      </c>
      <c r="H300" s="57">
        <f t="shared" si="2"/>
        <v>0</v>
      </c>
      <c r="I300" s="57">
        <f t="shared" si="3"/>
        <v>0</v>
      </c>
      <c r="J300" s="57">
        <f t="shared" si="3"/>
        <v>0</v>
      </c>
      <c r="K300" s="57"/>
      <c r="L300" s="57">
        <f t="shared" si="2"/>
        <v>0</v>
      </c>
      <c r="M300" s="57">
        <f t="shared" si="2"/>
        <v>0</v>
      </c>
    </row>
    <row r="301" spans="1:13" x14ac:dyDescent="0.25">
      <c r="A301" s="34">
        <v>0</v>
      </c>
      <c r="B301" s="57">
        <f t="shared" si="4"/>
        <v>996.8</v>
      </c>
      <c r="C301" s="57">
        <f t="shared" si="2"/>
        <v>996.8</v>
      </c>
      <c r="D301" s="57">
        <f t="shared" si="2"/>
        <v>0</v>
      </c>
      <c r="E301" s="57">
        <f t="shared" si="2"/>
        <v>0</v>
      </c>
      <c r="F301" s="57">
        <f t="shared" si="2"/>
        <v>0</v>
      </c>
      <c r="G301" s="57">
        <f t="shared" si="2"/>
        <v>0</v>
      </c>
      <c r="H301" s="57">
        <f t="shared" si="2"/>
        <v>0</v>
      </c>
      <c r="I301" s="57">
        <f t="shared" si="3"/>
        <v>0</v>
      </c>
      <c r="J301" s="57">
        <f t="shared" si="3"/>
        <v>0</v>
      </c>
      <c r="K301" s="57"/>
      <c r="L301" s="57">
        <f t="shared" si="2"/>
        <v>0</v>
      </c>
      <c r="M301" s="57">
        <f t="shared" si="2"/>
        <v>0</v>
      </c>
    </row>
    <row r="302" spans="1:13" x14ac:dyDescent="0.25">
      <c r="A302" s="34">
        <v>0</v>
      </c>
      <c r="B302" s="57">
        <f t="shared" si="4"/>
        <v>996.8</v>
      </c>
      <c r="C302" s="57">
        <f t="shared" si="2"/>
        <v>996.8</v>
      </c>
      <c r="D302" s="57">
        <f t="shared" si="2"/>
        <v>0</v>
      </c>
      <c r="E302" s="57">
        <f t="shared" si="2"/>
        <v>0</v>
      </c>
      <c r="F302" s="57">
        <f t="shared" si="2"/>
        <v>0</v>
      </c>
      <c r="G302" s="57">
        <f t="shared" si="2"/>
        <v>0</v>
      </c>
      <c r="H302" s="57">
        <f t="shared" si="2"/>
        <v>0</v>
      </c>
      <c r="I302" s="57">
        <f t="shared" si="3"/>
        <v>0</v>
      </c>
      <c r="J302" s="57">
        <f t="shared" si="3"/>
        <v>0</v>
      </c>
      <c r="K302" s="57"/>
      <c r="L302" s="57">
        <f t="shared" si="2"/>
        <v>0</v>
      </c>
      <c r="M302" s="57">
        <f t="shared" si="2"/>
        <v>0</v>
      </c>
    </row>
    <row r="303" spans="1:13" x14ac:dyDescent="0.25">
      <c r="A303" s="34">
        <v>0</v>
      </c>
      <c r="B303" s="57">
        <f t="shared" si="4"/>
        <v>996.8</v>
      </c>
      <c r="C303" s="57">
        <f t="shared" si="2"/>
        <v>996.8</v>
      </c>
      <c r="D303" s="57">
        <f t="shared" si="2"/>
        <v>0</v>
      </c>
      <c r="E303" s="57">
        <f t="shared" si="2"/>
        <v>0</v>
      </c>
      <c r="F303" s="57">
        <f t="shared" si="2"/>
        <v>0</v>
      </c>
      <c r="G303" s="57">
        <f t="shared" si="2"/>
        <v>0</v>
      </c>
      <c r="H303" s="57">
        <f t="shared" si="2"/>
        <v>0</v>
      </c>
      <c r="I303" s="57">
        <f t="shared" si="3"/>
        <v>0</v>
      </c>
      <c r="J303" s="57">
        <f t="shared" si="3"/>
        <v>0</v>
      </c>
      <c r="K303" s="57"/>
      <c r="L303" s="57">
        <f t="shared" si="2"/>
        <v>0</v>
      </c>
      <c r="M303" s="57">
        <f t="shared" si="2"/>
        <v>0</v>
      </c>
    </row>
    <row r="304" spans="1:13" x14ac:dyDescent="0.25">
      <c r="A304" s="34">
        <v>0</v>
      </c>
      <c r="B304" s="57">
        <f t="shared" si="4"/>
        <v>996.8</v>
      </c>
      <c r="C304" s="57">
        <f t="shared" si="2"/>
        <v>996.8</v>
      </c>
      <c r="D304" s="57">
        <f t="shared" si="2"/>
        <v>0</v>
      </c>
      <c r="E304" s="57">
        <f t="shared" si="2"/>
        <v>0</v>
      </c>
      <c r="F304" s="57">
        <f t="shared" si="2"/>
        <v>0</v>
      </c>
      <c r="G304" s="57">
        <f t="shared" si="2"/>
        <v>0</v>
      </c>
      <c r="H304" s="57">
        <f t="shared" si="2"/>
        <v>0</v>
      </c>
      <c r="I304" s="57">
        <f t="shared" si="3"/>
        <v>0</v>
      </c>
      <c r="J304" s="57">
        <f t="shared" si="3"/>
        <v>0</v>
      </c>
      <c r="K304" s="57"/>
      <c r="L304" s="57">
        <f t="shared" si="2"/>
        <v>0</v>
      </c>
      <c r="M304" s="57">
        <f t="shared" si="2"/>
        <v>0</v>
      </c>
    </row>
    <row r="305" spans="1:13" x14ac:dyDescent="0.25">
      <c r="A305" s="34">
        <v>0</v>
      </c>
      <c r="B305" s="57">
        <f t="shared" si="4"/>
        <v>996.8</v>
      </c>
      <c r="C305" s="57">
        <f t="shared" si="2"/>
        <v>996.8</v>
      </c>
      <c r="D305" s="57">
        <f t="shared" si="2"/>
        <v>0</v>
      </c>
      <c r="E305" s="57">
        <f t="shared" si="2"/>
        <v>0</v>
      </c>
      <c r="F305" s="57">
        <f t="shared" si="2"/>
        <v>0</v>
      </c>
      <c r="G305" s="57">
        <f t="shared" si="2"/>
        <v>0</v>
      </c>
      <c r="H305" s="57">
        <f t="shared" si="2"/>
        <v>0</v>
      </c>
      <c r="I305" s="57">
        <f t="shared" si="3"/>
        <v>0</v>
      </c>
      <c r="J305" s="57">
        <f t="shared" si="3"/>
        <v>0</v>
      </c>
      <c r="K305" s="57"/>
      <c r="L305" s="57">
        <f t="shared" si="2"/>
        <v>0</v>
      </c>
      <c r="M305" s="57">
        <f t="shared" si="2"/>
        <v>0</v>
      </c>
    </row>
    <row r="306" spans="1:13" x14ac:dyDescent="0.25">
      <c r="A306" s="34">
        <v>0</v>
      </c>
      <c r="B306" s="57">
        <f t="shared" si="4"/>
        <v>996.8</v>
      </c>
      <c r="C306" s="57">
        <f t="shared" si="2"/>
        <v>996.8</v>
      </c>
      <c r="D306" s="57">
        <f t="shared" si="2"/>
        <v>0</v>
      </c>
      <c r="E306" s="57">
        <f t="shared" si="2"/>
        <v>0</v>
      </c>
      <c r="F306" s="57">
        <f t="shared" si="2"/>
        <v>0</v>
      </c>
      <c r="G306" s="57">
        <f t="shared" si="2"/>
        <v>0</v>
      </c>
      <c r="H306" s="57">
        <f t="shared" si="2"/>
        <v>0</v>
      </c>
      <c r="I306" s="57">
        <f t="shared" si="3"/>
        <v>0</v>
      </c>
      <c r="J306" s="57">
        <f t="shared" si="3"/>
        <v>0</v>
      </c>
      <c r="K306" s="57"/>
      <c r="L306" s="57">
        <f t="shared" si="2"/>
        <v>0</v>
      </c>
      <c r="M306" s="57">
        <f t="shared" si="2"/>
        <v>0</v>
      </c>
    </row>
    <row r="307" spans="1:13" x14ac:dyDescent="0.25">
      <c r="A307" s="34">
        <v>0</v>
      </c>
      <c r="B307" s="57">
        <f t="shared" si="4"/>
        <v>996.8</v>
      </c>
      <c r="C307" s="57">
        <f t="shared" si="2"/>
        <v>996.8</v>
      </c>
      <c r="D307" s="57">
        <f t="shared" si="2"/>
        <v>0</v>
      </c>
      <c r="E307" s="57">
        <f t="shared" si="2"/>
        <v>0</v>
      </c>
      <c r="F307" s="57">
        <f t="shared" si="2"/>
        <v>0</v>
      </c>
      <c r="G307" s="57">
        <f t="shared" si="2"/>
        <v>0</v>
      </c>
      <c r="H307" s="57">
        <f t="shared" si="2"/>
        <v>0</v>
      </c>
      <c r="I307" s="57">
        <f t="shared" si="3"/>
        <v>0</v>
      </c>
      <c r="J307" s="57">
        <f t="shared" si="3"/>
        <v>0</v>
      </c>
      <c r="K307" s="57"/>
      <c r="L307" s="57">
        <f t="shared" si="2"/>
        <v>0</v>
      </c>
      <c r="M307" s="57">
        <f t="shared" si="2"/>
        <v>0</v>
      </c>
    </row>
    <row r="308" spans="1:13" x14ac:dyDescent="0.25">
      <c r="A308" s="34">
        <v>0</v>
      </c>
      <c r="B308" s="57">
        <f t="shared" si="4"/>
        <v>996.8</v>
      </c>
      <c r="C308" s="57">
        <f t="shared" si="2"/>
        <v>996.8</v>
      </c>
      <c r="D308" s="57">
        <f t="shared" si="2"/>
        <v>0</v>
      </c>
      <c r="E308" s="57">
        <f t="shared" si="2"/>
        <v>0</v>
      </c>
      <c r="F308" s="57">
        <f t="shared" si="2"/>
        <v>0</v>
      </c>
      <c r="G308" s="57">
        <f t="shared" si="2"/>
        <v>0</v>
      </c>
      <c r="H308" s="57">
        <f t="shared" si="2"/>
        <v>0</v>
      </c>
      <c r="I308" s="57">
        <f t="shared" si="3"/>
        <v>0</v>
      </c>
      <c r="J308" s="57">
        <f t="shared" si="3"/>
        <v>0</v>
      </c>
      <c r="K308" s="57"/>
      <c r="L308" s="57">
        <f t="shared" si="2"/>
        <v>0</v>
      </c>
      <c r="M308" s="57">
        <f t="shared" si="2"/>
        <v>0</v>
      </c>
    </row>
    <row r="309" spans="1:13" x14ac:dyDescent="0.25">
      <c r="A309" s="34">
        <v>0</v>
      </c>
      <c r="B309" s="57">
        <f t="shared" si="4"/>
        <v>996.8</v>
      </c>
      <c r="C309" s="57">
        <f t="shared" si="4"/>
        <v>996.8</v>
      </c>
      <c r="D309" s="57">
        <f t="shared" si="4"/>
        <v>0</v>
      </c>
      <c r="E309" s="57">
        <f t="shared" si="4"/>
        <v>0</v>
      </c>
      <c r="F309" s="57">
        <f t="shared" si="4"/>
        <v>0</v>
      </c>
      <c r="G309" s="57">
        <f t="shared" si="4"/>
        <v>0</v>
      </c>
      <c r="H309" s="57">
        <f t="shared" si="4"/>
        <v>0</v>
      </c>
      <c r="I309" s="57">
        <f t="shared" si="3"/>
        <v>0</v>
      </c>
      <c r="J309" s="57">
        <f t="shared" si="3"/>
        <v>0</v>
      </c>
      <c r="K309" s="57"/>
      <c r="L309" s="57">
        <f t="shared" si="4"/>
        <v>0</v>
      </c>
      <c r="M309" s="57">
        <f t="shared" si="4"/>
        <v>0</v>
      </c>
    </row>
    <row r="310" spans="1:13" x14ac:dyDescent="0.25">
      <c r="A310" s="34">
        <v>0</v>
      </c>
      <c r="B310" s="57">
        <f t="shared" si="4"/>
        <v>996.8</v>
      </c>
      <c r="C310" s="57">
        <f t="shared" si="4"/>
        <v>996.8</v>
      </c>
      <c r="D310" s="57">
        <f t="shared" si="4"/>
        <v>0</v>
      </c>
      <c r="E310" s="57">
        <f t="shared" si="4"/>
        <v>0</v>
      </c>
      <c r="F310" s="57">
        <f t="shared" si="4"/>
        <v>0</v>
      </c>
      <c r="G310" s="57">
        <f t="shared" si="4"/>
        <v>0</v>
      </c>
      <c r="H310" s="57">
        <f t="shared" si="4"/>
        <v>0</v>
      </c>
      <c r="I310" s="57">
        <f t="shared" si="3"/>
        <v>0</v>
      </c>
      <c r="J310" s="57">
        <f t="shared" si="3"/>
        <v>0</v>
      </c>
      <c r="K310" s="57"/>
      <c r="L310" s="57">
        <f t="shared" si="4"/>
        <v>0</v>
      </c>
      <c r="M310" s="57">
        <f t="shared" si="4"/>
        <v>0</v>
      </c>
    </row>
    <row r="311" spans="1:13" x14ac:dyDescent="0.25">
      <c r="A311" s="34">
        <v>0</v>
      </c>
      <c r="B311" s="57">
        <f t="shared" si="4"/>
        <v>996.8</v>
      </c>
      <c r="C311" s="57">
        <f t="shared" si="4"/>
        <v>996.8</v>
      </c>
      <c r="D311" s="57">
        <f t="shared" si="4"/>
        <v>0</v>
      </c>
      <c r="E311" s="57">
        <f t="shared" si="4"/>
        <v>0</v>
      </c>
      <c r="F311" s="57">
        <f t="shared" si="4"/>
        <v>0</v>
      </c>
      <c r="G311" s="57">
        <f t="shared" si="4"/>
        <v>0</v>
      </c>
      <c r="H311" s="57">
        <f t="shared" si="4"/>
        <v>0</v>
      </c>
      <c r="I311" s="57">
        <f t="shared" si="3"/>
        <v>0</v>
      </c>
      <c r="J311" s="57">
        <f t="shared" si="3"/>
        <v>0</v>
      </c>
      <c r="K311" s="57"/>
      <c r="L311" s="57">
        <f t="shared" si="4"/>
        <v>0</v>
      </c>
      <c r="M311" s="57">
        <f t="shared" si="4"/>
        <v>0</v>
      </c>
    </row>
    <row r="312" spans="1:13" x14ac:dyDescent="0.25">
      <c r="A312" s="34">
        <v>0</v>
      </c>
      <c r="B312" s="57">
        <f t="shared" si="4"/>
        <v>996.8</v>
      </c>
      <c r="C312" s="57">
        <f t="shared" si="4"/>
        <v>996.8</v>
      </c>
      <c r="D312" s="57">
        <f t="shared" si="4"/>
        <v>0</v>
      </c>
      <c r="E312" s="57">
        <f t="shared" si="4"/>
        <v>0</v>
      </c>
      <c r="F312" s="57">
        <f t="shared" si="4"/>
        <v>0</v>
      </c>
      <c r="G312" s="57">
        <f t="shared" si="4"/>
        <v>0</v>
      </c>
      <c r="H312" s="57">
        <f t="shared" si="4"/>
        <v>0</v>
      </c>
      <c r="I312" s="57">
        <f t="shared" si="3"/>
        <v>0</v>
      </c>
      <c r="J312" s="57">
        <f t="shared" si="3"/>
        <v>0</v>
      </c>
      <c r="K312" s="57"/>
      <c r="L312" s="57">
        <f t="shared" si="4"/>
        <v>0</v>
      </c>
      <c r="M312" s="57">
        <f t="shared" si="4"/>
        <v>0</v>
      </c>
    </row>
    <row r="313" spans="1:13" x14ac:dyDescent="0.25">
      <c r="A313" s="34">
        <v>0</v>
      </c>
      <c r="B313" s="57">
        <f t="shared" si="4"/>
        <v>996.8</v>
      </c>
      <c r="C313" s="57">
        <f t="shared" si="4"/>
        <v>996.8</v>
      </c>
      <c r="D313" s="57">
        <f t="shared" si="4"/>
        <v>0</v>
      </c>
      <c r="E313" s="57">
        <f t="shared" si="4"/>
        <v>0</v>
      </c>
      <c r="F313" s="57">
        <f t="shared" si="4"/>
        <v>0</v>
      </c>
      <c r="G313" s="57">
        <f t="shared" si="4"/>
        <v>0</v>
      </c>
      <c r="H313" s="57">
        <f t="shared" si="4"/>
        <v>0</v>
      </c>
      <c r="I313" s="57">
        <f t="shared" si="3"/>
        <v>0</v>
      </c>
      <c r="J313" s="57">
        <f t="shared" si="3"/>
        <v>0</v>
      </c>
      <c r="K313" s="57"/>
      <c r="L313" s="57">
        <f t="shared" si="4"/>
        <v>0</v>
      </c>
      <c r="M313" s="57">
        <f t="shared" si="4"/>
        <v>0</v>
      </c>
    </row>
    <row r="314" spans="1:13" x14ac:dyDescent="0.25">
      <c r="A314" s="34">
        <v>0</v>
      </c>
      <c r="B314" s="57">
        <f t="shared" si="4"/>
        <v>996.8</v>
      </c>
      <c r="C314" s="57">
        <f t="shared" si="4"/>
        <v>996.8</v>
      </c>
      <c r="D314" s="57">
        <f t="shared" si="4"/>
        <v>0</v>
      </c>
      <c r="E314" s="57">
        <f t="shared" si="4"/>
        <v>0</v>
      </c>
      <c r="F314" s="57">
        <f t="shared" si="4"/>
        <v>0</v>
      </c>
      <c r="G314" s="57">
        <f t="shared" si="4"/>
        <v>0</v>
      </c>
      <c r="H314" s="57">
        <f t="shared" si="4"/>
        <v>0</v>
      </c>
      <c r="I314" s="57">
        <f t="shared" si="3"/>
        <v>0</v>
      </c>
      <c r="J314" s="57">
        <f t="shared" si="3"/>
        <v>0</v>
      </c>
      <c r="K314" s="57"/>
      <c r="L314" s="57">
        <f t="shared" si="4"/>
        <v>0</v>
      </c>
      <c r="M314" s="57">
        <f t="shared" si="4"/>
        <v>0</v>
      </c>
    </row>
    <row r="315" spans="1:13" x14ac:dyDescent="0.25">
      <c r="A315" s="34">
        <v>0</v>
      </c>
      <c r="B315" s="57">
        <f t="shared" si="4"/>
        <v>996.8</v>
      </c>
      <c r="C315" s="57">
        <f t="shared" si="4"/>
        <v>996.8</v>
      </c>
      <c r="D315" s="57">
        <f t="shared" si="4"/>
        <v>0</v>
      </c>
      <c r="E315" s="57">
        <f t="shared" si="4"/>
        <v>0</v>
      </c>
      <c r="F315" s="57">
        <f t="shared" si="4"/>
        <v>0</v>
      </c>
      <c r="G315" s="57">
        <f t="shared" si="4"/>
        <v>0</v>
      </c>
      <c r="H315" s="57">
        <f t="shared" si="4"/>
        <v>0</v>
      </c>
      <c r="I315" s="57">
        <f t="shared" si="3"/>
        <v>0</v>
      </c>
      <c r="J315" s="57">
        <f t="shared" si="3"/>
        <v>0</v>
      </c>
      <c r="K315" s="57"/>
      <c r="L315" s="57">
        <f t="shared" si="4"/>
        <v>0</v>
      </c>
      <c r="M315" s="57">
        <f t="shared" si="4"/>
        <v>0</v>
      </c>
    </row>
    <row r="316" spans="1:13" x14ac:dyDescent="0.25">
      <c r="A316" s="34">
        <v>0</v>
      </c>
      <c r="B316" s="57">
        <f t="shared" si="4"/>
        <v>996.8</v>
      </c>
      <c r="C316" s="57">
        <f t="shared" si="4"/>
        <v>996.8</v>
      </c>
      <c r="D316" s="57">
        <f t="shared" si="4"/>
        <v>0</v>
      </c>
      <c r="E316" s="57">
        <f t="shared" si="4"/>
        <v>0</v>
      </c>
      <c r="F316" s="57">
        <f t="shared" si="4"/>
        <v>0</v>
      </c>
      <c r="G316" s="57">
        <f t="shared" si="4"/>
        <v>0</v>
      </c>
      <c r="H316" s="57">
        <f t="shared" si="4"/>
        <v>0</v>
      </c>
      <c r="I316" s="57">
        <f t="shared" si="3"/>
        <v>0</v>
      </c>
      <c r="J316" s="57">
        <f t="shared" si="3"/>
        <v>0</v>
      </c>
      <c r="K316" s="57"/>
      <c r="L316" s="57">
        <f t="shared" si="4"/>
        <v>0</v>
      </c>
      <c r="M316" s="57">
        <f t="shared" si="4"/>
        <v>0</v>
      </c>
    </row>
    <row r="317" spans="1:13" x14ac:dyDescent="0.25">
      <c r="A317" s="34">
        <v>0</v>
      </c>
      <c r="B317" s="57">
        <f t="shared" si="4"/>
        <v>996.8</v>
      </c>
      <c r="C317" s="57">
        <f t="shared" si="4"/>
        <v>996.8</v>
      </c>
      <c r="D317" s="57">
        <f t="shared" si="4"/>
        <v>0</v>
      </c>
      <c r="E317" s="57">
        <f t="shared" si="4"/>
        <v>0</v>
      </c>
      <c r="F317" s="57">
        <f t="shared" si="4"/>
        <v>0</v>
      </c>
      <c r="G317" s="57">
        <f t="shared" si="4"/>
        <v>0</v>
      </c>
      <c r="H317" s="57">
        <f t="shared" si="4"/>
        <v>0</v>
      </c>
      <c r="I317" s="57">
        <f t="shared" si="3"/>
        <v>0</v>
      </c>
      <c r="J317" s="57">
        <f t="shared" si="3"/>
        <v>0</v>
      </c>
      <c r="K317" s="57"/>
      <c r="L317" s="57">
        <f t="shared" si="4"/>
        <v>0</v>
      </c>
      <c r="M317" s="57">
        <f t="shared" si="4"/>
        <v>0</v>
      </c>
    </row>
    <row r="318" spans="1:13" x14ac:dyDescent="0.25">
      <c r="A318" s="34">
        <v>0</v>
      </c>
      <c r="B318" s="57">
        <f t="shared" si="4"/>
        <v>996.8</v>
      </c>
      <c r="C318" s="57">
        <f t="shared" si="4"/>
        <v>996.8</v>
      </c>
      <c r="D318" s="57">
        <f t="shared" si="4"/>
        <v>0</v>
      </c>
      <c r="E318" s="57">
        <f t="shared" si="4"/>
        <v>0</v>
      </c>
      <c r="F318" s="57">
        <f t="shared" si="4"/>
        <v>0</v>
      </c>
      <c r="G318" s="57">
        <f t="shared" si="4"/>
        <v>0</v>
      </c>
      <c r="H318" s="57">
        <f t="shared" si="4"/>
        <v>0</v>
      </c>
      <c r="I318" s="57">
        <f t="shared" si="3"/>
        <v>0</v>
      </c>
      <c r="J318" s="57">
        <f t="shared" si="3"/>
        <v>0</v>
      </c>
      <c r="K318" s="57"/>
      <c r="L318" s="57">
        <f t="shared" si="4"/>
        <v>0</v>
      </c>
      <c r="M318" s="57">
        <f t="shared" si="4"/>
        <v>0</v>
      </c>
    </row>
    <row r="319" spans="1:13" x14ac:dyDescent="0.25">
      <c r="A319" s="34">
        <v>0</v>
      </c>
      <c r="B319" s="57">
        <f t="shared" si="4"/>
        <v>996.8</v>
      </c>
      <c r="C319" s="57">
        <f t="shared" si="4"/>
        <v>996.8</v>
      </c>
      <c r="D319" s="57">
        <f t="shared" si="4"/>
        <v>0</v>
      </c>
      <c r="E319" s="57">
        <f t="shared" si="4"/>
        <v>0</v>
      </c>
      <c r="F319" s="57">
        <f t="shared" si="4"/>
        <v>0</v>
      </c>
      <c r="G319" s="57">
        <f t="shared" si="4"/>
        <v>0</v>
      </c>
      <c r="H319" s="57">
        <f t="shared" si="4"/>
        <v>0</v>
      </c>
      <c r="I319" s="57">
        <f t="shared" si="3"/>
        <v>0</v>
      </c>
      <c r="J319" s="57">
        <f t="shared" si="3"/>
        <v>0</v>
      </c>
      <c r="K319" s="57"/>
      <c r="L319" s="57">
        <f t="shared" si="4"/>
        <v>0</v>
      </c>
      <c r="M319" s="57">
        <f t="shared" si="4"/>
        <v>0</v>
      </c>
    </row>
    <row r="320" spans="1:13" x14ac:dyDescent="0.25">
      <c r="A320" s="34">
        <v>0</v>
      </c>
      <c r="B320" s="57">
        <f t="shared" si="4"/>
        <v>996.8</v>
      </c>
      <c r="C320" s="57">
        <f t="shared" si="4"/>
        <v>996.8</v>
      </c>
      <c r="D320" s="57">
        <f t="shared" si="4"/>
        <v>0</v>
      </c>
      <c r="E320" s="57">
        <f t="shared" si="4"/>
        <v>0</v>
      </c>
      <c r="F320" s="57">
        <f t="shared" si="4"/>
        <v>0</v>
      </c>
      <c r="G320" s="57">
        <f t="shared" si="4"/>
        <v>0</v>
      </c>
      <c r="H320" s="57">
        <f t="shared" si="4"/>
        <v>0</v>
      </c>
      <c r="I320" s="57">
        <f t="shared" si="3"/>
        <v>0</v>
      </c>
      <c r="J320" s="57">
        <f t="shared" si="3"/>
        <v>0</v>
      </c>
      <c r="K320" s="57"/>
      <c r="L320" s="57">
        <f t="shared" si="4"/>
        <v>0</v>
      </c>
      <c r="M320" s="57">
        <f t="shared" si="4"/>
        <v>0</v>
      </c>
    </row>
    <row r="321" spans="1:13" x14ac:dyDescent="0.25">
      <c r="A321" s="34">
        <v>0</v>
      </c>
      <c r="B321" s="57">
        <f t="shared" si="4"/>
        <v>996.8</v>
      </c>
      <c r="C321" s="57">
        <f t="shared" si="4"/>
        <v>996.8</v>
      </c>
      <c r="D321" s="57">
        <f t="shared" si="4"/>
        <v>0</v>
      </c>
      <c r="E321" s="57">
        <f t="shared" si="4"/>
        <v>0</v>
      </c>
      <c r="F321" s="57">
        <f t="shared" si="4"/>
        <v>0</v>
      </c>
      <c r="G321" s="57">
        <f t="shared" si="4"/>
        <v>0</v>
      </c>
      <c r="H321" s="57">
        <f t="shared" si="4"/>
        <v>0</v>
      </c>
      <c r="I321" s="57">
        <f t="shared" si="3"/>
        <v>0</v>
      </c>
      <c r="J321" s="57">
        <f t="shared" si="3"/>
        <v>0</v>
      </c>
      <c r="K321" s="57"/>
      <c r="L321" s="57">
        <f t="shared" si="4"/>
        <v>0</v>
      </c>
      <c r="M321" s="57">
        <f t="shared" si="4"/>
        <v>0</v>
      </c>
    </row>
    <row r="322" spans="1:13" x14ac:dyDescent="0.25">
      <c r="A322" s="34">
        <v>0</v>
      </c>
      <c r="B322" s="57">
        <f t="shared" si="4"/>
        <v>996.8</v>
      </c>
      <c r="C322" s="57">
        <f t="shared" si="4"/>
        <v>996.8</v>
      </c>
      <c r="D322" s="57">
        <f t="shared" si="4"/>
        <v>0</v>
      </c>
      <c r="E322" s="57">
        <f t="shared" si="4"/>
        <v>0</v>
      </c>
      <c r="F322" s="57">
        <f t="shared" si="4"/>
        <v>0</v>
      </c>
      <c r="G322" s="57">
        <f t="shared" si="4"/>
        <v>0</v>
      </c>
      <c r="H322" s="57">
        <f t="shared" si="4"/>
        <v>0</v>
      </c>
      <c r="I322" s="57">
        <f t="shared" si="3"/>
        <v>0</v>
      </c>
      <c r="J322" s="57">
        <f t="shared" si="3"/>
        <v>0</v>
      </c>
      <c r="K322" s="57"/>
      <c r="L322" s="57">
        <f t="shared" si="4"/>
        <v>0</v>
      </c>
      <c r="M322" s="57">
        <f t="shared" si="4"/>
        <v>0</v>
      </c>
    </row>
    <row r="323" spans="1:13" x14ac:dyDescent="0.25">
      <c r="A323" s="34">
        <v>0</v>
      </c>
      <c r="B323" s="57">
        <f t="shared" si="4"/>
        <v>996.8</v>
      </c>
      <c r="C323" s="57">
        <f t="shared" si="4"/>
        <v>996.8</v>
      </c>
      <c r="D323" s="57">
        <f t="shared" si="4"/>
        <v>0</v>
      </c>
      <c r="E323" s="57">
        <f t="shared" si="4"/>
        <v>0</v>
      </c>
      <c r="F323" s="57">
        <f t="shared" si="4"/>
        <v>0</v>
      </c>
      <c r="G323" s="57">
        <f t="shared" si="4"/>
        <v>0</v>
      </c>
      <c r="H323" s="57">
        <f t="shared" si="4"/>
        <v>0</v>
      </c>
      <c r="I323" s="57">
        <f t="shared" si="3"/>
        <v>0</v>
      </c>
      <c r="J323" s="57">
        <f t="shared" si="3"/>
        <v>0</v>
      </c>
      <c r="K323" s="57"/>
      <c r="L323" s="57">
        <f t="shared" si="4"/>
        <v>0</v>
      </c>
      <c r="M323" s="57">
        <f t="shared" si="4"/>
        <v>0</v>
      </c>
    </row>
    <row r="324" spans="1:13" x14ac:dyDescent="0.25">
      <c r="A324" s="34">
        <v>0</v>
      </c>
      <c r="B324" s="57">
        <f t="shared" si="4"/>
        <v>996.8</v>
      </c>
      <c r="C324" s="57">
        <f t="shared" si="4"/>
        <v>996.8</v>
      </c>
      <c r="D324" s="57">
        <f t="shared" si="4"/>
        <v>0</v>
      </c>
      <c r="E324" s="57">
        <f t="shared" si="4"/>
        <v>0</v>
      </c>
      <c r="F324" s="57">
        <f t="shared" si="4"/>
        <v>0</v>
      </c>
      <c r="G324" s="57">
        <f t="shared" si="4"/>
        <v>0</v>
      </c>
      <c r="H324" s="57">
        <f t="shared" si="4"/>
        <v>0</v>
      </c>
      <c r="I324" s="57">
        <f t="shared" si="3"/>
        <v>0</v>
      </c>
      <c r="J324" s="57">
        <f t="shared" si="3"/>
        <v>0</v>
      </c>
      <c r="K324" s="57"/>
      <c r="L324" s="57">
        <f t="shared" si="4"/>
        <v>0</v>
      </c>
      <c r="M324" s="57">
        <f t="shared" si="4"/>
        <v>0</v>
      </c>
    </row>
    <row r="325" spans="1:13" x14ac:dyDescent="0.25">
      <c r="A325" s="34">
        <v>0</v>
      </c>
      <c r="B325" s="57">
        <f t="shared" si="4"/>
        <v>996.8</v>
      </c>
      <c r="C325" s="57">
        <f t="shared" si="4"/>
        <v>996.8</v>
      </c>
      <c r="D325" s="57">
        <f t="shared" si="4"/>
        <v>0</v>
      </c>
      <c r="E325" s="57">
        <f t="shared" si="4"/>
        <v>0</v>
      </c>
      <c r="F325" s="57">
        <f t="shared" si="4"/>
        <v>0</v>
      </c>
      <c r="G325" s="57">
        <f t="shared" si="4"/>
        <v>0</v>
      </c>
      <c r="H325" s="57">
        <f t="shared" si="4"/>
        <v>0</v>
      </c>
      <c r="I325" s="57">
        <f t="shared" ref="I325:J356" si="5">L41</f>
        <v>0</v>
      </c>
      <c r="J325" s="57">
        <f t="shared" si="5"/>
        <v>0</v>
      </c>
      <c r="K325" s="57"/>
      <c r="L325" s="57">
        <f t="shared" si="4"/>
        <v>0</v>
      </c>
      <c r="M325" s="57">
        <f t="shared" si="4"/>
        <v>0</v>
      </c>
    </row>
    <row r="326" spans="1:13" x14ac:dyDescent="0.25">
      <c r="A326" s="34">
        <v>0</v>
      </c>
      <c r="B326" s="57">
        <f t="shared" si="4"/>
        <v>996.8</v>
      </c>
      <c r="C326" s="57">
        <f t="shared" si="4"/>
        <v>996.8</v>
      </c>
      <c r="D326" s="57">
        <f t="shared" si="4"/>
        <v>0</v>
      </c>
      <c r="E326" s="57">
        <f t="shared" si="4"/>
        <v>0</v>
      </c>
      <c r="F326" s="57">
        <f t="shared" si="4"/>
        <v>0</v>
      </c>
      <c r="G326" s="57">
        <f t="shared" si="4"/>
        <v>0</v>
      </c>
      <c r="H326" s="57">
        <f t="shared" si="4"/>
        <v>0</v>
      </c>
      <c r="I326" s="57">
        <f t="shared" si="5"/>
        <v>0</v>
      </c>
      <c r="J326" s="57">
        <f t="shared" si="5"/>
        <v>0</v>
      </c>
      <c r="K326" s="57"/>
      <c r="L326" s="57">
        <f t="shared" si="4"/>
        <v>0</v>
      </c>
      <c r="M326" s="57">
        <f t="shared" si="4"/>
        <v>0</v>
      </c>
    </row>
    <row r="327" spans="1:13" x14ac:dyDescent="0.25">
      <c r="A327" s="34">
        <v>0</v>
      </c>
      <c r="B327" s="57">
        <f t="shared" si="4"/>
        <v>996.8</v>
      </c>
      <c r="C327" s="57">
        <f t="shared" si="4"/>
        <v>996.8</v>
      </c>
      <c r="D327" s="57">
        <f t="shared" si="4"/>
        <v>0</v>
      </c>
      <c r="E327" s="57">
        <f t="shared" si="4"/>
        <v>0</v>
      </c>
      <c r="F327" s="57">
        <f t="shared" si="4"/>
        <v>0</v>
      </c>
      <c r="G327" s="57">
        <f t="shared" si="4"/>
        <v>0</v>
      </c>
      <c r="H327" s="57">
        <f t="shared" si="4"/>
        <v>0</v>
      </c>
      <c r="I327" s="57">
        <f t="shared" si="5"/>
        <v>0</v>
      </c>
      <c r="J327" s="57">
        <f t="shared" si="5"/>
        <v>0</v>
      </c>
      <c r="K327" s="57"/>
      <c r="L327" s="57">
        <f t="shared" si="4"/>
        <v>0</v>
      </c>
      <c r="M327" s="57">
        <f t="shared" si="4"/>
        <v>0</v>
      </c>
    </row>
    <row r="328" spans="1:13" x14ac:dyDescent="0.25">
      <c r="A328" s="34">
        <v>0</v>
      </c>
      <c r="B328" s="57">
        <f t="shared" si="4"/>
        <v>996.8</v>
      </c>
      <c r="C328" s="57">
        <f t="shared" si="4"/>
        <v>996.8</v>
      </c>
      <c r="D328" s="57">
        <f t="shared" si="4"/>
        <v>0</v>
      </c>
      <c r="E328" s="57">
        <f t="shared" si="4"/>
        <v>0</v>
      </c>
      <c r="F328" s="57">
        <f t="shared" si="4"/>
        <v>0</v>
      </c>
      <c r="G328" s="57">
        <f t="shared" si="4"/>
        <v>0</v>
      </c>
      <c r="H328" s="57">
        <f t="shared" si="4"/>
        <v>0</v>
      </c>
      <c r="I328" s="57">
        <f t="shared" si="5"/>
        <v>0</v>
      </c>
      <c r="J328" s="57">
        <f t="shared" si="5"/>
        <v>0</v>
      </c>
      <c r="K328" s="57"/>
      <c r="L328" s="57">
        <f t="shared" si="4"/>
        <v>0</v>
      </c>
      <c r="M328" s="57">
        <f t="shared" si="4"/>
        <v>0</v>
      </c>
    </row>
    <row r="329" spans="1:13" x14ac:dyDescent="0.25">
      <c r="A329" s="34">
        <v>0</v>
      </c>
      <c r="B329" s="57">
        <f t="shared" si="4"/>
        <v>996.8</v>
      </c>
      <c r="C329" s="57">
        <f t="shared" si="4"/>
        <v>996.8</v>
      </c>
      <c r="D329" s="57">
        <f t="shared" si="4"/>
        <v>0</v>
      </c>
      <c r="E329" s="57">
        <f t="shared" si="4"/>
        <v>0</v>
      </c>
      <c r="F329" s="57">
        <f t="shared" si="4"/>
        <v>0</v>
      </c>
      <c r="G329" s="57">
        <f t="shared" si="4"/>
        <v>0</v>
      </c>
      <c r="H329" s="57">
        <f t="shared" si="4"/>
        <v>0</v>
      </c>
      <c r="I329" s="57">
        <f t="shared" si="5"/>
        <v>0</v>
      </c>
      <c r="J329" s="57">
        <f t="shared" si="5"/>
        <v>0</v>
      </c>
      <c r="K329" s="57"/>
      <c r="L329" s="57">
        <f t="shared" si="4"/>
        <v>0</v>
      </c>
      <c r="M329" s="57">
        <f t="shared" si="4"/>
        <v>0</v>
      </c>
    </row>
    <row r="330" spans="1:13" x14ac:dyDescent="0.25">
      <c r="A330" s="34">
        <v>0</v>
      </c>
      <c r="B330" s="57">
        <f t="shared" si="4"/>
        <v>996.8</v>
      </c>
      <c r="C330" s="57">
        <f t="shared" si="4"/>
        <v>996.8</v>
      </c>
      <c r="D330" s="57">
        <f t="shared" si="4"/>
        <v>0</v>
      </c>
      <c r="E330" s="57">
        <f t="shared" si="4"/>
        <v>0</v>
      </c>
      <c r="F330" s="57">
        <f t="shared" si="4"/>
        <v>0</v>
      </c>
      <c r="G330" s="57">
        <f t="shared" si="4"/>
        <v>0</v>
      </c>
      <c r="H330" s="57">
        <f t="shared" si="4"/>
        <v>0</v>
      </c>
      <c r="I330" s="57">
        <f t="shared" si="5"/>
        <v>0</v>
      </c>
      <c r="J330" s="57">
        <f t="shared" si="5"/>
        <v>0</v>
      </c>
      <c r="K330" s="57"/>
      <c r="L330" s="57">
        <f t="shared" si="4"/>
        <v>0</v>
      </c>
      <c r="M330" s="57">
        <f t="shared" si="4"/>
        <v>0</v>
      </c>
    </row>
    <row r="331" spans="1:13" x14ac:dyDescent="0.25">
      <c r="A331" s="34">
        <v>0</v>
      </c>
      <c r="B331" s="57">
        <f t="shared" ref="B331:H359" si="6">D47</f>
        <v>996.8</v>
      </c>
      <c r="C331" s="57">
        <f t="shared" si="6"/>
        <v>996.8</v>
      </c>
      <c r="D331" s="57">
        <f t="shared" si="6"/>
        <v>0</v>
      </c>
      <c r="E331" s="57">
        <f t="shared" si="6"/>
        <v>0</v>
      </c>
      <c r="F331" s="57">
        <f t="shared" si="6"/>
        <v>0</v>
      </c>
      <c r="G331" s="57">
        <f t="shared" si="6"/>
        <v>0</v>
      </c>
      <c r="H331" s="57">
        <f t="shared" si="6"/>
        <v>0</v>
      </c>
      <c r="I331" s="57">
        <f t="shared" si="5"/>
        <v>0</v>
      </c>
      <c r="J331" s="57">
        <f t="shared" si="5"/>
        <v>0</v>
      </c>
      <c r="K331" s="57"/>
      <c r="L331" s="57">
        <f t="shared" ref="L331:M388" si="7">N47</f>
        <v>0</v>
      </c>
      <c r="M331" s="57">
        <f t="shared" si="7"/>
        <v>0</v>
      </c>
    </row>
    <row r="332" spans="1:13" x14ac:dyDescent="0.25">
      <c r="A332" s="34">
        <v>0</v>
      </c>
      <c r="B332" s="57">
        <f t="shared" si="6"/>
        <v>996.8</v>
      </c>
      <c r="C332" s="57">
        <f t="shared" si="6"/>
        <v>996.8</v>
      </c>
      <c r="D332" s="57">
        <f t="shared" si="6"/>
        <v>0</v>
      </c>
      <c r="E332" s="57">
        <f t="shared" si="6"/>
        <v>0</v>
      </c>
      <c r="F332" s="57">
        <f t="shared" si="6"/>
        <v>0</v>
      </c>
      <c r="G332" s="57">
        <f t="shared" si="6"/>
        <v>0</v>
      </c>
      <c r="H332" s="57">
        <f t="shared" si="6"/>
        <v>0</v>
      </c>
      <c r="I332" s="57">
        <f t="shared" si="5"/>
        <v>0</v>
      </c>
      <c r="J332" s="57">
        <f t="shared" si="5"/>
        <v>0</v>
      </c>
      <c r="K332" s="57"/>
      <c r="L332" s="57">
        <f t="shared" si="7"/>
        <v>0</v>
      </c>
      <c r="M332" s="57">
        <f t="shared" si="7"/>
        <v>0</v>
      </c>
    </row>
    <row r="333" spans="1:13" x14ac:dyDescent="0.25">
      <c r="A333" s="34">
        <v>0</v>
      </c>
      <c r="B333" s="57">
        <f t="shared" si="6"/>
        <v>896.8</v>
      </c>
      <c r="C333" s="57">
        <f t="shared" si="6"/>
        <v>896.8</v>
      </c>
      <c r="D333" s="57">
        <f t="shared" si="6"/>
        <v>0</v>
      </c>
      <c r="E333" s="57">
        <f t="shared" si="6"/>
        <v>0</v>
      </c>
      <c r="F333" s="57">
        <f t="shared" si="6"/>
        <v>0</v>
      </c>
      <c r="G333" s="57">
        <f t="shared" si="6"/>
        <v>0</v>
      </c>
      <c r="H333" s="57">
        <f t="shared" si="6"/>
        <v>0</v>
      </c>
      <c r="I333" s="57">
        <f t="shared" si="5"/>
        <v>0</v>
      </c>
      <c r="J333" s="57">
        <f t="shared" si="5"/>
        <v>0</v>
      </c>
      <c r="K333" s="57"/>
      <c r="L333" s="57">
        <f t="shared" si="7"/>
        <v>0</v>
      </c>
      <c r="M333" s="57">
        <f t="shared" si="7"/>
        <v>0</v>
      </c>
    </row>
    <row r="334" spans="1:13" x14ac:dyDescent="0.25">
      <c r="A334" s="34">
        <v>0</v>
      </c>
      <c r="B334" s="57">
        <f t="shared" si="6"/>
        <v>796.8</v>
      </c>
      <c r="C334" s="57">
        <f t="shared" si="6"/>
        <v>796.8</v>
      </c>
      <c r="D334" s="57">
        <f t="shared" si="6"/>
        <v>0</v>
      </c>
      <c r="E334" s="57">
        <f t="shared" si="6"/>
        <v>0</v>
      </c>
      <c r="F334" s="57">
        <f t="shared" si="6"/>
        <v>0</v>
      </c>
      <c r="G334" s="57">
        <f t="shared" si="6"/>
        <v>0</v>
      </c>
      <c r="H334" s="57">
        <f t="shared" si="6"/>
        <v>0</v>
      </c>
      <c r="I334" s="57">
        <f t="shared" si="5"/>
        <v>0</v>
      </c>
      <c r="J334" s="57">
        <f t="shared" si="5"/>
        <v>0</v>
      </c>
      <c r="K334" s="57"/>
      <c r="L334" s="57">
        <f t="shared" si="7"/>
        <v>0</v>
      </c>
      <c r="M334" s="57">
        <f t="shared" si="7"/>
        <v>0</v>
      </c>
    </row>
    <row r="335" spans="1:13" x14ac:dyDescent="0.25">
      <c r="A335" s="34">
        <v>0</v>
      </c>
      <c r="B335" s="57">
        <f t="shared" si="6"/>
        <v>696.8</v>
      </c>
      <c r="C335" s="57">
        <f t="shared" si="6"/>
        <v>696.8</v>
      </c>
      <c r="D335" s="57">
        <f t="shared" si="6"/>
        <v>0</v>
      </c>
      <c r="E335" s="57">
        <f t="shared" si="6"/>
        <v>0</v>
      </c>
      <c r="F335" s="57">
        <f t="shared" si="6"/>
        <v>0</v>
      </c>
      <c r="G335" s="57">
        <f t="shared" si="6"/>
        <v>0</v>
      </c>
      <c r="H335" s="57">
        <f t="shared" si="6"/>
        <v>0</v>
      </c>
      <c r="I335" s="57">
        <f t="shared" si="5"/>
        <v>0</v>
      </c>
      <c r="J335" s="57">
        <f t="shared" si="5"/>
        <v>0</v>
      </c>
      <c r="K335" s="57"/>
      <c r="L335" s="57">
        <f t="shared" si="7"/>
        <v>0</v>
      </c>
      <c r="M335" s="57">
        <f t="shared" si="7"/>
        <v>0</v>
      </c>
    </row>
    <row r="336" spans="1:13" x14ac:dyDescent="0.25">
      <c r="A336" s="34">
        <v>0</v>
      </c>
      <c r="B336" s="57">
        <f t="shared" si="6"/>
        <v>680</v>
      </c>
      <c r="C336" s="57">
        <f t="shared" si="6"/>
        <v>680</v>
      </c>
      <c r="D336" s="57">
        <f t="shared" si="6"/>
        <v>0</v>
      </c>
      <c r="E336" s="57">
        <f t="shared" si="6"/>
        <v>0</v>
      </c>
      <c r="F336" s="57">
        <f t="shared" si="6"/>
        <v>0</v>
      </c>
      <c r="G336" s="57">
        <f t="shared" si="6"/>
        <v>0</v>
      </c>
      <c r="H336" s="57">
        <f t="shared" si="6"/>
        <v>0</v>
      </c>
      <c r="I336" s="57">
        <f t="shared" si="5"/>
        <v>0</v>
      </c>
      <c r="J336" s="57">
        <f t="shared" si="5"/>
        <v>0</v>
      </c>
      <c r="K336" s="57"/>
      <c r="L336" s="57">
        <f t="shared" si="7"/>
        <v>0</v>
      </c>
      <c r="M336" s="57">
        <f t="shared" si="7"/>
        <v>0</v>
      </c>
    </row>
    <row r="337" spans="1:13" x14ac:dyDescent="0.25">
      <c r="A337" s="34">
        <v>0</v>
      </c>
      <c r="B337" s="57">
        <f t="shared" si="6"/>
        <v>680</v>
      </c>
      <c r="C337" s="57">
        <f t="shared" si="6"/>
        <v>680</v>
      </c>
      <c r="D337" s="57">
        <f>F53</f>
        <v>0</v>
      </c>
      <c r="E337" s="57">
        <f t="shared" si="6"/>
        <v>0</v>
      </c>
      <c r="F337" s="57">
        <f t="shared" si="6"/>
        <v>0</v>
      </c>
      <c r="G337" s="57">
        <f t="shared" si="6"/>
        <v>0</v>
      </c>
      <c r="H337" s="57">
        <f t="shared" si="6"/>
        <v>0</v>
      </c>
      <c r="I337" s="57">
        <f t="shared" si="5"/>
        <v>0</v>
      </c>
      <c r="J337" s="57">
        <f t="shared" si="5"/>
        <v>0</v>
      </c>
      <c r="K337" s="57"/>
      <c r="L337" s="57">
        <f t="shared" si="7"/>
        <v>0</v>
      </c>
      <c r="M337" s="57">
        <f t="shared" si="7"/>
        <v>0</v>
      </c>
    </row>
    <row r="338" spans="1:13" x14ac:dyDescent="0.25">
      <c r="A338" s="34">
        <v>0</v>
      </c>
      <c r="B338" s="57">
        <f t="shared" si="6"/>
        <v>680</v>
      </c>
      <c r="C338" s="57">
        <f t="shared" si="6"/>
        <v>680</v>
      </c>
      <c r="D338" s="57">
        <f t="shared" si="6"/>
        <v>0</v>
      </c>
      <c r="E338" s="57">
        <f t="shared" si="6"/>
        <v>0</v>
      </c>
      <c r="F338" s="57">
        <f t="shared" si="6"/>
        <v>0</v>
      </c>
      <c r="G338" s="57">
        <f t="shared" si="6"/>
        <v>0</v>
      </c>
      <c r="H338" s="57">
        <f t="shared" si="6"/>
        <v>0</v>
      </c>
      <c r="I338" s="57">
        <f t="shared" si="5"/>
        <v>0</v>
      </c>
      <c r="J338" s="57">
        <f t="shared" si="5"/>
        <v>0</v>
      </c>
      <c r="K338" s="57"/>
      <c r="L338" s="57">
        <f t="shared" si="7"/>
        <v>0</v>
      </c>
      <c r="M338" s="57">
        <f t="shared" si="7"/>
        <v>0</v>
      </c>
    </row>
    <row r="339" spans="1:13" x14ac:dyDescent="0.25">
      <c r="A339" s="34">
        <v>0</v>
      </c>
      <c r="B339" s="57">
        <f t="shared" si="6"/>
        <v>680</v>
      </c>
      <c r="C339" s="57">
        <f>E55</f>
        <v>680</v>
      </c>
      <c r="D339" s="57">
        <f t="shared" si="6"/>
        <v>0</v>
      </c>
      <c r="E339" s="57">
        <f t="shared" si="6"/>
        <v>0</v>
      </c>
      <c r="F339" s="57">
        <f t="shared" si="6"/>
        <v>0</v>
      </c>
      <c r="G339" s="57">
        <f t="shared" si="6"/>
        <v>0</v>
      </c>
      <c r="H339" s="57">
        <f t="shared" si="6"/>
        <v>0</v>
      </c>
      <c r="I339" s="57">
        <f t="shared" si="5"/>
        <v>0</v>
      </c>
      <c r="J339" s="57">
        <f t="shared" si="5"/>
        <v>0</v>
      </c>
      <c r="K339" s="57"/>
      <c r="L339" s="57">
        <f t="shared" si="7"/>
        <v>0</v>
      </c>
      <c r="M339" s="57">
        <f t="shared" si="7"/>
        <v>0</v>
      </c>
    </row>
    <row r="340" spans="1:13" x14ac:dyDescent="0.25">
      <c r="A340" s="34">
        <v>0</v>
      </c>
      <c r="B340" s="57">
        <f t="shared" si="6"/>
        <v>680</v>
      </c>
      <c r="C340" s="57">
        <f t="shared" si="6"/>
        <v>680</v>
      </c>
      <c r="D340" s="57">
        <f t="shared" si="6"/>
        <v>0</v>
      </c>
      <c r="E340" s="57">
        <f t="shared" si="6"/>
        <v>0</v>
      </c>
      <c r="F340" s="57">
        <f t="shared" si="6"/>
        <v>0</v>
      </c>
      <c r="G340" s="57">
        <f t="shared" si="6"/>
        <v>0</v>
      </c>
      <c r="H340" s="57">
        <f t="shared" si="6"/>
        <v>0</v>
      </c>
      <c r="I340" s="57">
        <f t="shared" si="5"/>
        <v>0</v>
      </c>
      <c r="J340" s="57">
        <f t="shared" si="5"/>
        <v>0</v>
      </c>
      <c r="K340" s="57"/>
      <c r="L340" s="57">
        <f t="shared" si="7"/>
        <v>0</v>
      </c>
      <c r="M340" s="57">
        <f t="shared" si="7"/>
        <v>0</v>
      </c>
    </row>
    <row r="341" spans="1:13" x14ac:dyDescent="0.25">
      <c r="A341" s="34">
        <v>0</v>
      </c>
      <c r="B341" s="57">
        <f t="shared" si="6"/>
        <v>680</v>
      </c>
      <c r="C341" s="57">
        <f t="shared" si="6"/>
        <v>680</v>
      </c>
      <c r="D341" s="57">
        <f t="shared" si="6"/>
        <v>0</v>
      </c>
      <c r="E341" s="57">
        <f t="shared" si="6"/>
        <v>0</v>
      </c>
      <c r="F341" s="57">
        <f t="shared" si="6"/>
        <v>0</v>
      </c>
      <c r="G341" s="57">
        <f t="shared" si="6"/>
        <v>0</v>
      </c>
      <c r="H341" s="57">
        <f t="shared" si="6"/>
        <v>0</v>
      </c>
      <c r="I341" s="57">
        <f t="shared" si="5"/>
        <v>0</v>
      </c>
      <c r="J341" s="57">
        <f t="shared" si="5"/>
        <v>0</v>
      </c>
      <c r="K341" s="57"/>
      <c r="L341" s="57">
        <f t="shared" si="7"/>
        <v>0</v>
      </c>
      <c r="M341" s="57">
        <f t="shared" si="7"/>
        <v>0</v>
      </c>
    </row>
    <row r="342" spans="1:13" x14ac:dyDescent="0.25">
      <c r="A342" s="34">
        <v>0</v>
      </c>
      <c r="B342" s="57">
        <f t="shared" si="6"/>
        <v>680</v>
      </c>
      <c r="C342" s="57">
        <f t="shared" si="6"/>
        <v>680</v>
      </c>
      <c r="D342" s="57">
        <f t="shared" si="6"/>
        <v>0</v>
      </c>
      <c r="E342" s="57">
        <f t="shared" si="6"/>
        <v>0</v>
      </c>
      <c r="F342" s="57">
        <f t="shared" si="6"/>
        <v>0</v>
      </c>
      <c r="G342" s="57">
        <f t="shared" si="6"/>
        <v>0</v>
      </c>
      <c r="H342" s="57">
        <f t="shared" si="6"/>
        <v>0</v>
      </c>
      <c r="I342" s="57">
        <f t="shared" si="5"/>
        <v>0</v>
      </c>
      <c r="J342" s="57">
        <f t="shared" si="5"/>
        <v>0</v>
      </c>
      <c r="K342" s="57"/>
      <c r="L342" s="57">
        <f t="shared" si="7"/>
        <v>0</v>
      </c>
      <c r="M342" s="57">
        <f t="shared" si="7"/>
        <v>0</v>
      </c>
    </row>
    <row r="343" spans="1:13" x14ac:dyDescent="0.25">
      <c r="A343" s="34">
        <v>0</v>
      </c>
      <c r="B343" s="57">
        <f t="shared" si="6"/>
        <v>680</v>
      </c>
      <c r="C343" s="57">
        <f t="shared" si="6"/>
        <v>680</v>
      </c>
      <c r="D343" s="57">
        <f t="shared" si="6"/>
        <v>0</v>
      </c>
      <c r="E343" s="57">
        <f t="shared" si="6"/>
        <v>0</v>
      </c>
      <c r="F343" s="57">
        <f t="shared" si="6"/>
        <v>0</v>
      </c>
      <c r="G343" s="57">
        <f t="shared" si="6"/>
        <v>0</v>
      </c>
      <c r="H343" s="57">
        <f t="shared" si="6"/>
        <v>0</v>
      </c>
      <c r="I343" s="57">
        <f t="shared" si="5"/>
        <v>0</v>
      </c>
      <c r="J343" s="57">
        <f t="shared" si="5"/>
        <v>0</v>
      </c>
      <c r="K343" s="57"/>
      <c r="L343" s="57">
        <f t="shared" si="7"/>
        <v>0</v>
      </c>
      <c r="M343" s="57">
        <f t="shared" si="7"/>
        <v>0</v>
      </c>
    </row>
    <row r="344" spans="1:13" x14ac:dyDescent="0.25">
      <c r="A344" s="34">
        <v>0</v>
      </c>
      <c r="B344" s="57">
        <f t="shared" si="6"/>
        <v>680</v>
      </c>
      <c r="C344" s="57">
        <f t="shared" si="6"/>
        <v>680</v>
      </c>
      <c r="D344" s="57">
        <f t="shared" si="6"/>
        <v>0</v>
      </c>
      <c r="E344" s="57">
        <f t="shared" si="6"/>
        <v>0</v>
      </c>
      <c r="F344" s="57">
        <f t="shared" si="6"/>
        <v>0</v>
      </c>
      <c r="G344" s="57">
        <f t="shared" si="6"/>
        <v>0</v>
      </c>
      <c r="H344" s="57">
        <f t="shared" si="6"/>
        <v>0</v>
      </c>
      <c r="I344" s="57">
        <f t="shared" si="5"/>
        <v>0</v>
      </c>
      <c r="J344" s="57">
        <f t="shared" si="5"/>
        <v>0</v>
      </c>
      <c r="K344" s="57"/>
      <c r="L344" s="57">
        <f t="shared" si="7"/>
        <v>0</v>
      </c>
      <c r="M344" s="57">
        <f t="shared" si="7"/>
        <v>0</v>
      </c>
    </row>
    <row r="345" spans="1:13" x14ac:dyDescent="0.25">
      <c r="A345" s="34">
        <v>0</v>
      </c>
      <c r="B345" s="57">
        <f t="shared" si="6"/>
        <v>680</v>
      </c>
      <c r="C345" s="57">
        <f t="shared" si="6"/>
        <v>680</v>
      </c>
      <c r="D345" s="57">
        <f t="shared" si="6"/>
        <v>0</v>
      </c>
      <c r="E345" s="57">
        <f t="shared" si="6"/>
        <v>0</v>
      </c>
      <c r="F345" s="57">
        <f t="shared" si="6"/>
        <v>0</v>
      </c>
      <c r="G345" s="57">
        <f t="shared" si="6"/>
        <v>0</v>
      </c>
      <c r="H345" s="57">
        <f t="shared" si="6"/>
        <v>0</v>
      </c>
      <c r="I345" s="57">
        <f t="shared" si="5"/>
        <v>0</v>
      </c>
      <c r="J345" s="57">
        <f t="shared" si="5"/>
        <v>0</v>
      </c>
      <c r="K345" s="57"/>
      <c r="L345" s="57">
        <f t="shared" si="7"/>
        <v>0</v>
      </c>
      <c r="M345" s="57">
        <f t="shared" si="7"/>
        <v>0</v>
      </c>
    </row>
    <row r="346" spans="1:13" x14ac:dyDescent="0.25">
      <c r="A346" s="34">
        <v>0</v>
      </c>
      <c r="B346" s="57">
        <f t="shared" si="6"/>
        <v>680</v>
      </c>
      <c r="C346" s="57">
        <f t="shared" si="6"/>
        <v>680</v>
      </c>
      <c r="D346" s="57">
        <f t="shared" si="6"/>
        <v>0</v>
      </c>
      <c r="E346" s="57">
        <f t="shared" si="6"/>
        <v>0</v>
      </c>
      <c r="F346" s="57">
        <f t="shared" si="6"/>
        <v>0</v>
      </c>
      <c r="G346" s="57">
        <f t="shared" si="6"/>
        <v>0</v>
      </c>
      <c r="H346" s="57">
        <f t="shared" si="6"/>
        <v>0</v>
      </c>
      <c r="I346" s="57">
        <f t="shared" si="5"/>
        <v>0</v>
      </c>
      <c r="J346" s="57">
        <f t="shared" si="5"/>
        <v>0</v>
      </c>
      <c r="K346" s="57"/>
      <c r="L346" s="57">
        <f t="shared" si="7"/>
        <v>0</v>
      </c>
      <c r="M346" s="57">
        <f t="shared" si="7"/>
        <v>0</v>
      </c>
    </row>
    <row r="347" spans="1:13" x14ac:dyDescent="0.25">
      <c r="A347" s="34">
        <v>0</v>
      </c>
      <c r="B347" s="57">
        <f t="shared" si="6"/>
        <v>680</v>
      </c>
      <c r="C347" s="57">
        <f t="shared" si="6"/>
        <v>680</v>
      </c>
      <c r="D347" s="57">
        <f t="shared" si="6"/>
        <v>0</v>
      </c>
      <c r="E347" s="57">
        <f t="shared" si="6"/>
        <v>0</v>
      </c>
      <c r="F347" s="57">
        <f t="shared" si="6"/>
        <v>0</v>
      </c>
      <c r="G347" s="57">
        <f t="shared" si="6"/>
        <v>0</v>
      </c>
      <c r="H347" s="57">
        <f t="shared" si="6"/>
        <v>0</v>
      </c>
      <c r="I347" s="57">
        <f t="shared" si="5"/>
        <v>0</v>
      </c>
      <c r="J347" s="57">
        <f t="shared" si="5"/>
        <v>0</v>
      </c>
      <c r="K347" s="57"/>
      <c r="L347" s="57">
        <f t="shared" si="7"/>
        <v>0</v>
      </c>
      <c r="M347" s="57">
        <f t="shared" si="7"/>
        <v>0</v>
      </c>
    </row>
    <row r="348" spans="1:13" x14ac:dyDescent="0.25">
      <c r="A348" s="34">
        <v>0</v>
      </c>
      <c r="B348" s="57">
        <f t="shared" si="6"/>
        <v>680</v>
      </c>
      <c r="C348" s="57">
        <f t="shared" si="6"/>
        <v>680</v>
      </c>
      <c r="D348" s="57">
        <f t="shared" si="6"/>
        <v>0</v>
      </c>
      <c r="E348" s="57">
        <f t="shared" si="6"/>
        <v>0</v>
      </c>
      <c r="F348" s="57">
        <f t="shared" si="6"/>
        <v>0</v>
      </c>
      <c r="G348" s="57">
        <f t="shared" si="6"/>
        <v>0</v>
      </c>
      <c r="H348" s="57">
        <f t="shared" si="6"/>
        <v>0</v>
      </c>
      <c r="I348" s="57">
        <f t="shared" si="5"/>
        <v>0</v>
      </c>
      <c r="J348" s="57">
        <f t="shared" si="5"/>
        <v>0</v>
      </c>
      <c r="K348" s="57"/>
      <c r="L348" s="57">
        <f t="shared" si="7"/>
        <v>0</v>
      </c>
      <c r="M348" s="57">
        <f t="shared" si="7"/>
        <v>0</v>
      </c>
    </row>
    <row r="349" spans="1:13" x14ac:dyDescent="0.25">
      <c r="A349" s="34">
        <v>0</v>
      </c>
      <c r="B349" s="57">
        <f t="shared" si="6"/>
        <v>680</v>
      </c>
      <c r="C349" s="57">
        <f t="shared" si="6"/>
        <v>680</v>
      </c>
      <c r="D349" s="57">
        <f t="shared" si="6"/>
        <v>0</v>
      </c>
      <c r="E349" s="57">
        <f t="shared" si="6"/>
        <v>0</v>
      </c>
      <c r="F349" s="57">
        <f t="shared" si="6"/>
        <v>0</v>
      </c>
      <c r="G349" s="57">
        <f t="shared" si="6"/>
        <v>0</v>
      </c>
      <c r="H349" s="57">
        <f t="shared" si="6"/>
        <v>0</v>
      </c>
      <c r="I349" s="57">
        <f t="shared" si="5"/>
        <v>0</v>
      </c>
      <c r="J349" s="57">
        <f t="shared" si="5"/>
        <v>0</v>
      </c>
      <c r="K349" s="57"/>
      <c r="L349" s="57">
        <f t="shared" si="7"/>
        <v>0</v>
      </c>
      <c r="M349" s="57">
        <f t="shared" si="7"/>
        <v>0</v>
      </c>
    </row>
    <row r="350" spans="1:13" x14ac:dyDescent="0.25">
      <c r="A350" s="34">
        <v>0</v>
      </c>
      <c r="B350" s="57">
        <f t="shared" si="6"/>
        <v>680</v>
      </c>
      <c r="C350" s="57">
        <f t="shared" si="6"/>
        <v>680</v>
      </c>
      <c r="D350" s="57">
        <f t="shared" si="6"/>
        <v>0</v>
      </c>
      <c r="E350" s="57">
        <f t="shared" si="6"/>
        <v>0</v>
      </c>
      <c r="F350" s="57">
        <f t="shared" si="6"/>
        <v>0</v>
      </c>
      <c r="G350" s="57">
        <f t="shared" si="6"/>
        <v>0</v>
      </c>
      <c r="H350" s="57">
        <f t="shared" si="6"/>
        <v>0</v>
      </c>
      <c r="I350" s="57">
        <f t="shared" si="5"/>
        <v>0</v>
      </c>
      <c r="J350" s="57">
        <f t="shared" si="5"/>
        <v>0</v>
      </c>
      <c r="K350" s="57"/>
      <c r="L350" s="57">
        <f t="shared" si="7"/>
        <v>0</v>
      </c>
      <c r="M350" s="57">
        <f t="shared" si="7"/>
        <v>0</v>
      </c>
    </row>
    <row r="351" spans="1:13" x14ac:dyDescent="0.25">
      <c r="A351" s="34">
        <v>0</v>
      </c>
      <c r="B351" s="57">
        <f t="shared" si="6"/>
        <v>680</v>
      </c>
      <c r="C351" s="57">
        <f t="shared" si="6"/>
        <v>680</v>
      </c>
      <c r="D351" s="57">
        <f t="shared" si="6"/>
        <v>0</v>
      </c>
      <c r="E351" s="57">
        <f t="shared" si="6"/>
        <v>0</v>
      </c>
      <c r="F351" s="57">
        <f t="shared" si="6"/>
        <v>0</v>
      </c>
      <c r="G351" s="57">
        <f t="shared" si="6"/>
        <v>0</v>
      </c>
      <c r="H351" s="57">
        <f t="shared" si="6"/>
        <v>0</v>
      </c>
      <c r="I351" s="57">
        <f t="shared" si="5"/>
        <v>0</v>
      </c>
      <c r="J351" s="57">
        <f t="shared" si="5"/>
        <v>0</v>
      </c>
      <c r="K351" s="57"/>
      <c r="L351" s="57">
        <f t="shared" si="7"/>
        <v>0</v>
      </c>
      <c r="M351" s="57">
        <f t="shared" si="7"/>
        <v>0</v>
      </c>
    </row>
    <row r="352" spans="1:13" x14ac:dyDescent="0.25">
      <c r="A352" s="34">
        <v>0</v>
      </c>
      <c r="B352" s="57">
        <f t="shared" si="6"/>
        <v>680</v>
      </c>
      <c r="C352" s="57">
        <f t="shared" si="6"/>
        <v>680</v>
      </c>
      <c r="D352" s="57">
        <f t="shared" si="6"/>
        <v>0</v>
      </c>
      <c r="E352" s="57">
        <f t="shared" si="6"/>
        <v>0</v>
      </c>
      <c r="F352" s="57">
        <f t="shared" si="6"/>
        <v>0</v>
      </c>
      <c r="G352" s="57">
        <f t="shared" si="6"/>
        <v>0</v>
      </c>
      <c r="H352" s="57">
        <f t="shared" si="6"/>
        <v>0</v>
      </c>
      <c r="I352" s="57">
        <f t="shared" si="5"/>
        <v>0</v>
      </c>
      <c r="J352" s="57">
        <f t="shared" si="5"/>
        <v>0</v>
      </c>
      <c r="K352" s="57"/>
      <c r="L352" s="57">
        <f t="shared" si="7"/>
        <v>0</v>
      </c>
      <c r="M352" s="57">
        <f t="shared" si="7"/>
        <v>0</v>
      </c>
    </row>
    <row r="353" spans="1:13" x14ac:dyDescent="0.25">
      <c r="A353" s="34">
        <v>0</v>
      </c>
      <c r="B353" s="57">
        <f t="shared" si="6"/>
        <v>780</v>
      </c>
      <c r="C353" s="57">
        <f t="shared" si="6"/>
        <v>780</v>
      </c>
      <c r="D353" s="57">
        <f t="shared" si="6"/>
        <v>0</v>
      </c>
      <c r="E353" s="57">
        <f t="shared" si="6"/>
        <v>0</v>
      </c>
      <c r="F353" s="57">
        <f t="shared" si="6"/>
        <v>0</v>
      </c>
      <c r="G353" s="57">
        <f t="shared" si="6"/>
        <v>0</v>
      </c>
      <c r="H353" s="57">
        <f t="shared" si="6"/>
        <v>0</v>
      </c>
      <c r="I353" s="57">
        <f t="shared" si="5"/>
        <v>0</v>
      </c>
      <c r="J353" s="57">
        <f t="shared" si="5"/>
        <v>0</v>
      </c>
      <c r="K353" s="57"/>
      <c r="L353" s="57">
        <f t="shared" si="7"/>
        <v>0</v>
      </c>
      <c r="M353" s="57">
        <f t="shared" si="7"/>
        <v>0</v>
      </c>
    </row>
    <row r="354" spans="1:13" x14ac:dyDescent="0.25">
      <c r="A354" s="34">
        <v>0</v>
      </c>
      <c r="B354" s="57">
        <f t="shared" si="6"/>
        <v>880</v>
      </c>
      <c r="C354" s="57">
        <f t="shared" si="6"/>
        <v>880</v>
      </c>
      <c r="D354" s="57">
        <f t="shared" si="6"/>
        <v>0</v>
      </c>
      <c r="E354" s="57">
        <f t="shared" si="6"/>
        <v>0</v>
      </c>
      <c r="F354" s="57">
        <f t="shared" si="6"/>
        <v>0</v>
      </c>
      <c r="G354" s="57">
        <f t="shared" si="6"/>
        <v>0</v>
      </c>
      <c r="H354" s="57">
        <f t="shared" si="6"/>
        <v>0</v>
      </c>
      <c r="I354" s="57">
        <f t="shared" si="5"/>
        <v>0</v>
      </c>
      <c r="J354" s="57">
        <f t="shared" si="5"/>
        <v>0</v>
      </c>
      <c r="K354" s="57"/>
      <c r="L354" s="57">
        <f t="shared" si="7"/>
        <v>0</v>
      </c>
      <c r="M354" s="57">
        <f t="shared" si="7"/>
        <v>0</v>
      </c>
    </row>
    <row r="355" spans="1:13" x14ac:dyDescent="0.25">
      <c r="A355" s="34">
        <v>0</v>
      </c>
      <c r="B355" s="57">
        <f t="shared" si="6"/>
        <v>980</v>
      </c>
      <c r="C355" s="57">
        <f t="shared" si="6"/>
        <v>980</v>
      </c>
      <c r="D355" s="57">
        <f t="shared" si="6"/>
        <v>0</v>
      </c>
      <c r="E355" s="57">
        <f t="shared" si="6"/>
        <v>0</v>
      </c>
      <c r="F355" s="57">
        <f t="shared" si="6"/>
        <v>0</v>
      </c>
      <c r="G355" s="57">
        <f t="shared" si="6"/>
        <v>0</v>
      </c>
      <c r="H355" s="57">
        <f t="shared" si="6"/>
        <v>0</v>
      </c>
      <c r="I355" s="57">
        <f t="shared" si="5"/>
        <v>0</v>
      </c>
      <c r="J355" s="57">
        <f t="shared" si="5"/>
        <v>0</v>
      </c>
      <c r="K355" s="57"/>
      <c r="L355" s="57">
        <f t="shared" si="7"/>
        <v>0</v>
      </c>
      <c r="M355" s="57">
        <f t="shared" si="7"/>
        <v>0</v>
      </c>
    </row>
    <row r="356" spans="1:13" x14ac:dyDescent="0.25">
      <c r="A356" s="34">
        <v>0</v>
      </c>
      <c r="B356" s="57">
        <f t="shared" si="6"/>
        <v>996.8</v>
      </c>
      <c r="C356" s="57">
        <f t="shared" si="6"/>
        <v>996.8</v>
      </c>
      <c r="D356" s="57">
        <f t="shared" si="6"/>
        <v>0</v>
      </c>
      <c r="E356" s="57">
        <f t="shared" si="6"/>
        <v>0</v>
      </c>
      <c r="F356" s="57">
        <f t="shared" si="6"/>
        <v>0</v>
      </c>
      <c r="G356" s="57">
        <f t="shared" si="6"/>
        <v>0</v>
      </c>
      <c r="H356" s="57">
        <f t="shared" si="6"/>
        <v>0</v>
      </c>
      <c r="I356" s="57">
        <f t="shared" si="5"/>
        <v>0</v>
      </c>
      <c r="J356" s="57">
        <f t="shared" si="5"/>
        <v>0</v>
      </c>
      <c r="K356" s="57"/>
      <c r="L356" s="57">
        <f t="shared" si="7"/>
        <v>0</v>
      </c>
      <c r="M356" s="57">
        <f t="shared" si="7"/>
        <v>0</v>
      </c>
    </row>
    <row r="357" spans="1:13" x14ac:dyDescent="0.25">
      <c r="A357" s="34">
        <v>0</v>
      </c>
      <c r="B357" s="57">
        <f t="shared" si="6"/>
        <v>996.8</v>
      </c>
      <c r="C357" s="57">
        <f t="shared" si="6"/>
        <v>996.8</v>
      </c>
      <c r="D357" s="57">
        <f t="shared" si="6"/>
        <v>0</v>
      </c>
      <c r="E357" s="57">
        <f t="shared" si="6"/>
        <v>0</v>
      </c>
      <c r="F357" s="57">
        <f t="shared" si="6"/>
        <v>0</v>
      </c>
      <c r="G357" s="57">
        <f t="shared" si="6"/>
        <v>0</v>
      </c>
      <c r="H357" s="57">
        <f t="shared" si="6"/>
        <v>0</v>
      </c>
      <c r="I357" s="57">
        <f t="shared" ref="I357:J388" si="8">L73</f>
        <v>0</v>
      </c>
      <c r="J357" s="57">
        <f t="shared" si="8"/>
        <v>0</v>
      </c>
      <c r="K357" s="57"/>
      <c r="L357" s="57">
        <f t="shared" si="7"/>
        <v>0</v>
      </c>
      <c r="M357" s="57">
        <f t="shared" si="7"/>
        <v>0</v>
      </c>
    </row>
    <row r="358" spans="1:13" x14ac:dyDescent="0.25">
      <c r="A358" s="34">
        <v>0</v>
      </c>
      <c r="B358" s="57">
        <f t="shared" si="6"/>
        <v>996.8</v>
      </c>
      <c r="C358" s="57">
        <f t="shared" si="6"/>
        <v>996.8</v>
      </c>
      <c r="D358" s="57">
        <f t="shared" si="6"/>
        <v>0</v>
      </c>
      <c r="E358" s="57">
        <f t="shared" si="6"/>
        <v>0</v>
      </c>
      <c r="F358" s="57">
        <f t="shared" si="6"/>
        <v>0</v>
      </c>
      <c r="G358" s="57">
        <f t="shared" si="6"/>
        <v>0</v>
      </c>
      <c r="H358" s="57">
        <f t="shared" si="6"/>
        <v>0</v>
      </c>
      <c r="I358" s="57">
        <f t="shared" si="8"/>
        <v>0</v>
      </c>
      <c r="J358" s="57">
        <f t="shared" si="8"/>
        <v>0</v>
      </c>
      <c r="K358" s="57"/>
      <c r="L358" s="57">
        <f t="shared" si="7"/>
        <v>0</v>
      </c>
      <c r="M358" s="57">
        <f t="shared" si="7"/>
        <v>0</v>
      </c>
    </row>
    <row r="359" spans="1:13" x14ac:dyDescent="0.25">
      <c r="A359" s="34">
        <v>0</v>
      </c>
      <c r="B359" s="57">
        <f t="shared" si="6"/>
        <v>996.8</v>
      </c>
      <c r="C359" s="57">
        <f t="shared" si="6"/>
        <v>996.8</v>
      </c>
      <c r="D359" s="57">
        <f t="shared" si="6"/>
        <v>0</v>
      </c>
      <c r="E359" s="57">
        <f t="shared" si="6"/>
        <v>0</v>
      </c>
      <c r="F359" s="57">
        <f t="shared" si="6"/>
        <v>0</v>
      </c>
      <c r="G359" s="57">
        <f t="shared" si="6"/>
        <v>0</v>
      </c>
      <c r="H359" s="57">
        <f t="shared" si="6"/>
        <v>0</v>
      </c>
      <c r="I359" s="57">
        <f t="shared" si="8"/>
        <v>0</v>
      </c>
      <c r="J359" s="57">
        <f t="shared" si="8"/>
        <v>0</v>
      </c>
      <c r="K359" s="57"/>
      <c r="L359" s="57">
        <f t="shared" si="7"/>
        <v>0</v>
      </c>
      <c r="M359" s="57">
        <f t="shared" si="7"/>
        <v>0</v>
      </c>
    </row>
    <row r="360" spans="1:13" x14ac:dyDescent="0.25">
      <c r="A360" s="34">
        <v>0</v>
      </c>
      <c r="B360" s="57">
        <f t="shared" ref="B360:H388" si="9">D76</f>
        <v>996.8</v>
      </c>
      <c r="C360" s="57">
        <f t="shared" si="9"/>
        <v>996.8</v>
      </c>
      <c r="D360" s="57">
        <f t="shared" si="9"/>
        <v>0</v>
      </c>
      <c r="E360" s="57">
        <f t="shared" si="9"/>
        <v>0</v>
      </c>
      <c r="F360" s="57">
        <f t="shared" si="9"/>
        <v>0</v>
      </c>
      <c r="G360" s="57">
        <f t="shared" si="9"/>
        <v>0</v>
      </c>
      <c r="H360" s="57">
        <f t="shared" si="9"/>
        <v>0</v>
      </c>
      <c r="I360" s="57">
        <f t="shared" si="8"/>
        <v>0</v>
      </c>
      <c r="J360" s="57">
        <f t="shared" si="8"/>
        <v>0</v>
      </c>
      <c r="K360" s="57"/>
      <c r="L360" s="57">
        <f t="shared" si="7"/>
        <v>0</v>
      </c>
      <c r="M360" s="57">
        <f t="shared" si="7"/>
        <v>0</v>
      </c>
    </row>
    <row r="361" spans="1:13" x14ac:dyDescent="0.25">
      <c r="A361" s="34">
        <v>0</v>
      </c>
      <c r="B361" s="57">
        <f t="shared" si="9"/>
        <v>996.8</v>
      </c>
      <c r="C361" s="57">
        <f t="shared" si="9"/>
        <v>996.8</v>
      </c>
      <c r="D361" s="57">
        <f t="shared" si="9"/>
        <v>0</v>
      </c>
      <c r="E361" s="57">
        <f t="shared" si="9"/>
        <v>0</v>
      </c>
      <c r="F361" s="57">
        <f t="shared" si="9"/>
        <v>0</v>
      </c>
      <c r="G361" s="57">
        <f t="shared" si="9"/>
        <v>0</v>
      </c>
      <c r="H361" s="57">
        <f t="shared" si="9"/>
        <v>0</v>
      </c>
      <c r="I361" s="57">
        <f t="shared" si="8"/>
        <v>0</v>
      </c>
      <c r="J361" s="57">
        <f t="shared" si="8"/>
        <v>0</v>
      </c>
      <c r="K361" s="57"/>
      <c r="L361" s="57">
        <f t="shared" si="7"/>
        <v>0</v>
      </c>
      <c r="M361" s="57">
        <f t="shared" si="7"/>
        <v>0</v>
      </c>
    </row>
    <row r="362" spans="1:13" x14ac:dyDescent="0.25">
      <c r="A362" s="34">
        <v>0</v>
      </c>
      <c r="B362" s="57">
        <f t="shared" si="9"/>
        <v>996.8</v>
      </c>
      <c r="C362" s="57">
        <f t="shared" si="9"/>
        <v>996.8</v>
      </c>
      <c r="D362" s="57">
        <f t="shared" si="9"/>
        <v>0</v>
      </c>
      <c r="E362" s="57">
        <f t="shared" si="9"/>
        <v>0</v>
      </c>
      <c r="F362" s="57">
        <f t="shared" si="9"/>
        <v>0</v>
      </c>
      <c r="G362" s="57">
        <f t="shared" si="9"/>
        <v>0</v>
      </c>
      <c r="H362" s="57">
        <f t="shared" si="9"/>
        <v>0</v>
      </c>
      <c r="I362" s="57">
        <f t="shared" si="8"/>
        <v>0</v>
      </c>
      <c r="J362" s="57">
        <f t="shared" si="8"/>
        <v>0</v>
      </c>
      <c r="K362" s="57"/>
      <c r="L362" s="57">
        <f t="shared" si="7"/>
        <v>0</v>
      </c>
      <c r="M362" s="57">
        <f t="shared" si="7"/>
        <v>0</v>
      </c>
    </row>
    <row r="363" spans="1:13" x14ac:dyDescent="0.25">
      <c r="A363" s="34">
        <v>0</v>
      </c>
      <c r="B363" s="57">
        <f t="shared" si="9"/>
        <v>996.8</v>
      </c>
      <c r="C363" s="57">
        <f t="shared" si="9"/>
        <v>996.8</v>
      </c>
      <c r="D363" s="57">
        <f t="shared" si="9"/>
        <v>0</v>
      </c>
      <c r="E363" s="57">
        <f t="shared" si="9"/>
        <v>0</v>
      </c>
      <c r="F363" s="57">
        <f t="shared" si="9"/>
        <v>0</v>
      </c>
      <c r="G363" s="57">
        <f t="shared" si="9"/>
        <v>0</v>
      </c>
      <c r="H363" s="57">
        <f t="shared" si="9"/>
        <v>0</v>
      </c>
      <c r="I363" s="57">
        <f t="shared" si="8"/>
        <v>0</v>
      </c>
      <c r="J363" s="57">
        <f t="shared" si="8"/>
        <v>0</v>
      </c>
      <c r="K363" s="57"/>
      <c r="L363" s="57">
        <f t="shared" si="7"/>
        <v>0</v>
      </c>
      <c r="M363" s="57">
        <f t="shared" si="7"/>
        <v>0</v>
      </c>
    </row>
    <row r="364" spans="1:13" x14ac:dyDescent="0.25">
      <c r="A364" s="34">
        <v>0</v>
      </c>
      <c r="B364" s="57">
        <f t="shared" si="9"/>
        <v>996.8</v>
      </c>
      <c r="C364" s="57">
        <f t="shared" si="9"/>
        <v>996.8</v>
      </c>
      <c r="D364" s="57">
        <f t="shared" si="9"/>
        <v>0</v>
      </c>
      <c r="E364" s="57">
        <f t="shared" si="9"/>
        <v>0</v>
      </c>
      <c r="F364" s="57">
        <f t="shared" si="9"/>
        <v>0</v>
      </c>
      <c r="G364" s="57">
        <f t="shared" si="9"/>
        <v>0</v>
      </c>
      <c r="H364" s="57">
        <f t="shared" si="9"/>
        <v>0</v>
      </c>
      <c r="I364" s="57">
        <f t="shared" si="8"/>
        <v>0</v>
      </c>
      <c r="J364" s="57">
        <f t="shared" si="8"/>
        <v>0</v>
      </c>
      <c r="K364" s="57"/>
      <c r="L364" s="57">
        <f t="shared" si="7"/>
        <v>0</v>
      </c>
      <c r="M364" s="57">
        <f t="shared" si="7"/>
        <v>0</v>
      </c>
    </row>
    <row r="365" spans="1:13" x14ac:dyDescent="0.25">
      <c r="A365" s="34">
        <v>0</v>
      </c>
      <c r="B365" s="57">
        <f t="shared" si="9"/>
        <v>996.8</v>
      </c>
      <c r="C365" s="57">
        <f t="shared" si="9"/>
        <v>996.8</v>
      </c>
      <c r="D365" s="57">
        <f t="shared" si="9"/>
        <v>0</v>
      </c>
      <c r="E365" s="57">
        <f t="shared" si="9"/>
        <v>0</v>
      </c>
      <c r="F365" s="57">
        <f t="shared" si="9"/>
        <v>0</v>
      </c>
      <c r="G365" s="57">
        <f t="shared" si="9"/>
        <v>0</v>
      </c>
      <c r="H365" s="57">
        <f t="shared" si="9"/>
        <v>0</v>
      </c>
      <c r="I365" s="57">
        <f t="shared" si="8"/>
        <v>0</v>
      </c>
      <c r="J365" s="57">
        <f t="shared" si="8"/>
        <v>0</v>
      </c>
      <c r="K365" s="57"/>
      <c r="L365" s="57">
        <f t="shared" si="7"/>
        <v>0</v>
      </c>
      <c r="M365" s="57">
        <f t="shared" si="7"/>
        <v>0</v>
      </c>
    </row>
    <row r="366" spans="1:13" x14ac:dyDescent="0.25">
      <c r="A366" s="34">
        <v>0</v>
      </c>
      <c r="B366" s="57">
        <f t="shared" si="9"/>
        <v>996.8</v>
      </c>
      <c r="C366" s="57">
        <f t="shared" si="9"/>
        <v>996.8</v>
      </c>
      <c r="D366" s="57">
        <f t="shared" si="9"/>
        <v>0</v>
      </c>
      <c r="E366" s="57">
        <f t="shared" si="9"/>
        <v>0</v>
      </c>
      <c r="F366" s="57">
        <f t="shared" si="9"/>
        <v>0</v>
      </c>
      <c r="G366" s="57">
        <f t="shared" si="9"/>
        <v>0</v>
      </c>
      <c r="H366" s="57">
        <f t="shared" si="9"/>
        <v>0</v>
      </c>
      <c r="I366" s="57">
        <f t="shared" si="8"/>
        <v>0</v>
      </c>
      <c r="J366" s="57">
        <f t="shared" si="8"/>
        <v>0</v>
      </c>
      <c r="K366" s="57"/>
      <c r="L366" s="57">
        <f t="shared" si="7"/>
        <v>0</v>
      </c>
      <c r="M366" s="57">
        <f t="shared" si="7"/>
        <v>0</v>
      </c>
    </row>
    <row r="367" spans="1:13" x14ac:dyDescent="0.25">
      <c r="A367" s="34">
        <v>0</v>
      </c>
      <c r="B367" s="57">
        <f t="shared" si="9"/>
        <v>996.8</v>
      </c>
      <c r="C367" s="57">
        <f t="shared" si="9"/>
        <v>996.8</v>
      </c>
      <c r="D367" s="57">
        <f t="shared" si="9"/>
        <v>0</v>
      </c>
      <c r="E367" s="57">
        <f t="shared" si="9"/>
        <v>0</v>
      </c>
      <c r="F367" s="57">
        <f t="shared" si="9"/>
        <v>0</v>
      </c>
      <c r="G367" s="57">
        <f t="shared" si="9"/>
        <v>0</v>
      </c>
      <c r="H367" s="57">
        <f t="shared" si="9"/>
        <v>0</v>
      </c>
      <c r="I367" s="57">
        <f t="shared" si="8"/>
        <v>0</v>
      </c>
      <c r="J367" s="57">
        <f t="shared" si="8"/>
        <v>0</v>
      </c>
      <c r="K367" s="57"/>
      <c r="L367" s="57">
        <f t="shared" si="7"/>
        <v>0</v>
      </c>
      <c r="M367" s="57">
        <f t="shared" si="7"/>
        <v>0</v>
      </c>
    </row>
    <row r="368" spans="1:13" x14ac:dyDescent="0.25">
      <c r="A368" s="34">
        <v>0</v>
      </c>
      <c r="B368" s="57">
        <f t="shared" si="9"/>
        <v>996.8</v>
      </c>
      <c r="C368" s="57">
        <f t="shared" si="9"/>
        <v>996.8</v>
      </c>
      <c r="D368" s="57">
        <f t="shared" si="9"/>
        <v>0</v>
      </c>
      <c r="E368" s="57">
        <f t="shared" si="9"/>
        <v>0</v>
      </c>
      <c r="F368" s="57">
        <f t="shared" si="9"/>
        <v>0</v>
      </c>
      <c r="G368" s="57">
        <f t="shared" si="9"/>
        <v>0</v>
      </c>
      <c r="H368" s="57">
        <f t="shared" si="9"/>
        <v>0</v>
      </c>
      <c r="I368" s="57">
        <f t="shared" si="8"/>
        <v>0</v>
      </c>
      <c r="J368" s="57">
        <f t="shared" si="8"/>
        <v>0</v>
      </c>
      <c r="K368" s="57"/>
      <c r="L368" s="57">
        <f t="shared" si="7"/>
        <v>0</v>
      </c>
      <c r="M368" s="57">
        <f t="shared" si="7"/>
        <v>0</v>
      </c>
    </row>
    <row r="369" spans="1:13" x14ac:dyDescent="0.25">
      <c r="A369" s="34">
        <v>0</v>
      </c>
      <c r="B369" s="57">
        <f t="shared" si="9"/>
        <v>996.8</v>
      </c>
      <c r="C369" s="57">
        <f t="shared" si="9"/>
        <v>996.8</v>
      </c>
      <c r="D369" s="57">
        <f t="shared" si="9"/>
        <v>0</v>
      </c>
      <c r="E369" s="57">
        <f t="shared" si="9"/>
        <v>0</v>
      </c>
      <c r="F369" s="57">
        <f t="shared" si="9"/>
        <v>0</v>
      </c>
      <c r="G369" s="57">
        <f t="shared" si="9"/>
        <v>0</v>
      </c>
      <c r="H369" s="57">
        <f t="shared" si="9"/>
        <v>0</v>
      </c>
      <c r="I369" s="57">
        <f t="shared" si="8"/>
        <v>0</v>
      </c>
      <c r="J369" s="57">
        <f t="shared" si="8"/>
        <v>0</v>
      </c>
      <c r="K369" s="57"/>
      <c r="L369" s="57">
        <f t="shared" si="7"/>
        <v>0</v>
      </c>
      <c r="M369" s="57">
        <f t="shared" si="7"/>
        <v>0</v>
      </c>
    </row>
    <row r="370" spans="1:13" x14ac:dyDescent="0.25">
      <c r="A370" s="34">
        <v>0</v>
      </c>
      <c r="B370" s="57">
        <f t="shared" si="9"/>
        <v>996.8</v>
      </c>
      <c r="C370" s="57">
        <f t="shared" si="9"/>
        <v>996.8</v>
      </c>
      <c r="D370" s="57">
        <f t="shared" si="9"/>
        <v>0</v>
      </c>
      <c r="E370" s="57">
        <f t="shared" si="9"/>
        <v>0</v>
      </c>
      <c r="F370" s="57">
        <f t="shared" si="9"/>
        <v>0</v>
      </c>
      <c r="G370" s="57">
        <f t="shared" si="9"/>
        <v>0</v>
      </c>
      <c r="H370" s="57">
        <f t="shared" si="9"/>
        <v>0</v>
      </c>
      <c r="I370" s="57">
        <f t="shared" si="8"/>
        <v>0</v>
      </c>
      <c r="J370" s="57">
        <f t="shared" si="8"/>
        <v>0</v>
      </c>
      <c r="K370" s="57"/>
      <c r="L370" s="57">
        <f t="shared" si="7"/>
        <v>0</v>
      </c>
      <c r="M370" s="57">
        <f t="shared" si="7"/>
        <v>0</v>
      </c>
    </row>
    <row r="371" spans="1:13" x14ac:dyDescent="0.25">
      <c r="A371" s="34">
        <v>0</v>
      </c>
      <c r="B371" s="57">
        <f t="shared" si="9"/>
        <v>996.8</v>
      </c>
      <c r="C371" s="57">
        <f t="shared" si="9"/>
        <v>996.8</v>
      </c>
      <c r="D371" s="57">
        <f t="shared" si="9"/>
        <v>0</v>
      </c>
      <c r="E371" s="57">
        <f t="shared" si="9"/>
        <v>0</v>
      </c>
      <c r="F371" s="57">
        <f t="shared" si="9"/>
        <v>0</v>
      </c>
      <c r="G371" s="57">
        <f t="shared" si="9"/>
        <v>0</v>
      </c>
      <c r="H371" s="57">
        <f t="shared" si="9"/>
        <v>0</v>
      </c>
      <c r="I371" s="57">
        <f t="shared" si="8"/>
        <v>0</v>
      </c>
      <c r="J371" s="57">
        <f t="shared" si="8"/>
        <v>0</v>
      </c>
      <c r="K371" s="57"/>
      <c r="L371" s="57">
        <f t="shared" si="7"/>
        <v>0</v>
      </c>
      <c r="M371" s="57">
        <f t="shared" si="7"/>
        <v>0</v>
      </c>
    </row>
    <row r="372" spans="1:13" x14ac:dyDescent="0.25">
      <c r="A372" s="34">
        <v>0</v>
      </c>
      <c r="B372" s="57">
        <f t="shared" si="9"/>
        <v>996.8</v>
      </c>
      <c r="C372" s="57">
        <f t="shared" si="9"/>
        <v>996.8</v>
      </c>
      <c r="D372" s="57">
        <f t="shared" si="9"/>
        <v>0</v>
      </c>
      <c r="E372" s="57">
        <f t="shared" si="9"/>
        <v>0</v>
      </c>
      <c r="F372" s="57">
        <f t="shared" si="9"/>
        <v>0</v>
      </c>
      <c r="G372" s="57">
        <f t="shared" si="9"/>
        <v>0</v>
      </c>
      <c r="H372" s="57">
        <f t="shared" si="9"/>
        <v>0</v>
      </c>
      <c r="I372" s="57">
        <f t="shared" si="8"/>
        <v>0</v>
      </c>
      <c r="J372" s="57">
        <f t="shared" si="8"/>
        <v>0</v>
      </c>
      <c r="K372" s="57"/>
      <c r="L372" s="57">
        <f t="shared" si="7"/>
        <v>0</v>
      </c>
      <c r="M372" s="57">
        <f t="shared" si="7"/>
        <v>0</v>
      </c>
    </row>
    <row r="373" spans="1:13" x14ac:dyDescent="0.25">
      <c r="A373" s="34">
        <v>0</v>
      </c>
      <c r="B373" s="57">
        <f t="shared" si="9"/>
        <v>996.8</v>
      </c>
      <c r="C373" s="57">
        <f t="shared" si="9"/>
        <v>996.8</v>
      </c>
      <c r="D373" s="57">
        <f t="shared" si="9"/>
        <v>0</v>
      </c>
      <c r="E373" s="57">
        <f t="shared" si="9"/>
        <v>0</v>
      </c>
      <c r="F373" s="57">
        <f t="shared" si="9"/>
        <v>0</v>
      </c>
      <c r="G373" s="57">
        <f t="shared" si="9"/>
        <v>0</v>
      </c>
      <c r="H373" s="57">
        <f t="shared" si="9"/>
        <v>0</v>
      </c>
      <c r="I373" s="57">
        <f t="shared" si="8"/>
        <v>0</v>
      </c>
      <c r="J373" s="57">
        <f t="shared" si="8"/>
        <v>0</v>
      </c>
      <c r="K373" s="57"/>
      <c r="L373" s="57">
        <f t="shared" si="7"/>
        <v>0</v>
      </c>
      <c r="M373" s="57">
        <f t="shared" si="7"/>
        <v>0</v>
      </c>
    </row>
    <row r="374" spans="1:13" x14ac:dyDescent="0.25">
      <c r="A374" s="34">
        <v>0</v>
      </c>
      <c r="B374" s="57">
        <f t="shared" si="9"/>
        <v>996.8</v>
      </c>
      <c r="C374" s="57">
        <f t="shared" si="9"/>
        <v>996.8</v>
      </c>
      <c r="D374" s="57">
        <f t="shared" si="9"/>
        <v>0</v>
      </c>
      <c r="E374" s="57">
        <f t="shared" si="9"/>
        <v>0</v>
      </c>
      <c r="F374" s="57">
        <f t="shared" si="9"/>
        <v>0</v>
      </c>
      <c r="G374" s="57">
        <f t="shared" si="9"/>
        <v>0</v>
      </c>
      <c r="H374" s="57">
        <f t="shared" si="9"/>
        <v>0</v>
      </c>
      <c r="I374" s="57">
        <f t="shared" si="8"/>
        <v>0</v>
      </c>
      <c r="J374" s="57">
        <f t="shared" si="8"/>
        <v>0</v>
      </c>
      <c r="K374" s="57"/>
      <c r="L374" s="57">
        <f t="shared" si="7"/>
        <v>0</v>
      </c>
      <c r="M374" s="57">
        <f t="shared" si="7"/>
        <v>0</v>
      </c>
    </row>
    <row r="375" spans="1:13" x14ac:dyDescent="0.25">
      <c r="A375" s="34">
        <v>0</v>
      </c>
      <c r="B375" s="57">
        <f t="shared" si="9"/>
        <v>996.8</v>
      </c>
      <c r="C375" s="57">
        <f t="shared" si="9"/>
        <v>996.8</v>
      </c>
      <c r="D375" s="57">
        <f t="shared" si="9"/>
        <v>0</v>
      </c>
      <c r="E375" s="57">
        <f t="shared" si="9"/>
        <v>0</v>
      </c>
      <c r="F375" s="57">
        <f t="shared" si="9"/>
        <v>0</v>
      </c>
      <c r="G375" s="57">
        <f t="shared" si="9"/>
        <v>0</v>
      </c>
      <c r="H375" s="57">
        <f t="shared" si="9"/>
        <v>0</v>
      </c>
      <c r="I375" s="57">
        <f t="shared" si="8"/>
        <v>0</v>
      </c>
      <c r="J375" s="57">
        <f t="shared" si="8"/>
        <v>0</v>
      </c>
      <c r="K375" s="57"/>
      <c r="L375" s="57">
        <f t="shared" si="7"/>
        <v>0</v>
      </c>
      <c r="M375" s="57">
        <f t="shared" si="7"/>
        <v>0</v>
      </c>
    </row>
    <row r="376" spans="1:13" x14ac:dyDescent="0.25">
      <c r="A376" s="34">
        <v>0</v>
      </c>
      <c r="B376" s="57">
        <f t="shared" si="9"/>
        <v>996.8</v>
      </c>
      <c r="C376" s="57">
        <f t="shared" si="9"/>
        <v>996.8</v>
      </c>
      <c r="D376" s="57">
        <f t="shared" si="9"/>
        <v>0</v>
      </c>
      <c r="E376" s="57">
        <f t="shared" si="9"/>
        <v>0</v>
      </c>
      <c r="F376" s="57">
        <f t="shared" si="9"/>
        <v>0</v>
      </c>
      <c r="G376" s="57">
        <f t="shared" si="9"/>
        <v>0</v>
      </c>
      <c r="H376" s="57">
        <f t="shared" si="9"/>
        <v>0</v>
      </c>
      <c r="I376" s="57">
        <f t="shared" si="8"/>
        <v>0</v>
      </c>
      <c r="J376" s="57">
        <f t="shared" si="8"/>
        <v>0</v>
      </c>
      <c r="K376" s="57"/>
      <c r="L376" s="57">
        <f t="shared" si="7"/>
        <v>0</v>
      </c>
      <c r="M376" s="57">
        <f t="shared" si="7"/>
        <v>0</v>
      </c>
    </row>
    <row r="377" spans="1:13" x14ac:dyDescent="0.25">
      <c r="A377" s="34">
        <v>0</v>
      </c>
      <c r="B377" s="57">
        <f t="shared" si="9"/>
        <v>996.8</v>
      </c>
      <c r="C377" s="57">
        <f t="shared" si="9"/>
        <v>996.8</v>
      </c>
      <c r="D377" s="57">
        <f t="shared" si="9"/>
        <v>0</v>
      </c>
      <c r="E377" s="57">
        <f t="shared" si="9"/>
        <v>0</v>
      </c>
      <c r="F377" s="57">
        <f t="shared" si="9"/>
        <v>0</v>
      </c>
      <c r="G377" s="57">
        <f t="shared" si="9"/>
        <v>0</v>
      </c>
      <c r="H377" s="57">
        <f t="shared" si="9"/>
        <v>0</v>
      </c>
      <c r="I377" s="57">
        <f t="shared" si="8"/>
        <v>0</v>
      </c>
      <c r="J377" s="57">
        <f t="shared" si="8"/>
        <v>0</v>
      </c>
      <c r="K377" s="57"/>
      <c r="L377" s="57">
        <f t="shared" si="7"/>
        <v>0</v>
      </c>
      <c r="M377" s="57">
        <f t="shared" si="7"/>
        <v>0</v>
      </c>
    </row>
    <row r="378" spans="1:13" x14ac:dyDescent="0.25">
      <c r="A378" s="34">
        <v>0</v>
      </c>
      <c r="B378" s="57">
        <f t="shared" si="9"/>
        <v>996.8</v>
      </c>
      <c r="C378" s="57">
        <f t="shared" si="9"/>
        <v>996.8</v>
      </c>
      <c r="D378" s="57">
        <f t="shared" si="9"/>
        <v>0</v>
      </c>
      <c r="E378" s="57">
        <f t="shared" si="9"/>
        <v>0</v>
      </c>
      <c r="F378" s="57">
        <f t="shared" si="9"/>
        <v>0</v>
      </c>
      <c r="G378" s="57">
        <f t="shared" si="9"/>
        <v>0</v>
      </c>
      <c r="H378" s="57">
        <f t="shared" si="9"/>
        <v>0</v>
      </c>
      <c r="I378" s="57">
        <f t="shared" si="8"/>
        <v>0</v>
      </c>
      <c r="J378" s="57">
        <f t="shared" si="8"/>
        <v>0</v>
      </c>
      <c r="K378" s="57"/>
      <c r="L378" s="57">
        <f t="shared" si="7"/>
        <v>0</v>
      </c>
      <c r="M378" s="57">
        <f t="shared" si="7"/>
        <v>0</v>
      </c>
    </row>
    <row r="379" spans="1:13" x14ac:dyDescent="0.25">
      <c r="A379" s="34">
        <v>0</v>
      </c>
      <c r="B379" s="57">
        <f t="shared" si="9"/>
        <v>996.8</v>
      </c>
      <c r="C379" s="57">
        <f t="shared" si="9"/>
        <v>996.8</v>
      </c>
      <c r="D379" s="57">
        <f t="shared" si="9"/>
        <v>0</v>
      </c>
      <c r="E379" s="57">
        <f t="shared" si="9"/>
        <v>0</v>
      </c>
      <c r="F379" s="57">
        <f t="shared" si="9"/>
        <v>0</v>
      </c>
      <c r="G379" s="57">
        <f t="shared" si="9"/>
        <v>0</v>
      </c>
      <c r="H379" s="57">
        <f t="shared" si="9"/>
        <v>0</v>
      </c>
      <c r="I379" s="57">
        <f t="shared" si="8"/>
        <v>0</v>
      </c>
      <c r="J379" s="57">
        <f t="shared" si="8"/>
        <v>0</v>
      </c>
      <c r="K379" s="57"/>
      <c r="L379" s="57">
        <f t="shared" si="7"/>
        <v>0</v>
      </c>
      <c r="M379" s="57">
        <f t="shared" si="7"/>
        <v>0</v>
      </c>
    </row>
    <row r="380" spans="1:13" x14ac:dyDescent="0.25">
      <c r="A380" s="34">
        <v>0</v>
      </c>
      <c r="B380" s="57">
        <f t="shared" si="9"/>
        <v>996.8</v>
      </c>
      <c r="C380" s="57">
        <f t="shared" si="9"/>
        <v>996.8</v>
      </c>
      <c r="D380" s="57">
        <f t="shared" si="9"/>
        <v>0</v>
      </c>
      <c r="E380" s="57">
        <f t="shared" si="9"/>
        <v>0</v>
      </c>
      <c r="F380" s="57">
        <f t="shared" si="9"/>
        <v>0</v>
      </c>
      <c r="G380" s="57">
        <f t="shared" si="9"/>
        <v>0</v>
      </c>
      <c r="H380" s="57">
        <f t="shared" si="9"/>
        <v>0</v>
      </c>
      <c r="I380" s="57">
        <f t="shared" si="8"/>
        <v>0</v>
      </c>
      <c r="J380" s="57">
        <f t="shared" si="8"/>
        <v>0</v>
      </c>
      <c r="K380" s="57"/>
      <c r="L380" s="57">
        <f t="shared" si="7"/>
        <v>0</v>
      </c>
      <c r="M380" s="57">
        <f t="shared" si="7"/>
        <v>0</v>
      </c>
    </row>
    <row r="381" spans="1:13" x14ac:dyDescent="0.25">
      <c r="A381" s="34">
        <v>0</v>
      </c>
      <c r="B381" s="57">
        <f t="shared" si="9"/>
        <v>996.8</v>
      </c>
      <c r="C381" s="57">
        <f t="shared" si="9"/>
        <v>996.8</v>
      </c>
      <c r="D381" s="57">
        <f t="shared" si="9"/>
        <v>0</v>
      </c>
      <c r="E381" s="57">
        <f t="shared" si="9"/>
        <v>0</v>
      </c>
      <c r="F381" s="57">
        <f t="shared" si="9"/>
        <v>0</v>
      </c>
      <c r="G381" s="57">
        <f t="shared" si="9"/>
        <v>0</v>
      </c>
      <c r="H381" s="57">
        <f t="shared" si="9"/>
        <v>0</v>
      </c>
      <c r="I381" s="57">
        <f t="shared" si="8"/>
        <v>0</v>
      </c>
      <c r="J381" s="57">
        <f t="shared" si="8"/>
        <v>0</v>
      </c>
      <c r="K381" s="57"/>
      <c r="L381" s="57">
        <f t="shared" si="7"/>
        <v>0</v>
      </c>
      <c r="M381" s="57">
        <f t="shared" si="7"/>
        <v>0</v>
      </c>
    </row>
    <row r="382" spans="1:13" x14ac:dyDescent="0.25">
      <c r="A382" s="34">
        <v>0</v>
      </c>
      <c r="B382" s="57">
        <f t="shared" si="9"/>
        <v>996.8</v>
      </c>
      <c r="C382" s="57">
        <f t="shared" si="9"/>
        <v>996.8</v>
      </c>
      <c r="D382" s="57">
        <f t="shared" si="9"/>
        <v>0</v>
      </c>
      <c r="E382" s="57">
        <f t="shared" si="9"/>
        <v>0</v>
      </c>
      <c r="F382" s="57">
        <f t="shared" si="9"/>
        <v>0</v>
      </c>
      <c r="G382" s="57">
        <f t="shared" si="9"/>
        <v>0</v>
      </c>
      <c r="H382" s="57">
        <f t="shared" si="9"/>
        <v>0</v>
      </c>
      <c r="I382" s="57">
        <f t="shared" si="8"/>
        <v>0</v>
      </c>
      <c r="J382" s="57">
        <f t="shared" si="8"/>
        <v>0</v>
      </c>
      <c r="K382" s="57"/>
      <c r="L382" s="57">
        <f t="shared" si="7"/>
        <v>0</v>
      </c>
      <c r="M382" s="57">
        <f t="shared" si="7"/>
        <v>0</v>
      </c>
    </row>
    <row r="383" spans="1:13" x14ac:dyDescent="0.25">
      <c r="A383" s="34">
        <v>0</v>
      </c>
      <c r="B383" s="57">
        <f t="shared" si="9"/>
        <v>996.8</v>
      </c>
      <c r="C383" s="57">
        <f t="shared" si="9"/>
        <v>996.8</v>
      </c>
      <c r="D383" s="57">
        <f t="shared" si="9"/>
        <v>0</v>
      </c>
      <c r="E383" s="57">
        <f t="shared" si="9"/>
        <v>0</v>
      </c>
      <c r="F383" s="57">
        <f t="shared" si="9"/>
        <v>0</v>
      </c>
      <c r="G383" s="57">
        <f t="shared" si="9"/>
        <v>0</v>
      </c>
      <c r="H383" s="57">
        <f t="shared" si="9"/>
        <v>0</v>
      </c>
      <c r="I383" s="57">
        <f t="shared" si="8"/>
        <v>0</v>
      </c>
      <c r="J383" s="57">
        <f t="shared" si="8"/>
        <v>0</v>
      </c>
      <c r="K383" s="57"/>
      <c r="L383" s="57">
        <f t="shared" si="7"/>
        <v>0</v>
      </c>
      <c r="M383" s="57">
        <f t="shared" si="7"/>
        <v>0</v>
      </c>
    </row>
    <row r="384" spans="1:13" x14ac:dyDescent="0.25">
      <c r="A384" s="34">
        <v>0</v>
      </c>
      <c r="B384" s="57">
        <f t="shared" si="9"/>
        <v>996.8</v>
      </c>
      <c r="C384" s="57">
        <f t="shared" si="9"/>
        <v>996.8</v>
      </c>
      <c r="D384" s="57">
        <f t="shared" si="9"/>
        <v>0</v>
      </c>
      <c r="E384" s="57">
        <f t="shared" si="9"/>
        <v>0</v>
      </c>
      <c r="F384" s="57">
        <f t="shared" si="9"/>
        <v>0</v>
      </c>
      <c r="G384" s="57">
        <f t="shared" si="9"/>
        <v>0</v>
      </c>
      <c r="H384" s="57">
        <f t="shared" si="9"/>
        <v>0</v>
      </c>
      <c r="I384" s="57">
        <f t="shared" si="8"/>
        <v>0</v>
      </c>
      <c r="J384" s="57">
        <f t="shared" si="8"/>
        <v>0</v>
      </c>
      <c r="K384" s="57"/>
      <c r="L384" s="57">
        <f t="shared" si="7"/>
        <v>0</v>
      </c>
      <c r="M384" s="57">
        <f t="shared" si="7"/>
        <v>0</v>
      </c>
    </row>
    <row r="385" spans="1:13" x14ac:dyDescent="0.25">
      <c r="A385" s="34">
        <v>0</v>
      </c>
      <c r="B385" s="57">
        <f t="shared" si="9"/>
        <v>996.8</v>
      </c>
      <c r="C385" s="57">
        <f t="shared" si="9"/>
        <v>996.8</v>
      </c>
      <c r="D385" s="57">
        <f t="shared" si="9"/>
        <v>0</v>
      </c>
      <c r="E385" s="57">
        <f t="shared" si="9"/>
        <v>0</v>
      </c>
      <c r="F385" s="57">
        <f t="shared" si="9"/>
        <v>0</v>
      </c>
      <c r="G385" s="57">
        <f t="shared" si="9"/>
        <v>0</v>
      </c>
      <c r="H385" s="57">
        <f t="shared" si="9"/>
        <v>0</v>
      </c>
      <c r="I385" s="57">
        <f t="shared" si="8"/>
        <v>0</v>
      </c>
      <c r="J385" s="57">
        <f t="shared" si="8"/>
        <v>0</v>
      </c>
      <c r="K385" s="57"/>
      <c r="L385" s="57">
        <f t="shared" si="7"/>
        <v>0</v>
      </c>
      <c r="M385" s="57">
        <f t="shared" si="7"/>
        <v>0</v>
      </c>
    </row>
    <row r="386" spans="1:13" x14ac:dyDescent="0.25">
      <c r="A386" s="34">
        <v>0</v>
      </c>
      <c r="B386" s="57">
        <f t="shared" si="9"/>
        <v>996.8</v>
      </c>
      <c r="C386" s="57">
        <f t="shared" si="9"/>
        <v>996.8</v>
      </c>
      <c r="D386" s="57">
        <f t="shared" si="9"/>
        <v>0</v>
      </c>
      <c r="E386" s="57">
        <f t="shared" si="9"/>
        <v>0</v>
      </c>
      <c r="F386" s="57">
        <f t="shared" si="9"/>
        <v>0</v>
      </c>
      <c r="G386" s="57">
        <f t="shared" si="9"/>
        <v>0</v>
      </c>
      <c r="H386" s="57">
        <f t="shared" si="9"/>
        <v>0</v>
      </c>
      <c r="I386" s="57">
        <f t="shared" si="8"/>
        <v>0</v>
      </c>
      <c r="J386" s="57">
        <f t="shared" si="8"/>
        <v>0</v>
      </c>
      <c r="K386" s="57"/>
      <c r="L386" s="57">
        <f t="shared" si="7"/>
        <v>0</v>
      </c>
      <c r="M386" s="57">
        <f t="shared" si="7"/>
        <v>0</v>
      </c>
    </row>
    <row r="387" spans="1:13" x14ac:dyDescent="0.25">
      <c r="A387" s="34">
        <v>0</v>
      </c>
      <c r="B387" s="57">
        <f t="shared" si="9"/>
        <v>996.8</v>
      </c>
      <c r="C387" s="57">
        <f t="shared" si="9"/>
        <v>996.8</v>
      </c>
      <c r="D387" s="57">
        <f t="shared" si="9"/>
        <v>0</v>
      </c>
      <c r="E387" s="57">
        <f t="shared" si="9"/>
        <v>0</v>
      </c>
      <c r="F387" s="57">
        <f t="shared" si="9"/>
        <v>0</v>
      </c>
      <c r="G387" s="57">
        <f t="shared" si="9"/>
        <v>0</v>
      </c>
      <c r="H387" s="57">
        <f t="shared" si="9"/>
        <v>0</v>
      </c>
      <c r="I387" s="57">
        <f t="shared" si="8"/>
        <v>0</v>
      </c>
      <c r="J387" s="57">
        <f t="shared" si="8"/>
        <v>0</v>
      </c>
      <c r="K387" s="57"/>
      <c r="L387" s="57">
        <f t="shared" si="7"/>
        <v>0</v>
      </c>
      <c r="M387" s="57">
        <f t="shared" si="7"/>
        <v>0</v>
      </c>
    </row>
    <row r="388" spans="1:13" x14ac:dyDescent="0.25">
      <c r="A388" s="34">
        <v>0</v>
      </c>
      <c r="B388" s="57">
        <f t="shared" si="9"/>
        <v>996.8</v>
      </c>
      <c r="C388" s="57">
        <f t="shared" si="9"/>
        <v>996.8</v>
      </c>
      <c r="D388" s="57">
        <f t="shared" si="9"/>
        <v>0</v>
      </c>
      <c r="E388" s="57">
        <f t="shared" si="9"/>
        <v>0</v>
      </c>
      <c r="F388" s="57">
        <f t="shared" si="9"/>
        <v>0</v>
      </c>
      <c r="G388" s="57">
        <f t="shared" si="9"/>
        <v>0</v>
      </c>
      <c r="H388" s="57">
        <f t="shared" si="9"/>
        <v>0</v>
      </c>
      <c r="I388" s="57">
        <f t="shared" si="8"/>
        <v>0</v>
      </c>
      <c r="J388" s="57">
        <f t="shared" si="8"/>
        <v>0</v>
      </c>
      <c r="K388" s="57"/>
      <c r="L388" s="57">
        <f t="shared" si="7"/>
        <v>0</v>
      </c>
      <c r="M388" s="57">
        <f t="shared" si="7"/>
        <v>0</v>
      </c>
    </row>
    <row r="492" spans="1:1" x14ac:dyDescent="0.25">
      <c r="A492" s="34" t="s">
        <v>36</v>
      </c>
    </row>
    <row r="493" spans="1:1" x14ac:dyDescent="0.25">
      <c r="A493" s="34" t="s">
        <v>37</v>
      </c>
    </row>
    <row r="494" spans="1:1" x14ac:dyDescent="0.25">
      <c r="A494" s="34" t="s">
        <v>38</v>
      </c>
    </row>
    <row r="495" spans="1:1" x14ac:dyDescent="0.25">
      <c r="A495" s="34" t="s">
        <v>39</v>
      </c>
    </row>
    <row r="496" spans="1:1" x14ac:dyDescent="0.25">
      <c r="A496" s="34" t="s">
        <v>40</v>
      </c>
    </row>
    <row r="497" spans="1:1" x14ac:dyDescent="0.25">
      <c r="A497" s="34" t="s">
        <v>41</v>
      </c>
    </row>
    <row r="498" spans="1:1" x14ac:dyDescent="0.25">
      <c r="A498" s="34" t="s">
        <v>42</v>
      </c>
    </row>
    <row r="499" spans="1:1" x14ac:dyDescent="0.25">
      <c r="A499" s="34" t="s">
        <v>43</v>
      </c>
    </row>
    <row r="500" spans="1:1" x14ac:dyDescent="0.25">
      <c r="A500" s="34" t="s">
        <v>44</v>
      </c>
    </row>
    <row r="501" spans="1:1" x14ac:dyDescent="0.25">
      <c r="A501" s="34" t="s">
        <v>45</v>
      </c>
    </row>
    <row r="953" spans="9:9" x14ac:dyDescent="0.25">
      <c r="I953" s="34" t="s">
        <v>46</v>
      </c>
    </row>
    <row r="954" spans="9:9" x14ac:dyDescent="0.25">
      <c r="I954" s="34" t="s">
        <v>47</v>
      </c>
    </row>
    <row r="955" spans="9:9" x14ac:dyDescent="0.25">
      <c r="I955" s="34" t="s">
        <v>48</v>
      </c>
    </row>
    <row r="956" spans="9:9" x14ac:dyDescent="0.25">
      <c r="I956" s="34" t="s">
        <v>49</v>
      </c>
    </row>
    <row r="957" spans="9:9" x14ac:dyDescent="0.25">
      <c r="I957" s="34" t="s">
        <v>50</v>
      </c>
    </row>
    <row r="958" spans="9:9" x14ac:dyDescent="0.25">
      <c r="I958" s="34" t="s">
        <v>51</v>
      </c>
    </row>
    <row r="959" spans="9:9" x14ac:dyDescent="0.25">
      <c r="I959" s="34" t="s">
        <v>52</v>
      </c>
    </row>
    <row r="960" spans="9:9" x14ac:dyDescent="0.25">
      <c r="I960" s="34" t="s">
        <v>53</v>
      </c>
    </row>
    <row r="961" spans="9:9" x14ac:dyDescent="0.25">
      <c r="I961" s="34" t="s">
        <v>54</v>
      </c>
    </row>
    <row r="962" spans="9:9" x14ac:dyDescent="0.25">
      <c r="I962" s="34" t="s">
        <v>55</v>
      </c>
    </row>
    <row r="963" spans="9:9" x14ac:dyDescent="0.25">
      <c r="I963" s="34" t="s">
        <v>56</v>
      </c>
    </row>
    <row r="964" spans="9:9" x14ac:dyDescent="0.25">
      <c r="I964" s="34" t="s">
        <v>57</v>
      </c>
    </row>
    <row r="965" spans="9:9" x14ac:dyDescent="0.25">
      <c r="I965" s="34" t="s">
        <v>58</v>
      </c>
    </row>
    <row r="966" spans="9:9" x14ac:dyDescent="0.25">
      <c r="I966" s="34" t="s">
        <v>59</v>
      </c>
    </row>
    <row r="967" spans="9:9" x14ac:dyDescent="0.25">
      <c r="I967" s="34" t="s">
        <v>60</v>
      </c>
    </row>
    <row r="968" spans="9:9" x14ac:dyDescent="0.25">
      <c r="I968" s="34" t="s">
        <v>61</v>
      </c>
    </row>
    <row r="969" spans="9:9" x14ac:dyDescent="0.25">
      <c r="I969" s="34" t="s">
        <v>62</v>
      </c>
    </row>
    <row r="970" spans="9:9" x14ac:dyDescent="0.25">
      <c r="I970" s="34" t="s">
        <v>63</v>
      </c>
    </row>
    <row r="971" spans="9:9" x14ac:dyDescent="0.25">
      <c r="I971" s="34" t="s">
        <v>64</v>
      </c>
    </row>
    <row r="972" spans="9:9" x14ac:dyDescent="0.25">
      <c r="I972" s="34" t="s">
        <v>65</v>
      </c>
    </row>
    <row r="973" spans="9:9" x14ac:dyDescent="0.25">
      <c r="I973" s="34" t="s">
        <v>66</v>
      </c>
    </row>
    <row r="974" spans="9:9" x14ac:dyDescent="0.25">
      <c r="I974" s="34" t="s">
        <v>67</v>
      </c>
    </row>
    <row r="975" spans="9:9" x14ac:dyDescent="0.25">
      <c r="I975" s="34" t="s">
        <v>68</v>
      </c>
    </row>
    <row r="976" spans="9:9" x14ac:dyDescent="0.25">
      <c r="I976" s="34" t="s">
        <v>69</v>
      </c>
    </row>
    <row r="977" spans="9:9" x14ac:dyDescent="0.25">
      <c r="I977" s="34" t="s">
        <v>70</v>
      </c>
    </row>
    <row r="978" spans="9:9" x14ac:dyDescent="0.25">
      <c r="I978" s="34" t="s">
        <v>71</v>
      </c>
    </row>
  </sheetData>
  <protectedRanges>
    <protectedRange algorithmName="SHA-512" hashValue="cDIo2LrqoPmS/Kh2At9MnaHAHA5kYGg9e11lV7QqGfxHLrFTlNDdnUvlCXNuNhamJ7UlO6mys9ROXNPQjlLckQ==" saltValue="jv8XDoX7NiJhOUXNYQ7+FA==" spinCount="100000" sqref="Q9:AI104" name="Range3"/>
    <protectedRange algorithmName="SHA-512" hashValue="39JY9U8Zrm4UzOd+E8f9Qd3UHT1iovDM1pej7RgFj0JN5ITg1lysY8acMJ9bXfWd5dJFMJbxDwSvqJbqU88A6Q==" saltValue="AuFoNR7BnpO26904NDlOeA==" spinCount="100000" sqref="B6" name="Range1"/>
    <protectedRange algorithmName="SHA-512" hashValue="1jJWfUXWRRT08/cshb+Zq/RAMTya5nSG8yWpGVBg0Dfqhe3vup+3W9p/IBZi/Wrrv1DDhqG9wt/eD6EO1fnNvQ==" saltValue="VWP5arczVApFJ9oxlz3YOA==" spinCount="100000" sqref="V8:AI8" name="Range2"/>
    <protectedRange algorithmName="SHA-512" hashValue="qQYn+m+b4UVdjF94fJY26EWyaL6NXSlMR0hjQ5/xNDkmthaz1VvGWbh/7nGtIdkgRT6aNUF0IIZNQcadTKpO7g==" saltValue="2NnoMCglf5tG+69kK64QMw==" spinCount="100000" sqref="F9:P104" name="Range3_1"/>
    <protectedRange algorithmName="SHA-512" hashValue="1jJWfUXWRRT08/cshb+Zq/RAMTya5nSG8yWpGVBg0Dfqhe3vup+3W9p/IBZi/Wrrv1DDhqG9wt/eD6EO1fnNvQ==" saltValue="VWP5arczVApFJ9oxlz3YOA==" spinCount="100000" sqref="R8:S8 U8" name="Range2_1"/>
    <protectedRange algorithmName="SHA-512" hashValue="1jJWfUXWRRT08/cshb+Zq/RAMTya5nSG8yWpGVBg0Dfqhe3vup+3W9p/IBZi/Wrrv1DDhqG9wt/eD6EO1fnNvQ==" saltValue="VWP5arczVApFJ9oxlz3YOA==" spinCount="100000" sqref="O8:Q8 T8" name="Range2_3"/>
    <protectedRange algorithmName="SHA-512" hashValue="1jJWfUXWRRT08/cshb+Zq/RAMTya5nSG8yWpGVBg0Dfqhe3vup+3W9p/IBZi/Wrrv1DDhqG9wt/eD6EO1fnNvQ==" saltValue="VWP5arczVApFJ9oxlz3YOA==" spinCount="100000" sqref="E8:N8" name="Range2_3_2"/>
    <protectedRange password="CE2A" sqref="E9:E104" name="Range3_3_1_1"/>
  </protectedRanges>
  <mergeCells count="16">
    <mergeCell ref="A1:O1"/>
    <mergeCell ref="A2:O2"/>
    <mergeCell ref="A3:A4"/>
    <mergeCell ref="B3:D4"/>
    <mergeCell ref="E3:E4"/>
    <mergeCell ref="F3:G4"/>
    <mergeCell ref="H3:L4"/>
    <mergeCell ref="AH3:AH4"/>
    <mergeCell ref="AI3:AI4"/>
    <mergeCell ref="A6:C7"/>
    <mergeCell ref="Q3:AB4"/>
    <mergeCell ref="AC3:AC4"/>
    <mergeCell ref="AD3:AD4"/>
    <mergeCell ref="AE3:AE4"/>
    <mergeCell ref="AF3:AF4"/>
    <mergeCell ref="AG3:AG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CustomerData!$B$1:$B$483</xm:f>
          </x14:formula1>
          <xm:sqref>E8:AI8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7" tint="0.59999389629810485"/>
  </sheetPr>
  <dimension ref="A1:AL494"/>
  <sheetViews>
    <sheetView zoomScaleNormal="100" workbookViewId="0">
      <pane ySplit="8" topLeftCell="A9" activePane="bottomLeft" state="frozen"/>
      <selection activeCell="D27" sqref="D27"/>
      <selection pane="bottomLeft" activeCell="F9" sqref="F9:F104"/>
    </sheetView>
  </sheetViews>
  <sheetFormatPr defaultColWidth="9.140625" defaultRowHeight="12.75" x14ac:dyDescent="0.2"/>
  <cols>
    <col min="1" max="2" width="9.140625" style="5"/>
    <col min="3" max="3" width="11.140625" style="5" customWidth="1"/>
    <col min="4" max="4" width="12.5703125" style="5" bestFit="1" customWidth="1"/>
    <col min="5" max="5" width="12.42578125" style="5" bestFit="1" customWidth="1"/>
    <col min="6" max="6" width="11.28515625" style="5" customWidth="1"/>
    <col min="7" max="7" width="12.140625" style="5" customWidth="1"/>
    <col min="8" max="8" width="11.140625" style="5" bestFit="1" customWidth="1"/>
    <col min="9" max="9" width="9.140625" style="5" customWidth="1"/>
    <col min="10" max="10" width="12.140625" style="5" customWidth="1"/>
    <col min="11" max="11" width="9" style="5" customWidth="1"/>
    <col min="12" max="14" width="14.140625" style="5" customWidth="1"/>
    <col min="15" max="16384" width="9.140625" style="5"/>
  </cols>
  <sheetData>
    <row r="1" spans="1:38" ht="24" thickBot="1" x14ac:dyDescent="0.4">
      <c r="A1" s="133" t="s">
        <v>9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5"/>
      <c r="Q1" s="115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4"/>
    </row>
    <row r="2" spans="1:38" x14ac:dyDescent="0.2">
      <c r="A2" s="136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8"/>
      <c r="Q2" s="11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7"/>
    </row>
    <row r="3" spans="1:38" s="10" customFormat="1" ht="15" customHeight="1" x14ac:dyDescent="0.25">
      <c r="A3" s="139" t="s">
        <v>10</v>
      </c>
      <c r="B3" s="141"/>
      <c r="C3" s="141"/>
      <c r="D3" s="141"/>
      <c r="E3" s="143">
        <f ca="1">TODAY()</f>
        <v>45398</v>
      </c>
      <c r="F3" s="141" t="s">
        <v>11</v>
      </c>
      <c r="G3" s="141"/>
      <c r="H3" s="141" t="s">
        <v>12</v>
      </c>
      <c r="I3" s="141"/>
      <c r="J3" s="141"/>
      <c r="K3" s="141"/>
      <c r="L3" s="8"/>
      <c r="M3" s="8" t="s">
        <v>127</v>
      </c>
      <c r="N3" s="8"/>
      <c r="O3" s="8"/>
      <c r="P3" s="9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9"/>
    </row>
    <row r="4" spans="1:38" s="10" customFormat="1" ht="15.75" thickBot="1" x14ac:dyDescent="0.3">
      <c r="A4" s="140"/>
      <c r="B4" s="142"/>
      <c r="C4" s="142"/>
      <c r="D4" s="142"/>
      <c r="E4" s="144"/>
      <c r="F4" s="142"/>
      <c r="G4" s="142"/>
      <c r="H4" s="142"/>
      <c r="I4" s="142"/>
      <c r="J4" s="142"/>
      <c r="K4" s="142"/>
      <c r="L4" s="11"/>
      <c r="M4" s="11"/>
      <c r="N4" s="11"/>
      <c r="O4" s="11"/>
      <c r="P4" s="12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2"/>
    </row>
    <row r="5" spans="1:38" s="10" customFormat="1" ht="16.5" thickBot="1" x14ac:dyDescent="0.3">
      <c r="A5" s="13" t="s">
        <v>13</v>
      </c>
      <c r="B5" s="14" t="s">
        <v>14</v>
      </c>
      <c r="C5" s="14" t="s">
        <v>15</v>
      </c>
      <c r="D5" s="15">
        <v>1</v>
      </c>
      <c r="E5" s="16" t="s">
        <v>16</v>
      </c>
      <c r="F5" s="15">
        <v>96</v>
      </c>
      <c r="G5" s="58" t="s">
        <v>73</v>
      </c>
      <c r="H5" s="59">
        <v>1200</v>
      </c>
      <c r="I5" s="60" t="s">
        <v>17</v>
      </c>
      <c r="J5" s="61">
        <v>10</v>
      </c>
      <c r="K5" s="17"/>
      <c r="L5" s="17"/>
      <c r="M5" s="17"/>
      <c r="N5" s="17"/>
      <c r="O5" s="18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</row>
    <row r="6" spans="1:38" s="10" customFormat="1" ht="15" x14ac:dyDescent="0.25">
      <c r="A6" s="65"/>
      <c r="B6" s="69"/>
      <c r="C6" s="69"/>
      <c r="D6" s="67"/>
      <c r="E6" s="20" t="s">
        <v>18</v>
      </c>
      <c r="F6" s="49">
        <f>VLOOKUP(F8,CustomerData!$B:$I,4,FALSE)</f>
        <v>1043</v>
      </c>
      <c r="G6" s="49" t="e">
        <f>VLOOKUP(G8,CustomerData!$B:$I,4,FALSE)</f>
        <v>#N/A</v>
      </c>
      <c r="H6" s="49" t="e">
        <f>VLOOKUP(H8,CustomerData!$B:$I,4,FALSE)</f>
        <v>#N/A</v>
      </c>
      <c r="I6" s="49" t="e">
        <f>VLOOKUP(I8,CustomerData!$B:$I,4,FALSE)</f>
        <v>#N/A</v>
      </c>
      <c r="J6" s="49" t="e">
        <f>VLOOKUP(J8,CustomerData!$B:$I,4,FALSE)</f>
        <v>#N/A</v>
      </c>
      <c r="K6" s="49" t="e">
        <f>VLOOKUP(K8,CustomerData!$B:$I,4,FALSE)</f>
        <v>#N/A</v>
      </c>
      <c r="L6" s="49" t="e">
        <f>VLOOKUP(L8,CustomerData!$B:$I,4,FALSE)</f>
        <v>#N/A</v>
      </c>
      <c r="M6" s="49" t="e">
        <f>VLOOKUP(M8,CustomerData!$B:$I,4,FALSE)</f>
        <v>#N/A</v>
      </c>
      <c r="N6" s="49" t="e">
        <f>VLOOKUP(N8,CustomerData!$B:$I,4,FALSE)</f>
        <v>#N/A</v>
      </c>
      <c r="O6" s="49" t="e">
        <f>VLOOKUP(O8,CustomerData!$B:$I,4,FALSE)</f>
        <v>#N/A</v>
      </c>
      <c r="P6" s="49" t="e">
        <f>VLOOKUP(P8,CustomerData!$B:$I,4,FALSE)</f>
        <v>#N/A</v>
      </c>
      <c r="Q6" s="49"/>
      <c r="R6" s="49" t="e">
        <f>VLOOKUP(R8,CustomerData!$B:$I,3,FALSE)</f>
        <v>#N/A</v>
      </c>
      <c r="S6" s="49" t="e">
        <f>VLOOKUP(S8,CustomerData!$B:$I,3,FALSE)</f>
        <v>#N/A</v>
      </c>
      <c r="T6" s="49" t="e">
        <f>VLOOKUP(T8,CustomerData!$B:$I,3,FALSE)</f>
        <v>#N/A</v>
      </c>
      <c r="U6" s="49" t="e">
        <f>VLOOKUP(U8,CustomerData!$B:$I,3,FALSE)</f>
        <v>#N/A</v>
      </c>
      <c r="V6" s="49" t="e">
        <f>VLOOKUP(V8,CustomerData!$B:$I,3,FALSE)</f>
        <v>#N/A</v>
      </c>
      <c r="W6" s="49" t="e">
        <f>VLOOKUP(W8,CustomerData!$B:$I,3,FALSE)</f>
        <v>#N/A</v>
      </c>
      <c r="X6" s="49" t="e">
        <f>VLOOKUP(X8,CustomerData!$B:$I,3,FALSE)</f>
        <v>#N/A</v>
      </c>
      <c r="Y6" s="49" t="e">
        <f>VLOOKUP(Y8,CustomerData!$B:$I,3,FALSE)</f>
        <v>#N/A</v>
      </c>
      <c r="Z6" s="49" t="e">
        <f>VLOOKUP(Z8,CustomerData!$B:$I,3,FALSE)</f>
        <v>#N/A</v>
      </c>
      <c r="AA6" s="49" t="e">
        <f>VLOOKUP(AA8,CustomerData!$B:$I,3,FALSE)</f>
        <v>#N/A</v>
      </c>
      <c r="AB6" s="49" t="e">
        <f>VLOOKUP(AB8,CustomerData!$B:$I,3,FALSE)</f>
        <v>#N/A</v>
      </c>
      <c r="AC6" s="49" t="e">
        <f>VLOOKUP(AC8,CustomerData!$B:$I,3,FALSE)</f>
        <v>#N/A</v>
      </c>
      <c r="AD6" s="49" t="e">
        <f>VLOOKUP(AD8,CustomerData!$B:$I,3,FALSE)</f>
        <v>#N/A</v>
      </c>
      <c r="AE6" s="49" t="e">
        <f>VLOOKUP(AE8,CustomerData!$B:$I,3,FALSE)</f>
        <v>#N/A</v>
      </c>
      <c r="AF6" s="49" t="e">
        <f>VLOOKUP(AF8,CustomerData!$B:$I,3,FALSE)</f>
        <v>#N/A</v>
      </c>
      <c r="AG6" s="49" t="e">
        <f>VLOOKUP(AG8,CustomerData!$B:$I,3,FALSE)</f>
        <v>#N/A</v>
      </c>
      <c r="AH6" s="49" t="e">
        <f>VLOOKUP(AH8,CustomerData!$B:$I,3,FALSE)</f>
        <v>#N/A</v>
      </c>
      <c r="AI6" s="49" t="e">
        <f>VLOOKUP(AI8,CustomerData!$B:$I,3,FALSE)</f>
        <v>#N/A</v>
      </c>
      <c r="AJ6" s="49" t="e">
        <f>VLOOKUP(AJ8,CustomerData!$B:$I,3,FALSE)</f>
        <v>#N/A</v>
      </c>
      <c r="AK6" s="49" t="e">
        <f>VLOOKUP(AK8,CustomerData!$B:$I,3,FALSE)</f>
        <v>#N/A</v>
      </c>
      <c r="AL6" s="49" t="e">
        <f>VLOOKUP(AL8,CustomerData!$B:$I,3,FALSE)</f>
        <v>#N/A</v>
      </c>
    </row>
    <row r="7" spans="1:38" s="10" customFormat="1" ht="18.75" x14ac:dyDescent="0.25">
      <c r="A7" s="66"/>
      <c r="B7" s="70"/>
      <c r="C7" s="70"/>
      <c r="D7" s="68"/>
      <c r="E7" s="21" t="s">
        <v>19</v>
      </c>
      <c r="F7" s="50" t="str">
        <f>VLOOKUP(F8,CustomerData!$B:$I,8,FALSE)</f>
        <v xml:space="preserve">ST        </v>
      </c>
      <c r="G7" s="50" t="e">
        <f>VLOOKUP(G8,CustomerData!$B:$I,8,FALSE)</f>
        <v>#N/A</v>
      </c>
      <c r="H7" s="50" t="e">
        <f>VLOOKUP(H8,CustomerData!$B:$I,8,FALSE)</f>
        <v>#N/A</v>
      </c>
      <c r="I7" s="50" t="e">
        <f>VLOOKUP(I8,CustomerData!$B:$I,8,FALSE)</f>
        <v>#N/A</v>
      </c>
      <c r="J7" s="50" t="e">
        <f>VLOOKUP(J8,CustomerData!$B:$I,8,FALSE)</f>
        <v>#N/A</v>
      </c>
      <c r="K7" s="50" t="e">
        <f>VLOOKUP(K8,CustomerData!$B:$I,8,FALSE)</f>
        <v>#N/A</v>
      </c>
      <c r="L7" s="50" t="e">
        <f>VLOOKUP(L8,CustomerData!$B:$I,8,FALSE)</f>
        <v>#N/A</v>
      </c>
      <c r="M7" s="50" t="e">
        <f>VLOOKUP(M8,CustomerData!$B:$I,8,FALSE)</f>
        <v>#N/A</v>
      </c>
      <c r="N7" s="50" t="e">
        <f>VLOOKUP(N8,CustomerData!$B:$I,8,FALSE)</f>
        <v>#N/A</v>
      </c>
      <c r="O7" s="50" t="e">
        <f>VLOOKUP(O8,CustomerData!$B:$I,8,FALSE)</f>
        <v>#N/A</v>
      </c>
      <c r="P7" s="50" t="e">
        <f>VLOOKUP(P8,CustomerData!$B:$I,8,FALSE)</f>
        <v>#N/A</v>
      </c>
      <c r="Q7" s="50"/>
      <c r="R7" s="50" t="e">
        <f>VLOOKUP(R8,CustomerData!$B:$I,8,FALSE)</f>
        <v>#N/A</v>
      </c>
      <c r="S7" s="50" t="e">
        <f>VLOOKUP(S8,CustomerData!$B:$I,8,FALSE)</f>
        <v>#N/A</v>
      </c>
      <c r="T7" s="50" t="e">
        <f>VLOOKUP(T8,CustomerData!$B:$I,8,FALSE)</f>
        <v>#N/A</v>
      </c>
      <c r="U7" s="50" t="e">
        <f>VLOOKUP(U8,CustomerData!$B:$I,8,FALSE)</f>
        <v>#N/A</v>
      </c>
      <c r="V7" s="50" t="e">
        <f>VLOOKUP(V8,CustomerData!$B:$I,8,FALSE)</f>
        <v>#N/A</v>
      </c>
      <c r="W7" s="50" t="e">
        <f>VLOOKUP(W8,CustomerData!$B:$I,8,FALSE)</f>
        <v>#N/A</v>
      </c>
      <c r="X7" s="50" t="e">
        <f>VLOOKUP(X8,CustomerData!$B:$I,8,FALSE)</f>
        <v>#N/A</v>
      </c>
      <c r="Y7" s="50" t="e">
        <f>VLOOKUP(Y8,CustomerData!$B:$I,8,FALSE)</f>
        <v>#N/A</v>
      </c>
      <c r="Z7" s="50" t="e">
        <f>VLOOKUP(Z8,CustomerData!$B:$I,8,FALSE)</f>
        <v>#N/A</v>
      </c>
      <c r="AA7" s="50" t="e">
        <f>VLOOKUP(AA8,CustomerData!$B:$I,8,FALSE)</f>
        <v>#N/A</v>
      </c>
      <c r="AB7" s="50" t="e">
        <f>VLOOKUP(AB8,CustomerData!$B:$I,8,FALSE)</f>
        <v>#N/A</v>
      </c>
      <c r="AC7" s="50" t="e">
        <f>VLOOKUP(AC8,CustomerData!$B:$I,8,FALSE)</f>
        <v>#N/A</v>
      </c>
      <c r="AD7" s="50" t="e">
        <f>VLOOKUP(AD8,CustomerData!$B:$I,8,FALSE)</f>
        <v>#N/A</v>
      </c>
      <c r="AE7" s="50" t="e">
        <f>VLOOKUP(AE8,CustomerData!$B:$I,8,FALSE)</f>
        <v>#N/A</v>
      </c>
      <c r="AF7" s="50" t="e">
        <f>VLOOKUP(AF8,CustomerData!$B:$I,8,FALSE)</f>
        <v>#N/A</v>
      </c>
      <c r="AG7" s="50" t="e">
        <f>VLOOKUP(AG8,CustomerData!$B:$I,8,FALSE)</f>
        <v>#N/A</v>
      </c>
      <c r="AH7" s="50" t="e">
        <f>VLOOKUP(AH8,CustomerData!$B:$I,8,FALSE)</f>
        <v>#N/A</v>
      </c>
      <c r="AI7" s="50" t="e">
        <f>VLOOKUP(AI8,CustomerData!$B:$I,8,FALSE)</f>
        <v>#N/A</v>
      </c>
      <c r="AJ7" s="50" t="e">
        <f>VLOOKUP(AJ8,CustomerData!$B:$I,8,FALSE)</f>
        <v>#N/A</v>
      </c>
      <c r="AK7" s="50" t="e">
        <f>VLOOKUP(AK8,CustomerData!$B:$I,8,FALSE)</f>
        <v>#N/A</v>
      </c>
      <c r="AL7" s="50" t="e">
        <f>VLOOKUP(AL8,CustomerData!$B:$I,8,FALSE)</f>
        <v>#N/A</v>
      </c>
    </row>
    <row r="8" spans="1:38" s="10" customFormat="1" ht="28.5" customHeight="1" x14ac:dyDescent="0.25">
      <c r="A8" s="22" t="s">
        <v>20</v>
      </c>
      <c r="B8" s="23" t="s">
        <v>14</v>
      </c>
      <c r="C8" s="23" t="s">
        <v>16</v>
      </c>
      <c r="D8" s="23" t="s">
        <v>21</v>
      </c>
      <c r="E8" s="22" t="s">
        <v>22</v>
      </c>
      <c r="F8" s="22" t="s">
        <v>144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s="10" customFormat="1" ht="15" x14ac:dyDescent="0.25">
      <c r="A9" s="24">
        <v>1</v>
      </c>
      <c r="B9" s="25">
        <v>0</v>
      </c>
      <c r="C9" s="25">
        <v>0.15</v>
      </c>
      <c r="D9" s="118">
        <f t="shared" ref="D9:D40" si="0">SUM(F9:AL9)</f>
        <v>617</v>
      </c>
      <c r="E9" s="26">
        <v>4.6500000000000004</v>
      </c>
      <c r="F9" s="25">
        <v>617</v>
      </c>
      <c r="G9" s="25"/>
      <c r="H9" s="27"/>
      <c r="I9" s="27"/>
      <c r="J9" s="27"/>
      <c r="K9" s="27"/>
      <c r="L9" s="27"/>
      <c r="M9" s="27"/>
      <c r="N9" s="27"/>
      <c r="O9" s="27"/>
      <c r="P9" s="27"/>
      <c r="Q9" s="27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</row>
    <row r="10" spans="1:38" s="10" customFormat="1" ht="15" x14ac:dyDescent="0.25">
      <c r="A10" s="24">
        <v>2</v>
      </c>
      <c r="B10" s="25">
        <v>0.15</v>
      </c>
      <c r="C10" s="25">
        <v>0.3</v>
      </c>
      <c r="D10" s="118">
        <f t="shared" si="0"/>
        <v>617</v>
      </c>
      <c r="E10" s="26">
        <v>4.6500000000000004</v>
      </c>
      <c r="F10" s="25">
        <v>617</v>
      </c>
      <c r="G10" s="25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</row>
    <row r="11" spans="1:38" s="10" customFormat="1" ht="15" x14ac:dyDescent="0.25">
      <c r="A11" s="24">
        <v>3</v>
      </c>
      <c r="B11" s="25">
        <v>0.3</v>
      </c>
      <c r="C11" s="25">
        <v>0.45</v>
      </c>
      <c r="D11" s="118">
        <f t="shared" si="0"/>
        <v>617</v>
      </c>
      <c r="E11" s="26">
        <v>4.6500000000000004</v>
      </c>
      <c r="F11" s="25">
        <v>617</v>
      </c>
      <c r="G11" s="25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</row>
    <row r="12" spans="1:38" s="10" customFormat="1" ht="15" x14ac:dyDescent="0.25">
      <c r="A12" s="24">
        <v>4</v>
      </c>
      <c r="B12" s="25">
        <v>0.45</v>
      </c>
      <c r="C12" s="25">
        <v>1</v>
      </c>
      <c r="D12" s="118">
        <f t="shared" si="0"/>
        <v>609</v>
      </c>
      <c r="E12" s="26">
        <v>4.6500000000000004</v>
      </c>
      <c r="F12" s="25">
        <v>609</v>
      </c>
      <c r="G12" s="25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</row>
    <row r="13" spans="1:38" s="10" customFormat="1" ht="15" x14ac:dyDescent="0.25">
      <c r="A13" s="24">
        <v>5</v>
      </c>
      <c r="B13" s="25">
        <v>1</v>
      </c>
      <c r="C13" s="25">
        <v>1.1499999999999999</v>
      </c>
      <c r="D13" s="118">
        <f t="shared" si="0"/>
        <v>606</v>
      </c>
      <c r="E13" s="26">
        <v>4.6500000000000004</v>
      </c>
      <c r="F13" s="25">
        <v>606</v>
      </c>
      <c r="G13" s="25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</row>
    <row r="14" spans="1:38" s="10" customFormat="1" ht="15" x14ac:dyDescent="0.25">
      <c r="A14" s="24">
        <v>6</v>
      </c>
      <c r="B14" s="25">
        <v>1.1499999999999999</v>
      </c>
      <c r="C14" s="25">
        <v>1.3</v>
      </c>
      <c r="D14" s="118">
        <f t="shared" si="0"/>
        <v>606</v>
      </c>
      <c r="E14" s="26">
        <v>4.6500000000000004</v>
      </c>
      <c r="F14" s="25">
        <v>606</v>
      </c>
      <c r="G14" s="25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</row>
    <row r="15" spans="1:38" s="10" customFormat="1" ht="15" x14ac:dyDescent="0.25">
      <c r="A15" s="24">
        <v>7</v>
      </c>
      <c r="B15" s="25">
        <v>1.3</v>
      </c>
      <c r="C15" s="25">
        <v>1.45</v>
      </c>
      <c r="D15" s="118">
        <f t="shared" si="0"/>
        <v>617</v>
      </c>
      <c r="E15" s="26">
        <v>4.6500000000000004</v>
      </c>
      <c r="F15" s="25">
        <v>617</v>
      </c>
      <c r="G15" s="25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</row>
    <row r="16" spans="1:38" s="10" customFormat="1" ht="15" x14ac:dyDescent="0.25">
      <c r="A16" s="24">
        <v>8</v>
      </c>
      <c r="B16" s="25">
        <v>1.45</v>
      </c>
      <c r="C16" s="25">
        <v>2</v>
      </c>
      <c r="D16" s="118">
        <f t="shared" si="0"/>
        <v>617</v>
      </c>
      <c r="E16" s="26">
        <v>4.6500000000000004</v>
      </c>
      <c r="F16" s="25">
        <v>617</v>
      </c>
      <c r="G16" s="25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</row>
    <row r="17" spans="1:38" s="10" customFormat="1" ht="15" x14ac:dyDescent="0.25">
      <c r="A17" s="24">
        <v>9</v>
      </c>
      <c r="B17" s="25">
        <v>2</v>
      </c>
      <c r="C17" s="25">
        <v>2.15</v>
      </c>
      <c r="D17" s="118">
        <f t="shared" si="0"/>
        <v>567</v>
      </c>
      <c r="E17" s="26">
        <v>4.6500000000000004</v>
      </c>
      <c r="F17" s="25">
        <v>567</v>
      </c>
      <c r="G17" s="25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</row>
    <row r="18" spans="1:38" s="10" customFormat="1" ht="15" x14ac:dyDescent="0.25">
      <c r="A18" s="24">
        <v>10</v>
      </c>
      <c r="B18" s="25">
        <v>2.15</v>
      </c>
      <c r="C18" s="25">
        <v>2.2999999999999998</v>
      </c>
      <c r="D18" s="118">
        <f t="shared" si="0"/>
        <v>565</v>
      </c>
      <c r="E18" s="26">
        <v>4.6500000000000004</v>
      </c>
      <c r="F18" s="25">
        <v>565</v>
      </c>
      <c r="G18" s="25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</row>
    <row r="19" spans="1:38" s="10" customFormat="1" ht="15" x14ac:dyDescent="0.25">
      <c r="A19" s="24">
        <v>11</v>
      </c>
      <c r="B19" s="25">
        <v>2.2999999999999998</v>
      </c>
      <c r="C19" s="25">
        <v>2.4500000000000002</v>
      </c>
      <c r="D19" s="118">
        <f t="shared" si="0"/>
        <v>467</v>
      </c>
      <c r="E19" s="26">
        <v>4.6500000000000004</v>
      </c>
      <c r="F19" s="25">
        <v>467</v>
      </c>
      <c r="G19" s="25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</row>
    <row r="20" spans="1:38" s="10" customFormat="1" ht="15" x14ac:dyDescent="0.25">
      <c r="A20" s="24">
        <v>12</v>
      </c>
      <c r="B20" s="25">
        <v>2.4500000000000002</v>
      </c>
      <c r="C20" s="25">
        <v>3</v>
      </c>
      <c r="D20" s="118">
        <f t="shared" si="0"/>
        <v>465</v>
      </c>
      <c r="E20" s="26">
        <v>4.6500000000000004</v>
      </c>
      <c r="F20" s="25">
        <v>465</v>
      </c>
      <c r="G20" s="25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</row>
    <row r="21" spans="1:38" s="10" customFormat="1" ht="15" x14ac:dyDescent="0.25">
      <c r="A21" s="24">
        <v>13</v>
      </c>
      <c r="B21" s="25">
        <v>3</v>
      </c>
      <c r="C21" s="25">
        <v>3.15</v>
      </c>
      <c r="D21" s="118">
        <f t="shared" si="0"/>
        <v>465</v>
      </c>
      <c r="E21" s="26">
        <v>4.6500000000000004</v>
      </c>
      <c r="F21" s="25">
        <v>465</v>
      </c>
      <c r="G21" s="25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</row>
    <row r="22" spans="1:38" s="10" customFormat="1" ht="15" x14ac:dyDescent="0.25">
      <c r="A22" s="24">
        <v>14</v>
      </c>
      <c r="B22" s="25">
        <v>3.15</v>
      </c>
      <c r="C22" s="25">
        <v>3.3</v>
      </c>
      <c r="D22" s="118">
        <f t="shared" si="0"/>
        <v>465</v>
      </c>
      <c r="E22" s="26">
        <v>4.6500000000000004</v>
      </c>
      <c r="F22" s="25">
        <v>465</v>
      </c>
      <c r="G22" s="25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</row>
    <row r="23" spans="1:38" s="10" customFormat="1" ht="15" x14ac:dyDescent="0.25">
      <c r="A23" s="24">
        <v>15</v>
      </c>
      <c r="B23" s="25">
        <v>3.3</v>
      </c>
      <c r="C23" s="25">
        <v>3.45</v>
      </c>
      <c r="D23" s="118">
        <f t="shared" si="0"/>
        <v>465</v>
      </c>
      <c r="E23" s="26">
        <v>4.6500000000000004</v>
      </c>
      <c r="F23" s="25">
        <v>465</v>
      </c>
      <c r="G23" s="25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</row>
    <row r="24" spans="1:38" s="10" customFormat="1" ht="15" x14ac:dyDescent="0.25">
      <c r="A24" s="24">
        <v>16</v>
      </c>
      <c r="B24" s="25">
        <v>3.45</v>
      </c>
      <c r="C24" s="25">
        <v>4</v>
      </c>
      <c r="D24" s="118">
        <f t="shared" si="0"/>
        <v>416</v>
      </c>
      <c r="E24" s="26">
        <v>4.6500000000000004</v>
      </c>
      <c r="F24" s="25">
        <v>416</v>
      </c>
      <c r="G24" s="25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</row>
    <row r="25" spans="1:38" s="10" customFormat="1" ht="15" x14ac:dyDescent="0.25">
      <c r="A25" s="24">
        <v>17</v>
      </c>
      <c r="B25" s="25">
        <v>4</v>
      </c>
      <c r="C25" s="25">
        <v>4.1500000000000004</v>
      </c>
      <c r="D25" s="118">
        <f t="shared" si="0"/>
        <v>416</v>
      </c>
      <c r="E25" s="26">
        <v>4.6500000000000004</v>
      </c>
      <c r="F25" s="25">
        <v>416</v>
      </c>
      <c r="G25" s="25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</row>
    <row r="26" spans="1:38" s="10" customFormat="1" ht="15" x14ac:dyDescent="0.25">
      <c r="A26" s="24">
        <v>18</v>
      </c>
      <c r="B26" s="25">
        <v>4.1500000000000004</v>
      </c>
      <c r="C26" s="25">
        <v>4.3</v>
      </c>
      <c r="D26" s="118">
        <f t="shared" si="0"/>
        <v>466</v>
      </c>
      <c r="E26" s="26">
        <v>4.6500000000000004</v>
      </c>
      <c r="F26" s="25">
        <v>466</v>
      </c>
      <c r="G26" s="25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</row>
    <row r="27" spans="1:38" s="10" customFormat="1" ht="15" x14ac:dyDescent="0.25">
      <c r="A27" s="24">
        <v>19</v>
      </c>
      <c r="B27" s="25">
        <v>4.3</v>
      </c>
      <c r="C27" s="25">
        <v>4.45</v>
      </c>
      <c r="D27" s="118">
        <f t="shared" si="0"/>
        <v>466</v>
      </c>
      <c r="E27" s="26">
        <v>4.6500000000000004</v>
      </c>
      <c r="F27" s="25">
        <v>466</v>
      </c>
      <c r="G27" s="25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</row>
    <row r="28" spans="1:38" s="10" customFormat="1" ht="15" x14ac:dyDescent="0.25">
      <c r="A28" s="24">
        <v>20</v>
      </c>
      <c r="B28" s="25">
        <v>4.45</v>
      </c>
      <c r="C28" s="25">
        <v>5</v>
      </c>
      <c r="D28" s="118">
        <f t="shared" si="0"/>
        <v>462</v>
      </c>
      <c r="E28" s="26">
        <v>4.6500000000000004</v>
      </c>
      <c r="F28" s="25">
        <v>462</v>
      </c>
      <c r="G28" s="25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</row>
    <row r="29" spans="1:38" s="10" customFormat="1" ht="15" x14ac:dyDescent="0.25">
      <c r="A29" s="24">
        <v>21</v>
      </c>
      <c r="B29" s="25">
        <v>5</v>
      </c>
      <c r="C29" s="25">
        <v>5.15</v>
      </c>
      <c r="D29" s="118">
        <f t="shared" si="0"/>
        <v>562</v>
      </c>
      <c r="E29" s="26">
        <v>4.6500000000000004</v>
      </c>
      <c r="F29" s="25">
        <v>562</v>
      </c>
      <c r="G29" s="25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</row>
    <row r="30" spans="1:38" s="10" customFormat="1" ht="15" x14ac:dyDescent="0.25">
      <c r="A30" s="24">
        <v>22</v>
      </c>
      <c r="B30" s="25">
        <v>5.15</v>
      </c>
      <c r="C30" s="25">
        <v>5.3</v>
      </c>
      <c r="D30" s="118">
        <f t="shared" si="0"/>
        <v>612</v>
      </c>
      <c r="E30" s="26">
        <v>4.6500000000000004</v>
      </c>
      <c r="F30" s="25">
        <v>612</v>
      </c>
      <c r="G30" s="25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</row>
    <row r="31" spans="1:38" s="10" customFormat="1" ht="15" x14ac:dyDescent="0.25">
      <c r="A31" s="24">
        <v>23</v>
      </c>
      <c r="B31" s="25">
        <v>5.3</v>
      </c>
      <c r="C31" s="25">
        <v>5.45</v>
      </c>
      <c r="D31" s="118">
        <f t="shared" si="0"/>
        <v>612</v>
      </c>
      <c r="E31" s="26">
        <v>4.6500000000000004</v>
      </c>
      <c r="F31" s="25">
        <v>612</v>
      </c>
      <c r="G31" s="25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</row>
    <row r="32" spans="1:38" s="10" customFormat="1" ht="15" x14ac:dyDescent="0.25">
      <c r="A32" s="24">
        <v>24</v>
      </c>
      <c r="B32" s="25">
        <v>5.45</v>
      </c>
      <c r="C32" s="25">
        <v>6</v>
      </c>
      <c r="D32" s="118">
        <f t="shared" si="0"/>
        <v>612</v>
      </c>
      <c r="E32" s="26">
        <v>4.6500000000000004</v>
      </c>
      <c r="F32" s="25">
        <v>612</v>
      </c>
      <c r="G32" s="25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</row>
    <row r="33" spans="1:38" s="10" customFormat="1" ht="15" x14ac:dyDescent="0.25">
      <c r="A33" s="24">
        <v>25</v>
      </c>
      <c r="B33" s="25">
        <v>6</v>
      </c>
      <c r="C33" s="25">
        <v>6.15</v>
      </c>
      <c r="D33" s="118">
        <f t="shared" si="0"/>
        <v>577</v>
      </c>
      <c r="E33" s="26">
        <v>4.6500000000000004</v>
      </c>
      <c r="F33" s="25">
        <v>577</v>
      </c>
      <c r="G33" s="25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</row>
    <row r="34" spans="1:38" s="10" customFormat="1" ht="15" x14ac:dyDescent="0.25">
      <c r="A34" s="24">
        <v>26</v>
      </c>
      <c r="B34" s="25">
        <v>6.15</v>
      </c>
      <c r="C34" s="25">
        <v>6.3</v>
      </c>
      <c r="D34" s="118">
        <f t="shared" si="0"/>
        <v>577</v>
      </c>
      <c r="E34" s="26">
        <v>4.6500000000000004</v>
      </c>
      <c r="F34" s="25">
        <v>577</v>
      </c>
      <c r="G34" s="25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</row>
    <row r="35" spans="1:38" s="10" customFormat="1" ht="15" x14ac:dyDescent="0.25">
      <c r="A35" s="24">
        <v>27</v>
      </c>
      <c r="B35" s="25">
        <v>6.3</v>
      </c>
      <c r="C35" s="25">
        <v>6.45</v>
      </c>
      <c r="D35" s="118">
        <f t="shared" si="0"/>
        <v>577</v>
      </c>
      <c r="E35" s="26">
        <v>4.6500000000000004</v>
      </c>
      <c r="F35" s="25">
        <v>577</v>
      </c>
      <c r="G35" s="25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</row>
    <row r="36" spans="1:38" s="10" customFormat="1" ht="15" x14ac:dyDescent="0.25">
      <c r="A36" s="24">
        <v>28</v>
      </c>
      <c r="B36" s="25">
        <v>6.45</v>
      </c>
      <c r="C36" s="25">
        <v>7</v>
      </c>
      <c r="D36" s="118">
        <f t="shared" si="0"/>
        <v>577</v>
      </c>
      <c r="E36" s="26">
        <v>4.6500000000000004</v>
      </c>
      <c r="F36" s="25">
        <v>577</v>
      </c>
      <c r="G36" s="25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</row>
    <row r="37" spans="1:38" s="10" customFormat="1" ht="15" x14ac:dyDescent="0.25">
      <c r="A37" s="24">
        <v>29</v>
      </c>
      <c r="B37" s="25">
        <v>7</v>
      </c>
      <c r="C37" s="25">
        <v>7.15</v>
      </c>
      <c r="D37" s="118">
        <f t="shared" si="0"/>
        <v>577</v>
      </c>
      <c r="E37" s="26">
        <v>4.6500000000000004</v>
      </c>
      <c r="F37" s="25">
        <v>577</v>
      </c>
      <c r="G37" s="25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</row>
    <row r="38" spans="1:38" s="10" customFormat="1" ht="15" x14ac:dyDescent="0.25">
      <c r="A38" s="24">
        <v>30</v>
      </c>
      <c r="B38" s="25">
        <v>7.15</v>
      </c>
      <c r="C38" s="25">
        <v>7.3</v>
      </c>
      <c r="D38" s="118">
        <f t="shared" si="0"/>
        <v>577</v>
      </c>
      <c r="E38" s="26">
        <v>4.6500000000000004</v>
      </c>
      <c r="F38" s="25">
        <v>577</v>
      </c>
      <c r="G38" s="25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</row>
    <row r="39" spans="1:38" s="10" customFormat="1" ht="15" x14ac:dyDescent="0.25">
      <c r="A39" s="24">
        <v>31</v>
      </c>
      <c r="B39" s="25">
        <v>7.3</v>
      </c>
      <c r="C39" s="25">
        <v>7.45</v>
      </c>
      <c r="D39" s="118">
        <f t="shared" si="0"/>
        <v>411</v>
      </c>
      <c r="E39" s="26">
        <v>4.6500000000000004</v>
      </c>
      <c r="F39" s="25">
        <v>411</v>
      </c>
      <c r="G39" s="25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</row>
    <row r="40" spans="1:38" s="10" customFormat="1" ht="15" x14ac:dyDescent="0.25">
      <c r="A40" s="24">
        <v>32</v>
      </c>
      <c r="B40" s="25">
        <v>7.45</v>
      </c>
      <c r="C40" s="25">
        <v>8</v>
      </c>
      <c r="D40" s="118">
        <f t="shared" si="0"/>
        <v>411</v>
      </c>
      <c r="E40" s="26">
        <v>4.6500000000000004</v>
      </c>
      <c r="F40" s="25">
        <v>411</v>
      </c>
      <c r="G40" s="25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</row>
    <row r="41" spans="1:38" ht="15" x14ac:dyDescent="0.2">
      <c r="A41" s="24">
        <v>33</v>
      </c>
      <c r="B41" s="25">
        <v>8</v>
      </c>
      <c r="C41" s="25">
        <v>8.15</v>
      </c>
      <c r="D41" s="118">
        <f t="shared" ref="D41:D72" si="1">SUM(F41:AL41)</f>
        <v>411</v>
      </c>
      <c r="E41" s="26">
        <v>4.6500000000000004</v>
      </c>
      <c r="F41" s="25">
        <v>411</v>
      </c>
      <c r="G41" s="25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</row>
    <row r="42" spans="1:38" ht="15" x14ac:dyDescent="0.2">
      <c r="A42" s="24">
        <v>34</v>
      </c>
      <c r="B42" s="25">
        <v>8.15</v>
      </c>
      <c r="C42" s="28">
        <v>8.3000000000000007</v>
      </c>
      <c r="D42" s="118">
        <f t="shared" si="1"/>
        <v>411</v>
      </c>
      <c r="E42" s="26">
        <v>4.6500000000000004</v>
      </c>
      <c r="F42" s="25">
        <v>411</v>
      </c>
      <c r="G42" s="25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</row>
    <row r="43" spans="1:38" ht="15" x14ac:dyDescent="0.2">
      <c r="A43" s="24">
        <v>35</v>
      </c>
      <c r="B43" s="25">
        <v>8.3000000000000007</v>
      </c>
      <c r="C43" s="25">
        <v>8.4499999999999993</v>
      </c>
      <c r="D43" s="118">
        <f t="shared" si="1"/>
        <v>411</v>
      </c>
      <c r="E43" s="26">
        <v>4.6500000000000004</v>
      </c>
      <c r="F43" s="25">
        <v>411</v>
      </c>
      <c r="G43" s="25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</row>
    <row r="44" spans="1:38" ht="12" customHeight="1" x14ac:dyDescent="0.2">
      <c r="A44" s="24">
        <v>36</v>
      </c>
      <c r="B44" s="25">
        <v>8.4499999999999993</v>
      </c>
      <c r="C44" s="25">
        <v>9</v>
      </c>
      <c r="D44" s="118">
        <f t="shared" si="1"/>
        <v>411</v>
      </c>
      <c r="E44" s="26">
        <v>4.6500000000000004</v>
      </c>
      <c r="F44" s="25">
        <v>411</v>
      </c>
      <c r="G44" s="25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</row>
    <row r="45" spans="1:38" ht="15" x14ac:dyDescent="0.2">
      <c r="A45" s="24">
        <v>37</v>
      </c>
      <c r="B45" s="25">
        <v>9</v>
      </c>
      <c r="C45" s="25">
        <v>9.15</v>
      </c>
      <c r="D45" s="118">
        <f t="shared" si="1"/>
        <v>411</v>
      </c>
      <c r="E45" s="26">
        <v>4.6500000000000004</v>
      </c>
      <c r="F45" s="25">
        <v>411</v>
      </c>
      <c r="G45" s="25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</row>
    <row r="46" spans="1:38" ht="15" x14ac:dyDescent="0.2">
      <c r="A46" s="24">
        <v>38</v>
      </c>
      <c r="B46" s="28">
        <v>9.15</v>
      </c>
      <c r="C46" s="28">
        <v>9.3000000000000007</v>
      </c>
      <c r="D46" s="118">
        <f t="shared" si="1"/>
        <v>412</v>
      </c>
      <c r="E46" s="26">
        <v>4.6500000000000004</v>
      </c>
      <c r="F46" s="25">
        <v>412</v>
      </c>
      <c r="G46" s="25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</row>
    <row r="47" spans="1:38" ht="15" x14ac:dyDescent="0.2">
      <c r="A47" s="24">
        <v>39</v>
      </c>
      <c r="B47" s="25">
        <v>9.3000000000000007</v>
      </c>
      <c r="C47" s="25">
        <v>9.4499999999999993</v>
      </c>
      <c r="D47" s="118">
        <f t="shared" si="1"/>
        <v>412</v>
      </c>
      <c r="E47" s="26">
        <v>4.6500000000000004</v>
      </c>
      <c r="F47" s="25">
        <v>412</v>
      </c>
      <c r="G47" s="25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</row>
    <row r="48" spans="1:38" ht="15" x14ac:dyDescent="0.2">
      <c r="A48" s="24">
        <v>40</v>
      </c>
      <c r="B48" s="25">
        <v>9.4499999999999993</v>
      </c>
      <c r="C48" s="25">
        <v>10</v>
      </c>
      <c r="D48" s="118">
        <f t="shared" si="1"/>
        <v>414</v>
      </c>
      <c r="E48" s="26">
        <v>4.6500000000000004</v>
      </c>
      <c r="F48" s="25">
        <v>414</v>
      </c>
      <c r="G48" s="25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15" x14ac:dyDescent="0.2">
      <c r="A49" s="24">
        <v>41</v>
      </c>
      <c r="B49" s="25">
        <v>10</v>
      </c>
      <c r="C49" s="25">
        <v>10.15</v>
      </c>
      <c r="D49" s="118">
        <f t="shared" si="1"/>
        <v>414</v>
      </c>
      <c r="E49" s="26">
        <v>4.6500000000000004</v>
      </c>
      <c r="F49" s="25">
        <v>414</v>
      </c>
      <c r="G49" s="25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</row>
    <row r="50" spans="1:38" ht="15" x14ac:dyDescent="0.2">
      <c r="A50" s="24">
        <v>42</v>
      </c>
      <c r="B50" s="25">
        <v>10.15</v>
      </c>
      <c r="C50" s="25">
        <v>10.3</v>
      </c>
      <c r="D50" s="118">
        <f t="shared" si="1"/>
        <v>414</v>
      </c>
      <c r="E50" s="26">
        <v>4.6500000000000004</v>
      </c>
      <c r="F50" s="25">
        <v>414</v>
      </c>
      <c r="G50" s="25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</row>
    <row r="51" spans="1:38" ht="15" x14ac:dyDescent="0.2">
      <c r="A51" s="24">
        <v>43</v>
      </c>
      <c r="B51" s="25">
        <v>10.3</v>
      </c>
      <c r="C51" s="25">
        <v>10.45</v>
      </c>
      <c r="D51" s="118">
        <f t="shared" si="1"/>
        <v>414</v>
      </c>
      <c r="E51" s="26">
        <v>4.6500000000000004</v>
      </c>
      <c r="F51" s="25">
        <v>414</v>
      </c>
      <c r="G51" s="25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</row>
    <row r="52" spans="1:38" ht="15" x14ac:dyDescent="0.2">
      <c r="A52" s="24">
        <v>44</v>
      </c>
      <c r="B52" s="25">
        <v>10.45</v>
      </c>
      <c r="C52" s="25">
        <v>11</v>
      </c>
      <c r="D52" s="118">
        <f t="shared" si="1"/>
        <v>414</v>
      </c>
      <c r="E52" s="26">
        <v>4.6500000000000004</v>
      </c>
      <c r="F52" s="25">
        <v>414</v>
      </c>
      <c r="G52" s="25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</row>
    <row r="53" spans="1:38" ht="15" x14ac:dyDescent="0.2">
      <c r="A53" s="24">
        <v>45</v>
      </c>
      <c r="B53" s="25">
        <v>11</v>
      </c>
      <c r="C53" s="25">
        <v>11.15</v>
      </c>
      <c r="D53" s="118">
        <f t="shared" si="1"/>
        <v>414</v>
      </c>
      <c r="E53" s="26">
        <v>4.6500000000000004</v>
      </c>
      <c r="F53" s="25">
        <v>414</v>
      </c>
      <c r="G53" s="25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</row>
    <row r="54" spans="1:38" ht="15" x14ac:dyDescent="0.2">
      <c r="A54" s="24">
        <v>46</v>
      </c>
      <c r="B54" s="25">
        <v>11.15</v>
      </c>
      <c r="C54" s="25">
        <v>11.3</v>
      </c>
      <c r="D54" s="118">
        <f t="shared" si="1"/>
        <v>414</v>
      </c>
      <c r="E54" s="26">
        <v>4.6500000000000004</v>
      </c>
      <c r="F54" s="25">
        <v>414</v>
      </c>
      <c r="G54" s="25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</row>
    <row r="55" spans="1:38" ht="15" x14ac:dyDescent="0.2">
      <c r="A55" s="24">
        <v>47</v>
      </c>
      <c r="B55" s="25">
        <v>11.3</v>
      </c>
      <c r="C55" s="25">
        <v>11.45</v>
      </c>
      <c r="D55" s="118">
        <f t="shared" si="1"/>
        <v>414</v>
      </c>
      <c r="E55" s="26">
        <v>4.6500000000000004</v>
      </c>
      <c r="F55" s="25">
        <v>414</v>
      </c>
      <c r="G55" s="25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</row>
    <row r="56" spans="1:38" ht="15" x14ac:dyDescent="0.2">
      <c r="A56" s="24">
        <v>48</v>
      </c>
      <c r="B56" s="25">
        <v>11.45</v>
      </c>
      <c r="C56" s="25">
        <v>12</v>
      </c>
      <c r="D56" s="118">
        <f t="shared" si="1"/>
        <v>412</v>
      </c>
      <c r="E56" s="26">
        <v>4.6500000000000004</v>
      </c>
      <c r="F56" s="25">
        <v>412</v>
      </c>
      <c r="G56" s="25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</row>
    <row r="57" spans="1:38" ht="15" x14ac:dyDescent="0.2">
      <c r="A57" s="24">
        <v>48</v>
      </c>
      <c r="B57" s="25">
        <v>11.45</v>
      </c>
      <c r="C57" s="25">
        <v>12</v>
      </c>
      <c r="D57" s="118">
        <f t="shared" si="1"/>
        <v>412</v>
      </c>
      <c r="E57" s="26">
        <v>4.6500000000000004</v>
      </c>
      <c r="F57" s="25">
        <v>412</v>
      </c>
      <c r="G57" s="25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</row>
    <row r="58" spans="1:38" ht="15" x14ac:dyDescent="0.2">
      <c r="A58" s="24">
        <v>50</v>
      </c>
      <c r="B58" s="25">
        <v>12.15</v>
      </c>
      <c r="C58" s="25">
        <v>12.3</v>
      </c>
      <c r="D58" s="118">
        <f t="shared" si="1"/>
        <v>412</v>
      </c>
      <c r="E58" s="26">
        <v>4.6500000000000004</v>
      </c>
      <c r="F58" s="25">
        <v>412</v>
      </c>
      <c r="G58" s="25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</row>
    <row r="59" spans="1:38" ht="15" x14ac:dyDescent="0.2">
      <c r="A59" s="24">
        <v>51</v>
      </c>
      <c r="B59" s="25">
        <v>12.3</v>
      </c>
      <c r="C59" s="25">
        <v>12.45</v>
      </c>
      <c r="D59" s="118">
        <f t="shared" si="1"/>
        <v>411</v>
      </c>
      <c r="E59" s="26">
        <v>4.6500000000000004</v>
      </c>
      <c r="F59" s="25">
        <v>411</v>
      </c>
      <c r="G59" s="25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</row>
    <row r="60" spans="1:38" ht="15" x14ac:dyDescent="0.2">
      <c r="A60" s="24">
        <v>52</v>
      </c>
      <c r="B60" s="25">
        <v>12.45</v>
      </c>
      <c r="C60" s="25">
        <v>13</v>
      </c>
      <c r="D60" s="118">
        <f t="shared" si="1"/>
        <v>411</v>
      </c>
      <c r="E60" s="26">
        <v>4.6500000000000004</v>
      </c>
      <c r="F60" s="25">
        <v>411</v>
      </c>
      <c r="G60" s="25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</row>
    <row r="61" spans="1:38" ht="15" x14ac:dyDescent="0.2">
      <c r="A61" s="24">
        <v>53</v>
      </c>
      <c r="B61" s="25">
        <v>13</v>
      </c>
      <c r="C61" s="25">
        <v>13.15</v>
      </c>
      <c r="D61" s="118">
        <f t="shared" si="1"/>
        <v>408</v>
      </c>
      <c r="E61" s="26">
        <v>4.6500000000000004</v>
      </c>
      <c r="F61" s="25">
        <v>408</v>
      </c>
      <c r="G61" s="25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</row>
    <row r="62" spans="1:38" ht="15" x14ac:dyDescent="0.2">
      <c r="A62" s="24">
        <v>54</v>
      </c>
      <c r="B62" s="25">
        <v>13.15</v>
      </c>
      <c r="C62" s="25">
        <v>13.3</v>
      </c>
      <c r="D62" s="118">
        <f t="shared" si="1"/>
        <v>408</v>
      </c>
      <c r="E62" s="26">
        <v>4.6500000000000004</v>
      </c>
      <c r="F62" s="25">
        <v>408</v>
      </c>
      <c r="G62" s="25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</row>
    <row r="63" spans="1:38" ht="15" x14ac:dyDescent="0.2">
      <c r="A63" s="24">
        <v>55</v>
      </c>
      <c r="B63" s="25">
        <v>13.3</v>
      </c>
      <c r="C63" s="25">
        <v>13.45</v>
      </c>
      <c r="D63" s="118">
        <f t="shared" si="1"/>
        <v>408</v>
      </c>
      <c r="E63" s="26">
        <v>4.6500000000000004</v>
      </c>
      <c r="F63" s="25">
        <v>408</v>
      </c>
      <c r="G63" s="25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</row>
    <row r="64" spans="1:38" ht="15" x14ac:dyDescent="0.2">
      <c r="A64" s="24">
        <v>56</v>
      </c>
      <c r="B64" s="25">
        <v>13.45</v>
      </c>
      <c r="C64" s="25">
        <v>14</v>
      </c>
      <c r="D64" s="118">
        <f t="shared" si="1"/>
        <v>409</v>
      </c>
      <c r="E64" s="26">
        <v>4.6500000000000004</v>
      </c>
      <c r="F64" s="25">
        <v>409</v>
      </c>
      <c r="G64" s="25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</row>
    <row r="65" spans="1:38" ht="15" x14ac:dyDescent="0.2">
      <c r="A65" s="24">
        <v>57</v>
      </c>
      <c r="B65" s="25">
        <v>14</v>
      </c>
      <c r="C65" s="25">
        <v>14.15</v>
      </c>
      <c r="D65" s="118">
        <f t="shared" si="1"/>
        <v>409</v>
      </c>
      <c r="E65" s="26">
        <v>4.6500000000000004</v>
      </c>
      <c r="F65" s="25">
        <v>409</v>
      </c>
      <c r="G65" s="25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</row>
    <row r="66" spans="1:38" ht="15" x14ac:dyDescent="0.2">
      <c r="A66" s="24">
        <v>58</v>
      </c>
      <c r="B66" s="25">
        <v>14.15</v>
      </c>
      <c r="C66" s="25">
        <v>14.3</v>
      </c>
      <c r="D66" s="118">
        <f t="shared" si="1"/>
        <v>409</v>
      </c>
      <c r="E66" s="26">
        <v>4.6500000000000004</v>
      </c>
      <c r="F66" s="25">
        <v>409</v>
      </c>
      <c r="G66" s="25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</row>
    <row r="67" spans="1:38" ht="15" x14ac:dyDescent="0.2">
      <c r="A67" s="24">
        <v>59</v>
      </c>
      <c r="B67" s="25">
        <v>14.3</v>
      </c>
      <c r="C67" s="25">
        <v>14.45</v>
      </c>
      <c r="D67" s="118">
        <f t="shared" si="1"/>
        <v>409</v>
      </c>
      <c r="E67" s="26">
        <v>4.6500000000000004</v>
      </c>
      <c r="F67" s="25">
        <v>409</v>
      </c>
      <c r="G67" s="25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</row>
    <row r="68" spans="1:38" ht="15" x14ac:dyDescent="0.2">
      <c r="A68" s="24">
        <v>60</v>
      </c>
      <c r="B68" s="25">
        <v>14.45</v>
      </c>
      <c r="C68" s="25">
        <v>15</v>
      </c>
      <c r="D68" s="118">
        <f t="shared" si="1"/>
        <v>409</v>
      </c>
      <c r="E68" s="26">
        <v>4.6500000000000004</v>
      </c>
      <c r="F68" s="25">
        <v>409</v>
      </c>
      <c r="G68" s="25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</row>
    <row r="69" spans="1:38" ht="15" x14ac:dyDescent="0.2">
      <c r="A69" s="24">
        <v>61</v>
      </c>
      <c r="B69" s="25">
        <v>15</v>
      </c>
      <c r="C69" s="25">
        <v>15.15</v>
      </c>
      <c r="D69" s="118">
        <f t="shared" si="1"/>
        <v>408</v>
      </c>
      <c r="E69" s="26">
        <v>4.6500000000000004</v>
      </c>
      <c r="F69" s="25">
        <v>408</v>
      </c>
      <c r="G69" s="25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</row>
    <row r="70" spans="1:38" ht="15" x14ac:dyDescent="0.2">
      <c r="A70" s="24">
        <v>62</v>
      </c>
      <c r="B70" s="25">
        <v>15.15</v>
      </c>
      <c r="C70" s="25">
        <v>15.3</v>
      </c>
      <c r="D70" s="118">
        <f t="shared" si="1"/>
        <v>408</v>
      </c>
      <c r="E70" s="26">
        <v>4.6500000000000004</v>
      </c>
      <c r="F70" s="25">
        <v>408</v>
      </c>
      <c r="G70" s="25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</row>
    <row r="71" spans="1:38" ht="15" x14ac:dyDescent="0.2">
      <c r="A71" s="24">
        <v>63</v>
      </c>
      <c r="B71" s="25">
        <v>15.3</v>
      </c>
      <c r="C71" s="25">
        <v>15.45</v>
      </c>
      <c r="D71" s="118">
        <f t="shared" si="1"/>
        <v>408</v>
      </c>
      <c r="E71" s="26">
        <v>4.6500000000000004</v>
      </c>
      <c r="F71" s="25">
        <v>408</v>
      </c>
      <c r="G71" s="25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</row>
    <row r="72" spans="1:38" ht="15" x14ac:dyDescent="0.2">
      <c r="A72" s="24">
        <v>64</v>
      </c>
      <c r="B72" s="25">
        <v>15.45</v>
      </c>
      <c r="C72" s="25">
        <v>16</v>
      </c>
      <c r="D72" s="118">
        <f t="shared" si="1"/>
        <v>408</v>
      </c>
      <c r="E72" s="26">
        <v>4.6500000000000004</v>
      </c>
      <c r="F72" s="25">
        <v>408</v>
      </c>
      <c r="G72" s="25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</row>
    <row r="73" spans="1:38" ht="15" x14ac:dyDescent="0.2">
      <c r="A73" s="24">
        <v>65</v>
      </c>
      <c r="B73" s="25">
        <v>16</v>
      </c>
      <c r="C73" s="25">
        <v>16.149999999999999</v>
      </c>
      <c r="D73" s="118">
        <f t="shared" ref="D73:D104" si="2">SUM(F73:AL73)</f>
        <v>408</v>
      </c>
      <c r="E73" s="26">
        <v>4.6500000000000004</v>
      </c>
      <c r="F73" s="25">
        <v>408</v>
      </c>
      <c r="G73" s="25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</row>
    <row r="74" spans="1:38" ht="15" x14ac:dyDescent="0.2">
      <c r="A74" s="24">
        <v>66</v>
      </c>
      <c r="B74" s="25">
        <v>16.149999999999999</v>
      </c>
      <c r="C74" s="25">
        <v>16.3</v>
      </c>
      <c r="D74" s="118">
        <f t="shared" si="2"/>
        <v>408</v>
      </c>
      <c r="E74" s="26">
        <v>4.6500000000000004</v>
      </c>
      <c r="F74" s="25">
        <v>408</v>
      </c>
      <c r="G74" s="25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</row>
    <row r="75" spans="1:38" ht="15" x14ac:dyDescent="0.2">
      <c r="A75" s="24">
        <v>67</v>
      </c>
      <c r="B75" s="25">
        <v>16.3</v>
      </c>
      <c r="C75" s="25">
        <v>16.45</v>
      </c>
      <c r="D75" s="118">
        <f t="shared" si="2"/>
        <v>409</v>
      </c>
      <c r="E75" s="26">
        <v>4.6500000000000004</v>
      </c>
      <c r="F75" s="25">
        <v>409</v>
      </c>
      <c r="G75" s="25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</row>
    <row r="76" spans="1:38" ht="15" x14ac:dyDescent="0.2">
      <c r="A76" s="24">
        <v>68</v>
      </c>
      <c r="B76" s="25">
        <v>16.45</v>
      </c>
      <c r="C76" s="25">
        <v>17</v>
      </c>
      <c r="D76" s="118">
        <f t="shared" si="2"/>
        <v>409</v>
      </c>
      <c r="E76" s="26">
        <v>4.6500000000000004</v>
      </c>
      <c r="F76" s="25">
        <v>409</v>
      </c>
      <c r="G76" s="25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</row>
    <row r="77" spans="1:38" ht="15" x14ac:dyDescent="0.2">
      <c r="A77" s="24">
        <v>69</v>
      </c>
      <c r="B77" s="25">
        <v>17</v>
      </c>
      <c r="C77" s="25">
        <v>17.149999999999999</v>
      </c>
      <c r="D77" s="118">
        <f t="shared" si="2"/>
        <v>409</v>
      </c>
      <c r="E77" s="26">
        <v>4.6500000000000004</v>
      </c>
      <c r="F77" s="25">
        <v>409</v>
      </c>
      <c r="G77" s="25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</row>
    <row r="78" spans="1:38" ht="15" x14ac:dyDescent="0.2">
      <c r="A78" s="24">
        <v>70</v>
      </c>
      <c r="B78" s="25">
        <v>17.149999999999999</v>
      </c>
      <c r="C78" s="25">
        <v>17.3</v>
      </c>
      <c r="D78" s="118">
        <f t="shared" si="2"/>
        <v>409</v>
      </c>
      <c r="E78" s="26">
        <v>4.6500000000000004</v>
      </c>
      <c r="F78" s="25">
        <v>409</v>
      </c>
      <c r="G78" s="25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</row>
    <row r="79" spans="1:38" ht="15" x14ac:dyDescent="0.2">
      <c r="A79" s="24">
        <v>71</v>
      </c>
      <c r="B79" s="25">
        <v>17.3</v>
      </c>
      <c r="C79" s="25">
        <v>17.45</v>
      </c>
      <c r="D79" s="118">
        <f t="shared" si="2"/>
        <v>409</v>
      </c>
      <c r="E79" s="26">
        <v>4.6500000000000004</v>
      </c>
      <c r="F79" s="25">
        <v>409</v>
      </c>
      <c r="G79" s="25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</row>
    <row r="80" spans="1:38" ht="15" x14ac:dyDescent="0.2">
      <c r="A80" s="24">
        <v>72</v>
      </c>
      <c r="B80" s="25">
        <v>17.45</v>
      </c>
      <c r="C80" s="25">
        <v>18</v>
      </c>
      <c r="D80" s="118">
        <f t="shared" si="2"/>
        <v>409</v>
      </c>
      <c r="E80" s="26">
        <v>4.6500000000000004</v>
      </c>
      <c r="F80" s="25">
        <v>409</v>
      </c>
      <c r="G80" s="25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</row>
    <row r="81" spans="1:38" ht="15" x14ac:dyDescent="0.2">
      <c r="A81" s="24">
        <v>73</v>
      </c>
      <c r="B81" s="25">
        <v>18</v>
      </c>
      <c r="C81" s="25">
        <v>18.149999999999999</v>
      </c>
      <c r="D81" s="118">
        <f t="shared" si="2"/>
        <v>459</v>
      </c>
      <c r="E81" s="26">
        <v>4.6500000000000004</v>
      </c>
      <c r="F81" s="25">
        <v>459</v>
      </c>
      <c r="G81" s="25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</row>
    <row r="82" spans="1:38" ht="15" x14ac:dyDescent="0.2">
      <c r="A82" s="24">
        <v>74</v>
      </c>
      <c r="B82" s="25">
        <v>18.149999999999999</v>
      </c>
      <c r="C82" s="25">
        <v>18.3</v>
      </c>
      <c r="D82" s="118">
        <f t="shared" si="2"/>
        <v>510</v>
      </c>
      <c r="E82" s="26">
        <v>4.6500000000000004</v>
      </c>
      <c r="F82" s="25">
        <v>510</v>
      </c>
      <c r="G82" s="25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15" x14ac:dyDescent="0.2">
      <c r="A83" s="24">
        <v>75</v>
      </c>
      <c r="B83" s="25">
        <v>18.3</v>
      </c>
      <c r="C83" s="25">
        <v>18.45</v>
      </c>
      <c r="D83" s="118">
        <f t="shared" si="2"/>
        <v>572</v>
      </c>
      <c r="E83" s="26">
        <v>4.6500000000000004</v>
      </c>
      <c r="F83" s="25">
        <v>572</v>
      </c>
      <c r="G83" s="25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</row>
    <row r="84" spans="1:38" ht="15" x14ac:dyDescent="0.2">
      <c r="A84" s="24">
        <v>76</v>
      </c>
      <c r="B84" s="25">
        <v>18.45</v>
      </c>
      <c r="C84" s="25">
        <v>19</v>
      </c>
      <c r="D84" s="118">
        <f t="shared" si="2"/>
        <v>617</v>
      </c>
      <c r="E84" s="26">
        <v>4.6500000000000004</v>
      </c>
      <c r="F84" s="25">
        <v>617</v>
      </c>
      <c r="G84" s="25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</row>
    <row r="85" spans="1:38" ht="15" x14ac:dyDescent="0.2">
      <c r="A85" s="24">
        <v>77</v>
      </c>
      <c r="B85" s="25">
        <v>19</v>
      </c>
      <c r="C85" s="25">
        <v>19.149999999999999</v>
      </c>
      <c r="D85" s="118">
        <f t="shared" si="2"/>
        <v>617</v>
      </c>
      <c r="E85" s="26">
        <v>4.6500000000000004</v>
      </c>
      <c r="F85" s="25">
        <v>617</v>
      </c>
      <c r="G85" s="25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</row>
    <row r="86" spans="1:38" ht="15" x14ac:dyDescent="0.2">
      <c r="A86" s="24">
        <v>78</v>
      </c>
      <c r="B86" s="25">
        <v>19.149999999999999</v>
      </c>
      <c r="C86" s="25">
        <v>19.3</v>
      </c>
      <c r="D86" s="118">
        <f t="shared" si="2"/>
        <v>617</v>
      </c>
      <c r="E86" s="26">
        <v>4.6500000000000004</v>
      </c>
      <c r="F86" s="25">
        <v>617</v>
      </c>
      <c r="G86" s="25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</row>
    <row r="87" spans="1:38" ht="15" x14ac:dyDescent="0.2">
      <c r="A87" s="24">
        <v>79</v>
      </c>
      <c r="B87" s="25">
        <v>19.3</v>
      </c>
      <c r="C87" s="25">
        <v>19.45</v>
      </c>
      <c r="D87" s="118">
        <f t="shared" si="2"/>
        <v>617</v>
      </c>
      <c r="E87" s="26">
        <v>4.6500000000000004</v>
      </c>
      <c r="F87" s="25">
        <v>617</v>
      </c>
      <c r="G87" s="25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</row>
    <row r="88" spans="1:38" ht="15" x14ac:dyDescent="0.2">
      <c r="A88" s="24">
        <v>80</v>
      </c>
      <c r="B88" s="25">
        <v>19.45</v>
      </c>
      <c r="C88" s="25">
        <v>20</v>
      </c>
      <c r="D88" s="118">
        <f t="shared" si="2"/>
        <v>617</v>
      </c>
      <c r="E88" s="26">
        <v>4.6500000000000004</v>
      </c>
      <c r="F88" s="25">
        <v>617</v>
      </c>
      <c r="G88" s="25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</row>
    <row r="89" spans="1:38" ht="15" x14ac:dyDescent="0.2">
      <c r="A89" s="24">
        <v>81</v>
      </c>
      <c r="B89" s="25">
        <v>20</v>
      </c>
      <c r="C89" s="25">
        <v>20.149999999999999</v>
      </c>
      <c r="D89" s="118">
        <f t="shared" si="2"/>
        <v>617</v>
      </c>
      <c r="E89" s="26">
        <v>4.6500000000000004</v>
      </c>
      <c r="F89" s="25">
        <v>617</v>
      </c>
      <c r="G89" s="25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</row>
    <row r="90" spans="1:38" ht="15" x14ac:dyDescent="0.2">
      <c r="A90" s="24">
        <v>82</v>
      </c>
      <c r="B90" s="25">
        <v>20.149999999999999</v>
      </c>
      <c r="C90" s="25">
        <v>20.3</v>
      </c>
      <c r="D90" s="118">
        <f t="shared" si="2"/>
        <v>617</v>
      </c>
      <c r="E90" s="26">
        <v>4.6500000000000004</v>
      </c>
      <c r="F90" s="25">
        <v>617</v>
      </c>
      <c r="G90" s="25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</row>
    <row r="91" spans="1:38" ht="15" x14ac:dyDescent="0.2">
      <c r="A91" s="24">
        <v>83</v>
      </c>
      <c r="B91" s="25">
        <v>20.3</v>
      </c>
      <c r="C91" s="25">
        <v>20.45</v>
      </c>
      <c r="D91" s="118">
        <f t="shared" si="2"/>
        <v>617</v>
      </c>
      <c r="E91" s="26">
        <v>4.6500000000000004</v>
      </c>
      <c r="F91" s="25">
        <v>617</v>
      </c>
      <c r="G91" s="25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</row>
    <row r="92" spans="1:38" ht="15" x14ac:dyDescent="0.2">
      <c r="A92" s="24">
        <v>84</v>
      </c>
      <c r="B92" s="25">
        <v>20.45</v>
      </c>
      <c r="C92" s="25">
        <v>21</v>
      </c>
      <c r="D92" s="118">
        <f t="shared" si="2"/>
        <v>617</v>
      </c>
      <c r="E92" s="26">
        <v>4.6500000000000004</v>
      </c>
      <c r="F92" s="25">
        <v>617</v>
      </c>
      <c r="G92" s="25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</row>
    <row r="93" spans="1:38" ht="15" x14ac:dyDescent="0.2">
      <c r="A93" s="24">
        <v>85</v>
      </c>
      <c r="B93" s="25">
        <v>21</v>
      </c>
      <c r="C93" s="25">
        <v>21.15</v>
      </c>
      <c r="D93" s="118">
        <f t="shared" si="2"/>
        <v>617</v>
      </c>
      <c r="E93" s="26">
        <v>4.6500000000000004</v>
      </c>
      <c r="F93" s="25">
        <v>617</v>
      </c>
      <c r="G93" s="25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</row>
    <row r="94" spans="1:38" ht="15" x14ac:dyDescent="0.2">
      <c r="A94" s="24">
        <v>86</v>
      </c>
      <c r="B94" s="25">
        <v>21.15</v>
      </c>
      <c r="C94" s="25">
        <v>21.3</v>
      </c>
      <c r="D94" s="118">
        <f t="shared" si="2"/>
        <v>617</v>
      </c>
      <c r="E94" s="26">
        <v>4.6500000000000004</v>
      </c>
      <c r="F94" s="25">
        <v>617</v>
      </c>
      <c r="G94" s="25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</row>
    <row r="95" spans="1:38" ht="15" x14ac:dyDescent="0.2">
      <c r="A95" s="24">
        <v>87</v>
      </c>
      <c r="B95" s="25">
        <v>21.3</v>
      </c>
      <c r="C95" s="25">
        <v>21.45</v>
      </c>
      <c r="D95" s="118">
        <f t="shared" si="2"/>
        <v>617</v>
      </c>
      <c r="E95" s="26">
        <v>4.6500000000000004</v>
      </c>
      <c r="F95" s="25">
        <v>617</v>
      </c>
      <c r="G95" s="25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</row>
    <row r="96" spans="1:38" ht="15" x14ac:dyDescent="0.2">
      <c r="A96" s="24">
        <v>88</v>
      </c>
      <c r="B96" s="25">
        <v>21.45</v>
      </c>
      <c r="C96" s="25">
        <v>22</v>
      </c>
      <c r="D96" s="118">
        <f t="shared" si="2"/>
        <v>617</v>
      </c>
      <c r="E96" s="26">
        <v>4.6500000000000004</v>
      </c>
      <c r="F96" s="25">
        <v>617</v>
      </c>
      <c r="G96" s="25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</row>
    <row r="97" spans="1:38" ht="15" x14ac:dyDescent="0.2">
      <c r="A97" s="24">
        <v>89</v>
      </c>
      <c r="B97" s="25">
        <v>22</v>
      </c>
      <c r="C97" s="25">
        <v>22.15</v>
      </c>
      <c r="D97" s="118">
        <f t="shared" si="2"/>
        <v>617</v>
      </c>
      <c r="E97" s="26">
        <v>4.6500000000000004</v>
      </c>
      <c r="F97" s="25">
        <v>617</v>
      </c>
      <c r="G97" s="25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</row>
    <row r="98" spans="1:38" ht="15" x14ac:dyDescent="0.2">
      <c r="A98" s="24">
        <v>90</v>
      </c>
      <c r="B98" s="25">
        <v>22.15</v>
      </c>
      <c r="C98" s="25">
        <v>22.3</v>
      </c>
      <c r="D98" s="118">
        <f t="shared" si="2"/>
        <v>617</v>
      </c>
      <c r="E98" s="26">
        <v>4.6500000000000004</v>
      </c>
      <c r="F98" s="25">
        <v>617</v>
      </c>
      <c r="G98" s="25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</row>
    <row r="99" spans="1:38" ht="15" x14ac:dyDescent="0.2">
      <c r="A99" s="24">
        <v>91</v>
      </c>
      <c r="B99" s="25">
        <v>22.3</v>
      </c>
      <c r="C99" s="25">
        <v>22.45</v>
      </c>
      <c r="D99" s="118">
        <f t="shared" si="2"/>
        <v>617</v>
      </c>
      <c r="E99" s="26">
        <v>4.6500000000000004</v>
      </c>
      <c r="F99" s="25">
        <v>617</v>
      </c>
      <c r="G99" s="25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</row>
    <row r="100" spans="1:38" ht="15" x14ac:dyDescent="0.2">
      <c r="A100" s="24">
        <v>92</v>
      </c>
      <c r="B100" s="25">
        <v>22.45</v>
      </c>
      <c r="C100" s="25">
        <v>23</v>
      </c>
      <c r="D100" s="118">
        <f t="shared" si="2"/>
        <v>617</v>
      </c>
      <c r="E100" s="26">
        <v>4.6500000000000004</v>
      </c>
      <c r="F100" s="25">
        <v>617</v>
      </c>
      <c r="G100" s="25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</row>
    <row r="101" spans="1:38" ht="15" x14ac:dyDescent="0.2">
      <c r="A101" s="24">
        <v>93</v>
      </c>
      <c r="B101" s="25">
        <v>23</v>
      </c>
      <c r="C101" s="25">
        <v>23.15</v>
      </c>
      <c r="D101" s="118">
        <f t="shared" si="2"/>
        <v>617</v>
      </c>
      <c r="E101" s="26">
        <v>4.6500000000000004</v>
      </c>
      <c r="F101" s="25">
        <v>617</v>
      </c>
      <c r="G101" s="25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</row>
    <row r="102" spans="1:38" ht="15" x14ac:dyDescent="0.2">
      <c r="A102" s="24">
        <v>94</v>
      </c>
      <c r="B102" s="25">
        <v>23.15</v>
      </c>
      <c r="C102" s="25">
        <v>23.3</v>
      </c>
      <c r="D102" s="118">
        <f t="shared" si="2"/>
        <v>617</v>
      </c>
      <c r="E102" s="26">
        <v>4.6500000000000004</v>
      </c>
      <c r="F102" s="25">
        <v>617</v>
      </c>
      <c r="G102" s="25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</row>
    <row r="103" spans="1:38" ht="15" x14ac:dyDescent="0.2">
      <c r="A103" s="24">
        <v>95</v>
      </c>
      <c r="B103" s="25">
        <v>23.3</v>
      </c>
      <c r="C103" s="25">
        <v>23.45</v>
      </c>
      <c r="D103" s="118">
        <f t="shared" si="2"/>
        <v>617</v>
      </c>
      <c r="E103" s="26">
        <v>4.6500000000000004</v>
      </c>
      <c r="F103" s="25">
        <v>617</v>
      </c>
      <c r="G103" s="25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</row>
    <row r="104" spans="1:38" ht="15" x14ac:dyDescent="0.2">
      <c r="A104" s="29">
        <v>96</v>
      </c>
      <c r="B104" s="30">
        <v>23.45</v>
      </c>
      <c r="C104" s="30">
        <v>24</v>
      </c>
      <c r="D104" s="118">
        <f t="shared" si="2"/>
        <v>617</v>
      </c>
      <c r="E104" s="26">
        <v>4.6500000000000004</v>
      </c>
      <c r="F104" s="25">
        <v>617</v>
      </c>
      <c r="G104" s="25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</row>
    <row r="105" spans="1:38" s="62" customFormat="1" x14ac:dyDescent="0.2"/>
    <row r="106" spans="1:38" s="62" customFormat="1" x14ac:dyDescent="0.2"/>
    <row r="107" spans="1:38" s="62" customFormat="1" x14ac:dyDescent="0.2"/>
    <row r="108" spans="1:38" x14ac:dyDescent="0.2">
      <c r="H108" s="62"/>
    </row>
    <row r="109" spans="1:38" x14ac:dyDescent="0.2">
      <c r="H109" s="62"/>
    </row>
    <row r="124" spans="8:8" x14ac:dyDescent="0.2">
      <c r="H124" s="5" t="s">
        <v>72</v>
      </c>
    </row>
    <row r="283" spans="1:15" x14ac:dyDescent="0.2">
      <c r="A283" s="5">
        <f>SUM(E9:L104)</f>
        <v>48637.400000000089</v>
      </c>
    </row>
    <row r="284" spans="1:15" x14ac:dyDescent="0.2">
      <c r="A284" s="5">
        <v>1</v>
      </c>
    </row>
    <row r="285" spans="1:15" s="31" customFormat="1" x14ac:dyDescent="0.2">
      <c r="A285" s="31" t="s">
        <v>20</v>
      </c>
      <c r="B285" s="31" t="str">
        <f t="shared" ref="B285:J300" si="3">D8</f>
        <v>DC</v>
      </c>
      <c r="C285" s="31" t="str">
        <f t="shared" si="3"/>
        <v>FC</v>
      </c>
      <c r="D285" s="31" t="e">
        <f>#REF!</f>
        <v>#REF!</v>
      </c>
      <c r="E285" s="31" t="str">
        <f t="shared" ref="E285:O285" si="4">F8</f>
        <v>ST</v>
      </c>
      <c r="F285" s="31">
        <f t="shared" si="4"/>
        <v>0</v>
      </c>
      <c r="G285" s="31">
        <f t="shared" si="4"/>
        <v>0</v>
      </c>
      <c r="H285" s="31">
        <f t="shared" si="4"/>
        <v>0</v>
      </c>
      <c r="I285" s="31">
        <f t="shared" si="4"/>
        <v>0</v>
      </c>
      <c r="J285" s="31">
        <f t="shared" si="4"/>
        <v>0</v>
      </c>
      <c r="K285" s="31">
        <f t="shared" si="4"/>
        <v>0</v>
      </c>
      <c r="L285" s="31">
        <f>O8</f>
        <v>0</v>
      </c>
      <c r="O285" s="31">
        <f t="shared" si="4"/>
        <v>0</v>
      </c>
    </row>
    <row r="286" spans="1:15" x14ac:dyDescent="0.2">
      <c r="A286" s="5">
        <v>0</v>
      </c>
      <c r="B286" s="32">
        <f t="shared" si="3"/>
        <v>617</v>
      </c>
      <c r="C286" s="32">
        <f t="shared" si="3"/>
        <v>4.6500000000000004</v>
      </c>
      <c r="D286" s="32">
        <f t="shared" ref="D286:D317" si="5">F9</f>
        <v>617</v>
      </c>
      <c r="E286" s="32">
        <f t="shared" si="3"/>
        <v>0</v>
      </c>
      <c r="F286" s="32">
        <f t="shared" si="3"/>
        <v>0</v>
      </c>
      <c r="G286" s="32">
        <f t="shared" si="3"/>
        <v>0</v>
      </c>
      <c r="H286" s="32">
        <f t="shared" si="3"/>
        <v>0</v>
      </c>
      <c r="I286" s="32">
        <f t="shared" si="3"/>
        <v>0</v>
      </c>
      <c r="J286" s="32">
        <f t="shared" si="3"/>
        <v>0</v>
      </c>
      <c r="K286" s="32">
        <f t="shared" ref="K286:L317" si="6">O9</f>
        <v>0</v>
      </c>
      <c r="L286" s="32">
        <f t="shared" si="6"/>
        <v>0</v>
      </c>
      <c r="M286" s="32"/>
      <c r="N286" s="32"/>
    </row>
    <row r="287" spans="1:15" x14ac:dyDescent="0.2">
      <c r="A287" s="5">
        <v>0</v>
      </c>
      <c r="B287" s="32">
        <f t="shared" si="3"/>
        <v>617</v>
      </c>
      <c r="C287" s="32">
        <f t="shared" si="3"/>
        <v>4.6500000000000004</v>
      </c>
      <c r="D287" s="32">
        <f t="shared" si="5"/>
        <v>617</v>
      </c>
      <c r="E287" s="32">
        <f t="shared" si="3"/>
        <v>0</v>
      </c>
      <c r="F287" s="32">
        <f t="shared" si="3"/>
        <v>0</v>
      </c>
      <c r="G287" s="32">
        <f t="shared" si="3"/>
        <v>0</v>
      </c>
      <c r="H287" s="32">
        <f t="shared" si="3"/>
        <v>0</v>
      </c>
      <c r="I287" s="32">
        <f t="shared" si="3"/>
        <v>0</v>
      </c>
      <c r="J287" s="32">
        <f t="shared" si="3"/>
        <v>0</v>
      </c>
      <c r="K287" s="32">
        <f t="shared" si="6"/>
        <v>0</v>
      </c>
      <c r="L287" s="32">
        <f t="shared" si="6"/>
        <v>0</v>
      </c>
      <c r="M287" s="32"/>
      <c r="N287" s="32"/>
    </row>
    <row r="288" spans="1:15" x14ac:dyDescent="0.2">
      <c r="A288" s="5">
        <v>0</v>
      </c>
      <c r="B288" s="32">
        <f t="shared" si="3"/>
        <v>617</v>
      </c>
      <c r="C288" s="32">
        <f t="shared" si="3"/>
        <v>4.6500000000000004</v>
      </c>
      <c r="D288" s="32">
        <f t="shared" si="5"/>
        <v>617</v>
      </c>
      <c r="E288" s="32">
        <f t="shared" si="3"/>
        <v>0</v>
      </c>
      <c r="F288" s="32">
        <f t="shared" si="3"/>
        <v>0</v>
      </c>
      <c r="G288" s="32">
        <f t="shared" si="3"/>
        <v>0</v>
      </c>
      <c r="H288" s="32">
        <f t="shared" si="3"/>
        <v>0</v>
      </c>
      <c r="I288" s="32">
        <f t="shared" si="3"/>
        <v>0</v>
      </c>
      <c r="J288" s="32">
        <f t="shared" si="3"/>
        <v>0</v>
      </c>
      <c r="K288" s="32">
        <f t="shared" si="6"/>
        <v>0</v>
      </c>
      <c r="L288" s="32">
        <f t="shared" si="6"/>
        <v>0</v>
      </c>
      <c r="M288" s="32"/>
      <c r="N288" s="32"/>
    </row>
    <row r="289" spans="1:14" x14ac:dyDescent="0.2">
      <c r="A289" s="5">
        <v>0</v>
      </c>
      <c r="B289" s="32">
        <f t="shared" si="3"/>
        <v>609</v>
      </c>
      <c r="C289" s="32">
        <f t="shared" si="3"/>
        <v>4.6500000000000004</v>
      </c>
      <c r="D289" s="32">
        <f t="shared" si="5"/>
        <v>609</v>
      </c>
      <c r="E289" s="32">
        <f t="shared" si="3"/>
        <v>0</v>
      </c>
      <c r="F289" s="32">
        <f t="shared" si="3"/>
        <v>0</v>
      </c>
      <c r="G289" s="32">
        <f t="shared" si="3"/>
        <v>0</v>
      </c>
      <c r="H289" s="32">
        <f t="shared" si="3"/>
        <v>0</v>
      </c>
      <c r="I289" s="32">
        <f t="shared" si="3"/>
        <v>0</v>
      </c>
      <c r="J289" s="32">
        <f t="shared" si="3"/>
        <v>0</v>
      </c>
      <c r="K289" s="32">
        <f t="shared" si="6"/>
        <v>0</v>
      </c>
      <c r="L289" s="32">
        <f t="shared" si="6"/>
        <v>0</v>
      </c>
      <c r="M289" s="32"/>
      <c r="N289" s="32"/>
    </row>
    <row r="290" spans="1:14" x14ac:dyDescent="0.2">
      <c r="A290" s="5">
        <v>0</v>
      </c>
      <c r="B290" s="32">
        <f t="shared" si="3"/>
        <v>606</v>
      </c>
      <c r="C290" s="32">
        <f t="shared" si="3"/>
        <v>4.6500000000000004</v>
      </c>
      <c r="D290" s="32">
        <f t="shared" si="5"/>
        <v>606</v>
      </c>
      <c r="E290" s="32">
        <f t="shared" si="3"/>
        <v>0</v>
      </c>
      <c r="F290" s="32">
        <f t="shared" si="3"/>
        <v>0</v>
      </c>
      <c r="G290" s="32">
        <f t="shared" si="3"/>
        <v>0</v>
      </c>
      <c r="H290" s="32">
        <f t="shared" si="3"/>
        <v>0</v>
      </c>
      <c r="I290" s="32">
        <f t="shared" si="3"/>
        <v>0</v>
      </c>
      <c r="J290" s="32">
        <f t="shared" si="3"/>
        <v>0</v>
      </c>
      <c r="K290" s="32">
        <f t="shared" si="6"/>
        <v>0</v>
      </c>
      <c r="L290" s="32">
        <f t="shared" si="6"/>
        <v>0</v>
      </c>
      <c r="M290" s="32"/>
      <c r="N290" s="32"/>
    </row>
    <row r="291" spans="1:14" x14ac:dyDescent="0.2">
      <c r="A291" s="5">
        <v>0</v>
      </c>
      <c r="B291" s="32">
        <f t="shared" si="3"/>
        <v>606</v>
      </c>
      <c r="C291" s="32">
        <f t="shared" si="3"/>
        <v>4.6500000000000004</v>
      </c>
      <c r="D291" s="32">
        <f t="shared" si="5"/>
        <v>606</v>
      </c>
      <c r="E291" s="32">
        <f t="shared" si="3"/>
        <v>0</v>
      </c>
      <c r="F291" s="32">
        <f t="shared" si="3"/>
        <v>0</v>
      </c>
      <c r="G291" s="32">
        <f t="shared" si="3"/>
        <v>0</v>
      </c>
      <c r="H291" s="32">
        <f t="shared" si="3"/>
        <v>0</v>
      </c>
      <c r="I291" s="32">
        <f t="shared" si="3"/>
        <v>0</v>
      </c>
      <c r="J291" s="32">
        <f t="shared" si="3"/>
        <v>0</v>
      </c>
      <c r="K291" s="32">
        <f t="shared" si="6"/>
        <v>0</v>
      </c>
      <c r="L291" s="32">
        <f t="shared" si="6"/>
        <v>0</v>
      </c>
      <c r="M291" s="32"/>
      <c r="N291" s="32"/>
    </row>
    <row r="292" spans="1:14" x14ac:dyDescent="0.2">
      <c r="A292" s="5">
        <v>0</v>
      </c>
      <c r="B292" s="32">
        <f t="shared" si="3"/>
        <v>617</v>
      </c>
      <c r="C292" s="32">
        <f t="shared" si="3"/>
        <v>4.6500000000000004</v>
      </c>
      <c r="D292" s="32">
        <f t="shared" si="5"/>
        <v>617</v>
      </c>
      <c r="E292" s="32">
        <f t="shared" si="3"/>
        <v>0</v>
      </c>
      <c r="F292" s="32">
        <f t="shared" si="3"/>
        <v>0</v>
      </c>
      <c r="G292" s="32">
        <f t="shared" si="3"/>
        <v>0</v>
      </c>
      <c r="H292" s="32">
        <f t="shared" si="3"/>
        <v>0</v>
      </c>
      <c r="I292" s="32">
        <f t="shared" si="3"/>
        <v>0</v>
      </c>
      <c r="J292" s="32">
        <f t="shared" si="3"/>
        <v>0</v>
      </c>
      <c r="K292" s="32">
        <f t="shared" si="6"/>
        <v>0</v>
      </c>
      <c r="L292" s="32">
        <f t="shared" si="6"/>
        <v>0</v>
      </c>
      <c r="M292" s="32"/>
      <c r="N292" s="32"/>
    </row>
    <row r="293" spans="1:14" x14ac:dyDescent="0.2">
      <c r="A293" s="5">
        <v>0</v>
      </c>
      <c r="B293" s="32">
        <f t="shared" si="3"/>
        <v>617</v>
      </c>
      <c r="C293" s="32">
        <f t="shared" si="3"/>
        <v>4.6500000000000004</v>
      </c>
      <c r="D293" s="32">
        <f t="shared" si="5"/>
        <v>617</v>
      </c>
      <c r="E293" s="32">
        <f t="shared" si="3"/>
        <v>0</v>
      </c>
      <c r="F293" s="32">
        <f t="shared" si="3"/>
        <v>0</v>
      </c>
      <c r="G293" s="32">
        <f t="shared" si="3"/>
        <v>0</v>
      </c>
      <c r="H293" s="32">
        <f t="shared" si="3"/>
        <v>0</v>
      </c>
      <c r="I293" s="32">
        <f t="shared" si="3"/>
        <v>0</v>
      </c>
      <c r="J293" s="32">
        <f t="shared" si="3"/>
        <v>0</v>
      </c>
      <c r="K293" s="32">
        <f t="shared" si="6"/>
        <v>0</v>
      </c>
      <c r="L293" s="32">
        <f t="shared" si="6"/>
        <v>0</v>
      </c>
      <c r="M293" s="32"/>
      <c r="N293" s="32"/>
    </row>
    <row r="294" spans="1:14" x14ac:dyDescent="0.2">
      <c r="A294" s="5">
        <v>0</v>
      </c>
      <c r="B294" s="32">
        <f t="shared" si="3"/>
        <v>567</v>
      </c>
      <c r="C294" s="32">
        <f t="shared" si="3"/>
        <v>4.6500000000000004</v>
      </c>
      <c r="D294" s="32">
        <f t="shared" si="5"/>
        <v>567</v>
      </c>
      <c r="E294" s="32">
        <f t="shared" si="3"/>
        <v>0</v>
      </c>
      <c r="F294" s="32">
        <f t="shared" si="3"/>
        <v>0</v>
      </c>
      <c r="G294" s="32">
        <f t="shared" si="3"/>
        <v>0</v>
      </c>
      <c r="H294" s="32">
        <f t="shared" si="3"/>
        <v>0</v>
      </c>
      <c r="I294" s="32">
        <f t="shared" si="3"/>
        <v>0</v>
      </c>
      <c r="J294" s="32">
        <f t="shared" si="3"/>
        <v>0</v>
      </c>
      <c r="K294" s="32">
        <f t="shared" si="6"/>
        <v>0</v>
      </c>
      <c r="L294" s="32">
        <f t="shared" si="6"/>
        <v>0</v>
      </c>
      <c r="M294" s="32"/>
      <c r="N294" s="32"/>
    </row>
    <row r="295" spans="1:14" x14ac:dyDescent="0.2">
      <c r="A295" s="5">
        <v>0</v>
      </c>
      <c r="B295" s="32">
        <f t="shared" si="3"/>
        <v>565</v>
      </c>
      <c r="C295" s="32">
        <f t="shared" si="3"/>
        <v>4.6500000000000004</v>
      </c>
      <c r="D295" s="32">
        <f t="shared" si="5"/>
        <v>565</v>
      </c>
      <c r="E295" s="32">
        <f t="shared" si="3"/>
        <v>0</v>
      </c>
      <c r="F295" s="32">
        <f t="shared" si="3"/>
        <v>0</v>
      </c>
      <c r="G295" s="32">
        <f t="shared" si="3"/>
        <v>0</v>
      </c>
      <c r="H295" s="32">
        <f t="shared" si="3"/>
        <v>0</v>
      </c>
      <c r="I295" s="32">
        <f t="shared" si="3"/>
        <v>0</v>
      </c>
      <c r="J295" s="32">
        <f t="shared" si="3"/>
        <v>0</v>
      </c>
      <c r="K295" s="32">
        <f t="shared" si="6"/>
        <v>0</v>
      </c>
      <c r="L295" s="32">
        <f t="shared" si="6"/>
        <v>0</v>
      </c>
      <c r="M295" s="32"/>
      <c r="N295" s="32"/>
    </row>
    <row r="296" spans="1:14" x14ac:dyDescent="0.2">
      <c r="A296" s="5">
        <v>0</v>
      </c>
      <c r="B296" s="32">
        <f t="shared" si="3"/>
        <v>467</v>
      </c>
      <c r="C296" s="32">
        <f t="shared" si="3"/>
        <v>4.6500000000000004</v>
      </c>
      <c r="D296" s="32">
        <f t="shared" si="5"/>
        <v>467</v>
      </c>
      <c r="E296" s="32">
        <f t="shared" si="3"/>
        <v>0</v>
      </c>
      <c r="F296" s="32">
        <f t="shared" si="3"/>
        <v>0</v>
      </c>
      <c r="G296" s="32">
        <f t="shared" si="3"/>
        <v>0</v>
      </c>
      <c r="H296" s="32">
        <f t="shared" si="3"/>
        <v>0</v>
      </c>
      <c r="I296" s="32">
        <f t="shared" si="3"/>
        <v>0</v>
      </c>
      <c r="J296" s="32">
        <f t="shared" si="3"/>
        <v>0</v>
      </c>
      <c r="K296" s="32">
        <f t="shared" si="6"/>
        <v>0</v>
      </c>
      <c r="L296" s="32">
        <f t="shared" si="6"/>
        <v>0</v>
      </c>
      <c r="M296" s="32"/>
      <c r="N296" s="32"/>
    </row>
    <row r="297" spans="1:14" x14ac:dyDescent="0.2">
      <c r="A297" s="5">
        <v>1</v>
      </c>
      <c r="B297" s="32">
        <f t="shared" si="3"/>
        <v>465</v>
      </c>
      <c r="C297" s="32">
        <f t="shared" si="3"/>
        <v>4.6500000000000004</v>
      </c>
      <c r="D297" s="32">
        <f t="shared" si="5"/>
        <v>465</v>
      </c>
      <c r="E297" s="32">
        <f t="shared" si="3"/>
        <v>0</v>
      </c>
      <c r="F297" s="32">
        <f t="shared" si="3"/>
        <v>0</v>
      </c>
      <c r="G297" s="32">
        <f t="shared" si="3"/>
        <v>0</v>
      </c>
      <c r="H297" s="32">
        <f t="shared" si="3"/>
        <v>0</v>
      </c>
      <c r="I297" s="32">
        <f t="shared" si="3"/>
        <v>0</v>
      </c>
      <c r="J297" s="32">
        <f t="shared" si="3"/>
        <v>0</v>
      </c>
      <c r="K297" s="32">
        <f t="shared" si="6"/>
        <v>0</v>
      </c>
      <c r="L297" s="32">
        <f t="shared" si="6"/>
        <v>0</v>
      </c>
      <c r="M297" s="32"/>
      <c r="N297" s="32"/>
    </row>
    <row r="298" spans="1:14" x14ac:dyDescent="0.2">
      <c r="A298" s="5">
        <v>0</v>
      </c>
      <c r="B298" s="32">
        <f t="shared" si="3"/>
        <v>465</v>
      </c>
      <c r="C298" s="32">
        <f t="shared" si="3"/>
        <v>4.6500000000000004</v>
      </c>
      <c r="D298" s="32">
        <f t="shared" si="5"/>
        <v>465</v>
      </c>
      <c r="E298" s="32">
        <f t="shared" si="3"/>
        <v>0</v>
      </c>
      <c r="F298" s="32">
        <f t="shared" si="3"/>
        <v>0</v>
      </c>
      <c r="G298" s="32">
        <f t="shared" si="3"/>
        <v>0</v>
      </c>
      <c r="H298" s="32">
        <f t="shared" si="3"/>
        <v>0</v>
      </c>
      <c r="I298" s="32">
        <f t="shared" si="3"/>
        <v>0</v>
      </c>
      <c r="J298" s="32">
        <f t="shared" si="3"/>
        <v>0</v>
      </c>
      <c r="K298" s="32">
        <f t="shared" si="6"/>
        <v>0</v>
      </c>
      <c r="L298" s="32">
        <f t="shared" si="6"/>
        <v>0</v>
      </c>
      <c r="M298" s="32"/>
      <c r="N298" s="32"/>
    </row>
    <row r="299" spans="1:14" x14ac:dyDescent="0.2">
      <c r="A299" s="5">
        <v>0</v>
      </c>
      <c r="B299" s="32">
        <f t="shared" si="3"/>
        <v>465</v>
      </c>
      <c r="C299" s="32">
        <f t="shared" si="3"/>
        <v>4.6500000000000004</v>
      </c>
      <c r="D299" s="32">
        <f t="shared" si="5"/>
        <v>465</v>
      </c>
      <c r="E299" s="32">
        <f t="shared" si="3"/>
        <v>0</v>
      </c>
      <c r="F299" s="32">
        <f t="shared" si="3"/>
        <v>0</v>
      </c>
      <c r="G299" s="32">
        <f t="shared" si="3"/>
        <v>0</v>
      </c>
      <c r="H299" s="32">
        <f t="shared" si="3"/>
        <v>0</v>
      </c>
      <c r="I299" s="32">
        <f t="shared" si="3"/>
        <v>0</v>
      </c>
      <c r="J299" s="32">
        <f t="shared" si="3"/>
        <v>0</v>
      </c>
      <c r="K299" s="32">
        <f t="shared" si="6"/>
        <v>0</v>
      </c>
      <c r="L299" s="32">
        <f t="shared" si="6"/>
        <v>0</v>
      </c>
      <c r="M299" s="32"/>
      <c r="N299" s="32"/>
    </row>
    <row r="300" spans="1:14" x14ac:dyDescent="0.2">
      <c r="A300" s="5">
        <v>0</v>
      </c>
      <c r="B300" s="32">
        <f t="shared" si="3"/>
        <v>465</v>
      </c>
      <c r="C300" s="32">
        <f t="shared" si="3"/>
        <v>4.6500000000000004</v>
      </c>
      <c r="D300" s="32">
        <f t="shared" si="5"/>
        <v>465</v>
      </c>
      <c r="E300" s="32">
        <f t="shared" si="3"/>
        <v>0</v>
      </c>
      <c r="F300" s="32">
        <f t="shared" si="3"/>
        <v>0</v>
      </c>
      <c r="G300" s="32">
        <f t="shared" si="3"/>
        <v>0</v>
      </c>
      <c r="H300" s="32">
        <f t="shared" si="3"/>
        <v>0</v>
      </c>
      <c r="I300" s="32">
        <f t="shared" si="3"/>
        <v>0</v>
      </c>
      <c r="J300" s="32">
        <f t="shared" si="3"/>
        <v>0</v>
      </c>
      <c r="K300" s="32">
        <f t="shared" si="6"/>
        <v>0</v>
      </c>
      <c r="L300" s="32">
        <f t="shared" si="6"/>
        <v>0</v>
      </c>
      <c r="M300" s="32"/>
      <c r="N300" s="32"/>
    </row>
    <row r="301" spans="1:14" x14ac:dyDescent="0.2">
      <c r="A301" s="5">
        <v>0</v>
      </c>
      <c r="B301" s="32">
        <f t="shared" ref="B301:J324" si="7">D24</f>
        <v>416</v>
      </c>
      <c r="C301" s="32">
        <f t="shared" si="7"/>
        <v>4.6500000000000004</v>
      </c>
      <c r="D301" s="32">
        <f t="shared" si="5"/>
        <v>416</v>
      </c>
      <c r="E301" s="32">
        <f t="shared" si="7"/>
        <v>0</v>
      </c>
      <c r="F301" s="32">
        <f t="shared" si="7"/>
        <v>0</v>
      </c>
      <c r="G301" s="32">
        <f t="shared" si="7"/>
        <v>0</v>
      </c>
      <c r="H301" s="32">
        <f t="shared" si="7"/>
        <v>0</v>
      </c>
      <c r="I301" s="32">
        <f t="shared" si="7"/>
        <v>0</v>
      </c>
      <c r="J301" s="32">
        <f t="shared" si="7"/>
        <v>0</v>
      </c>
      <c r="K301" s="32">
        <f t="shared" si="6"/>
        <v>0</v>
      </c>
      <c r="L301" s="32">
        <f t="shared" si="6"/>
        <v>0</v>
      </c>
      <c r="M301" s="32"/>
      <c r="N301" s="32"/>
    </row>
    <row r="302" spans="1:14" x14ac:dyDescent="0.2">
      <c r="A302" s="5">
        <v>0</v>
      </c>
      <c r="B302" s="32">
        <f t="shared" si="7"/>
        <v>416</v>
      </c>
      <c r="C302" s="32">
        <f t="shared" si="7"/>
        <v>4.6500000000000004</v>
      </c>
      <c r="D302" s="32">
        <f t="shared" si="5"/>
        <v>416</v>
      </c>
      <c r="E302" s="32">
        <f t="shared" si="7"/>
        <v>0</v>
      </c>
      <c r="F302" s="32">
        <f t="shared" si="7"/>
        <v>0</v>
      </c>
      <c r="G302" s="32">
        <f t="shared" si="7"/>
        <v>0</v>
      </c>
      <c r="H302" s="32">
        <f t="shared" si="7"/>
        <v>0</v>
      </c>
      <c r="I302" s="32">
        <f t="shared" si="7"/>
        <v>0</v>
      </c>
      <c r="J302" s="32">
        <f t="shared" si="7"/>
        <v>0</v>
      </c>
      <c r="K302" s="32">
        <f t="shared" si="6"/>
        <v>0</v>
      </c>
      <c r="L302" s="32">
        <f t="shared" si="6"/>
        <v>0</v>
      </c>
      <c r="M302" s="32"/>
      <c r="N302" s="32"/>
    </row>
    <row r="303" spans="1:14" x14ac:dyDescent="0.2">
      <c r="A303" s="5">
        <v>0</v>
      </c>
      <c r="B303" s="32">
        <f t="shared" si="7"/>
        <v>466</v>
      </c>
      <c r="C303" s="32">
        <f t="shared" si="7"/>
        <v>4.6500000000000004</v>
      </c>
      <c r="D303" s="32">
        <f t="shared" si="5"/>
        <v>466</v>
      </c>
      <c r="E303" s="32">
        <f t="shared" si="7"/>
        <v>0</v>
      </c>
      <c r="F303" s="32">
        <f t="shared" si="7"/>
        <v>0</v>
      </c>
      <c r="G303" s="32">
        <f t="shared" si="7"/>
        <v>0</v>
      </c>
      <c r="H303" s="32">
        <f t="shared" si="7"/>
        <v>0</v>
      </c>
      <c r="I303" s="32">
        <f t="shared" si="7"/>
        <v>0</v>
      </c>
      <c r="J303" s="32">
        <f t="shared" si="7"/>
        <v>0</v>
      </c>
      <c r="K303" s="32">
        <f t="shared" si="6"/>
        <v>0</v>
      </c>
      <c r="L303" s="32">
        <f t="shared" si="6"/>
        <v>0</v>
      </c>
      <c r="M303" s="32"/>
      <c r="N303" s="32"/>
    </row>
    <row r="304" spans="1:14" x14ac:dyDescent="0.2">
      <c r="A304" s="5">
        <v>0</v>
      </c>
      <c r="B304" s="32">
        <f t="shared" si="7"/>
        <v>466</v>
      </c>
      <c r="C304" s="32">
        <f t="shared" si="7"/>
        <v>4.6500000000000004</v>
      </c>
      <c r="D304" s="32">
        <f t="shared" si="5"/>
        <v>466</v>
      </c>
      <c r="E304" s="32">
        <f t="shared" si="7"/>
        <v>0</v>
      </c>
      <c r="F304" s="32">
        <f t="shared" si="7"/>
        <v>0</v>
      </c>
      <c r="G304" s="32">
        <f t="shared" si="7"/>
        <v>0</v>
      </c>
      <c r="H304" s="32">
        <f t="shared" si="7"/>
        <v>0</v>
      </c>
      <c r="I304" s="32">
        <f t="shared" si="7"/>
        <v>0</v>
      </c>
      <c r="J304" s="32">
        <f t="shared" si="7"/>
        <v>0</v>
      </c>
      <c r="K304" s="32">
        <f t="shared" si="6"/>
        <v>0</v>
      </c>
      <c r="L304" s="32">
        <f t="shared" si="6"/>
        <v>0</v>
      </c>
      <c r="M304" s="32"/>
      <c r="N304" s="32"/>
    </row>
    <row r="305" spans="1:14" x14ac:dyDescent="0.2">
      <c r="A305" s="5">
        <v>0</v>
      </c>
      <c r="B305" s="32">
        <f t="shared" si="7"/>
        <v>462</v>
      </c>
      <c r="C305" s="32">
        <f t="shared" si="7"/>
        <v>4.6500000000000004</v>
      </c>
      <c r="D305" s="32">
        <f t="shared" si="5"/>
        <v>462</v>
      </c>
      <c r="E305" s="32">
        <f t="shared" si="7"/>
        <v>0</v>
      </c>
      <c r="F305" s="32">
        <f t="shared" si="7"/>
        <v>0</v>
      </c>
      <c r="G305" s="32">
        <f t="shared" si="7"/>
        <v>0</v>
      </c>
      <c r="H305" s="32">
        <f t="shared" si="7"/>
        <v>0</v>
      </c>
      <c r="I305" s="32">
        <f t="shared" si="7"/>
        <v>0</v>
      </c>
      <c r="J305" s="32">
        <f t="shared" si="7"/>
        <v>0</v>
      </c>
      <c r="K305" s="32">
        <f t="shared" si="6"/>
        <v>0</v>
      </c>
      <c r="L305" s="32">
        <f t="shared" si="6"/>
        <v>0</v>
      </c>
      <c r="M305" s="32"/>
      <c r="N305" s="32"/>
    </row>
    <row r="306" spans="1:14" x14ac:dyDescent="0.2">
      <c r="A306" s="5">
        <v>0</v>
      </c>
      <c r="B306" s="32">
        <f t="shared" si="7"/>
        <v>562</v>
      </c>
      <c r="C306" s="32">
        <f t="shared" si="7"/>
        <v>4.6500000000000004</v>
      </c>
      <c r="D306" s="32">
        <f t="shared" si="5"/>
        <v>562</v>
      </c>
      <c r="E306" s="32">
        <f t="shared" si="7"/>
        <v>0</v>
      </c>
      <c r="F306" s="32">
        <f t="shared" si="7"/>
        <v>0</v>
      </c>
      <c r="G306" s="32">
        <f t="shared" si="7"/>
        <v>0</v>
      </c>
      <c r="H306" s="32">
        <f t="shared" si="7"/>
        <v>0</v>
      </c>
      <c r="I306" s="32">
        <f t="shared" si="7"/>
        <v>0</v>
      </c>
      <c r="J306" s="32">
        <f t="shared" si="7"/>
        <v>0</v>
      </c>
      <c r="K306" s="32">
        <f t="shared" si="6"/>
        <v>0</v>
      </c>
      <c r="L306" s="32">
        <f t="shared" si="6"/>
        <v>0</v>
      </c>
      <c r="M306" s="32"/>
      <c r="N306" s="32"/>
    </row>
    <row r="307" spans="1:14" x14ac:dyDescent="0.2">
      <c r="A307" s="5">
        <v>0</v>
      </c>
      <c r="B307" s="32">
        <f t="shared" si="7"/>
        <v>612</v>
      </c>
      <c r="C307" s="32">
        <f t="shared" si="7"/>
        <v>4.6500000000000004</v>
      </c>
      <c r="D307" s="32">
        <f t="shared" si="5"/>
        <v>612</v>
      </c>
      <c r="E307" s="32">
        <f t="shared" si="7"/>
        <v>0</v>
      </c>
      <c r="F307" s="32">
        <f t="shared" si="7"/>
        <v>0</v>
      </c>
      <c r="G307" s="32">
        <f t="shared" si="7"/>
        <v>0</v>
      </c>
      <c r="H307" s="32">
        <f t="shared" si="7"/>
        <v>0</v>
      </c>
      <c r="I307" s="32">
        <f t="shared" si="7"/>
        <v>0</v>
      </c>
      <c r="J307" s="32">
        <f t="shared" si="7"/>
        <v>0</v>
      </c>
      <c r="K307" s="32">
        <f t="shared" si="6"/>
        <v>0</v>
      </c>
      <c r="L307" s="32">
        <f t="shared" si="6"/>
        <v>0</v>
      </c>
      <c r="M307" s="32"/>
      <c r="N307" s="32"/>
    </row>
    <row r="308" spans="1:14" x14ac:dyDescent="0.2">
      <c r="A308" s="5">
        <v>0</v>
      </c>
      <c r="B308" s="32">
        <f t="shared" si="7"/>
        <v>612</v>
      </c>
      <c r="C308" s="32">
        <f t="shared" si="7"/>
        <v>4.6500000000000004</v>
      </c>
      <c r="D308" s="32">
        <f t="shared" si="5"/>
        <v>612</v>
      </c>
      <c r="E308" s="32">
        <f t="shared" si="7"/>
        <v>0</v>
      </c>
      <c r="F308" s="32">
        <f t="shared" si="7"/>
        <v>0</v>
      </c>
      <c r="G308" s="32">
        <f t="shared" si="7"/>
        <v>0</v>
      </c>
      <c r="H308" s="32">
        <f t="shared" si="7"/>
        <v>0</v>
      </c>
      <c r="I308" s="32">
        <f t="shared" si="7"/>
        <v>0</v>
      </c>
      <c r="J308" s="32">
        <f t="shared" si="7"/>
        <v>0</v>
      </c>
      <c r="K308" s="32">
        <f t="shared" si="6"/>
        <v>0</v>
      </c>
      <c r="L308" s="32">
        <f t="shared" si="6"/>
        <v>0</v>
      </c>
      <c r="M308" s="32"/>
      <c r="N308" s="32"/>
    </row>
    <row r="309" spans="1:14" x14ac:dyDescent="0.2">
      <c r="A309" s="5">
        <v>0</v>
      </c>
      <c r="B309" s="32">
        <f t="shared" si="7"/>
        <v>612</v>
      </c>
      <c r="C309" s="32">
        <f t="shared" si="7"/>
        <v>4.6500000000000004</v>
      </c>
      <c r="D309" s="32">
        <f t="shared" si="5"/>
        <v>612</v>
      </c>
      <c r="E309" s="32">
        <f t="shared" si="7"/>
        <v>0</v>
      </c>
      <c r="F309" s="32">
        <f t="shared" si="7"/>
        <v>0</v>
      </c>
      <c r="G309" s="32">
        <f t="shared" si="7"/>
        <v>0</v>
      </c>
      <c r="H309" s="32">
        <f t="shared" si="7"/>
        <v>0</v>
      </c>
      <c r="I309" s="32">
        <f t="shared" si="7"/>
        <v>0</v>
      </c>
      <c r="J309" s="32">
        <f t="shared" si="7"/>
        <v>0</v>
      </c>
      <c r="K309" s="32">
        <f t="shared" si="6"/>
        <v>0</v>
      </c>
      <c r="L309" s="32">
        <f t="shared" si="6"/>
        <v>0</v>
      </c>
      <c r="M309" s="32"/>
      <c r="N309" s="32"/>
    </row>
    <row r="310" spans="1:14" x14ac:dyDescent="0.2">
      <c r="A310" s="5">
        <v>0</v>
      </c>
      <c r="B310" s="32">
        <f t="shared" si="7"/>
        <v>577</v>
      </c>
      <c r="C310" s="32">
        <f t="shared" si="7"/>
        <v>4.6500000000000004</v>
      </c>
      <c r="D310" s="32">
        <f t="shared" si="5"/>
        <v>577</v>
      </c>
      <c r="E310" s="32">
        <f t="shared" si="7"/>
        <v>0</v>
      </c>
      <c r="F310" s="32">
        <f t="shared" si="7"/>
        <v>0</v>
      </c>
      <c r="G310" s="32">
        <f t="shared" si="7"/>
        <v>0</v>
      </c>
      <c r="H310" s="32">
        <f t="shared" si="7"/>
        <v>0</v>
      </c>
      <c r="I310" s="32">
        <f t="shared" si="7"/>
        <v>0</v>
      </c>
      <c r="J310" s="32">
        <f t="shared" si="7"/>
        <v>0</v>
      </c>
      <c r="K310" s="32">
        <f t="shared" si="6"/>
        <v>0</v>
      </c>
      <c r="L310" s="32">
        <f t="shared" si="6"/>
        <v>0</v>
      </c>
      <c r="M310" s="32"/>
      <c r="N310" s="32"/>
    </row>
    <row r="311" spans="1:14" x14ac:dyDescent="0.2">
      <c r="A311" s="5">
        <v>0</v>
      </c>
      <c r="B311" s="32">
        <f t="shared" si="7"/>
        <v>577</v>
      </c>
      <c r="C311" s="32">
        <f t="shared" si="7"/>
        <v>4.6500000000000004</v>
      </c>
      <c r="D311" s="32">
        <f t="shared" si="5"/>
        <v>577</v>
      </c>
      <c r="E311" s="32">
        <f t="shared" si="7"/>
        <v>0</v>
      </c>
      <c r="F311" s="32">
        <f t="shared" si="7"/>
        <v>0</v>
      </c>
      <c r="G311" s="32">
        <f t="shared" si="7"/>
        <v>0</v>
      </c>
      <c r="H311" s="32">
        <f t="shared" si="7"/>
        <v>0</v>
      </c>
      <c r="I311" s="32">
        <f t="shared" si="7"/>
        <v>0</v>
      </c>
      <c r="J311" s="32">
        <f t="shared" si="7"/>
        <v>0</v>
      </c>
      <c r="K311" s="32">
        <f t="shared" si="6"/>
        <v>0</v>
      </c>
      <c r="L311" s="32">
        <f t="shared" si="6"/>
        <v>0</v>
      </c>
      <c r="M311" s="32"/>
      <c r="N311" s="32"/>
    </row>
    <row r="312" spans="1:14" x14ac:dyDescent="0.2">
      <c r="A312" s="5">
        <v>0</v>
      </c>
      <c r="B312" s="32">
        <f t="shared" si="7"/>
        <v>577</v>
      </c>
      <c r="C312" s="32">
        <f t="shared" si="7"/>
        <v>4.6500000000000004</v>
      </c>
      <c r="D312" s="32">
        <f t="shared" si="5"/>
        <v>577</v>
      </c>
      <c r="E312" s="32">
        <f t="shared" si="7"/>
        <v>0</v>
      </c>
      <c r="F312" s="32">
        <f t="shared" si="7"/>
        <v>0</v>
      </c>
      <c r="G312" s="32">
        <f t="shared" si="7"/>
        <v>0</v>
      </c>
      <c r="H312" s="32">
        <f t="shared" si="7"/>
        <v>0</v>
      </c>
      <c r="I312" s="32">
        <f t="shared" si="7"/>
        <v>0</v>
      </c>
      <c r="J312" s="32">
        <f t="shared" si="7"/>
        <v>0</v>
      </c>
      <c r="K312" s="32">
        <f t="shared" si="6"/>
        <v>0</v>
      </c>
      <c r="L312" s="32">
        <f t="shared" si="6"/>
        <v>0</v>
      </c>
      <c r="M312" s="32"/>
      <c r="N312" s="32"/>
    </row>
    <row r="313" spans="1:14" x14ac:dyDescent="0.2">
      <c r="A313" s="5">
        <v>0</v>
      </c>
      <c r="B313" s="32">
        <f t="shared" si="7"/>
        <v>577</v>
      </c>
      <c r="C313" s="32">
        <f t="shared" si="7"/>
        <v>4.6500000000000004</v>
      </c>
      <c r="D313" s="32">
        <f t="shared" si="5"/>
        <v>577</v>
      </c>
      <c r="E313" s="32">
        <f t="shared" si="7"/>
        <v>0</v>
      </c>
      <c r="F313" s="32">
        <f t="shared" si="7"/>
        <v>0</v>
      </c>
      <c r="G313" s="32">
        <f t="shared" si="7"/>
        <v>0</v>
      </c>
      <c r="H313" s="32">
        <f t="shared" si="7"/>
        <v>0</v>
      </c>
      <c r="I313" s="32">
        <f t="shared" si="7"/>
        <v>0</v>
      </c>
      <c r="J313" s="32">
        <f t="shared" si="7"/>
        <v>0</v>
      </c>
      <c r="K313" s="32">
        <f t="shared" si="6"/>
        <v>0</v>
      </c>
      <c r="L313" s="32">
        <f t="shared" si="6"/>
        <v>0</v>
      </c>
      <c r="M313" s="32"/>
      <c r="N313" s="32"/>
    </row>
    <row r="314" spans="1:14" x14ac:dyDescent="0.2">
      <c r="A314" s="5">
        <v>0</v>
      </c>
      <c r="B314" s="32">
        <f t="shared" si="7"/>
        <v>577</v>
      </c>
      <c r="C314" s="32">
        <f t="shared" si="7"/>
        <v>4.6500000000000004</v>
      </c>
      <c r="D314" s="32">
        <f t="shared" si="5"/>
        <v>577</v>
      </c>
      <c r="E314" s="32">
        <f t="shared" si="7"/>
        <v>0</v>
      </c>
      <c r="F314" s="32">
        <f t="shared" si="7"/>
        <v>0</v>
      </c>
      <c r="G314" s="32">
        <f t="shared" si="7"/>
        <v>0</v>
      </c>
      <c r="H314" s="32">
        <f t="shared" si="7"/>
        <v>0</v>
      </c>
      <c r="I314" s="32">
        <f t="shared" si="7"/>
        <v>0</v>
      </c>
      <c r="J314" s="32">
        <f t="shared" si="7"/>
        <v>0</v>
      </c>
      <c r="K314" s="32">
        <f t="shared" si="6"/>
        <v>0</v>
      </c>
      <c r="L314" s="32">
        <f t="shared" si="6"/>
        <v>0</v>
      </c>
      <c r="M314" s="32"/>
      <c r="N314" s="32"/>
    </row>
    <row r="315" spans="1:14" x14ac:dyDescent="0.2">
      <c r="A315" s="5">
        <v>0</v>
      </c>
      <c r="B315" s="32">
        <f t="shared" si="7"/>
        <v>577</v>
      </c>
      <c r="C315" s="32">
        <f t="shared" si="7"/>
        <v>4.6500000000000004</v>
      </c>
      <c r="D315" s="32">
        <f t="shared" si="5"/>
        <v>577</v>
      </c>
      <c r="E315" s="32">
        <f t="shared" si="7"/>
        <v>0</v>
      </c>
      <c r="F315" s="32">
        <f t="shared" si="7"/>
        <v>0</v>
      </c>
      <c r="G315" s="32">
        <f t="shared" si="7"/>
        <v>0</v>
      </c>
      <c r="H315" s="32">
        <f t="shared" si="7"/>
        <v>0</v>
      </c>
      <c r="I315" s="32">
        <f t="shared" si="7"/>
        <v>0</v>
      </c>
      <c r="J315" s="32">
        <f t="shared" si="7"/>
        <v>0</v>
      </c>
      <c r="K315" s="32">
        <f t="shared" si="6"/>
        <v>0</v>
      </c>
      <c r="L315" s="32">
        <f t="shared" si="6"/>
        <v>0</v>
      </c>
      <c r="M315" s="32"/>
      <c r="N315" s="32"/>
    </row>
    <row r="316" spans="1:14" x14ac:dyDescent="0.2">
      <c r="A316" s="5">
        <v>0</v>
      </c>
      <c r="B316" s="32">
        <f t="shared" si="7"/>
        <v>411</v>
      </c>
      <c r="C316" s="32">
        <f t="shared" si="7"/>
        <v>4.6500000000000004</v>
      </c>
      <c r="D316" s="32">
        <f t="shared" si="5"/>
        <v>411</v>
      </c>
      <c r="E316" s="32">
        <f t="shared" si="7"/>
        <v>0</v>
      </c>
      <c r="F316" s="32">
        <f t="shared" si="7"/>
        <v>0</v>
      </c>
      <c r="G316" s="32">
        <f t="shared" si="7"/>
        <v>0</v>
      </c>
      <c r="H316" s="32">
        <f t="shared" si="7"/>
        <v>0</v>
      </c>
      <c r="I316" s="32">
        <f t="shared" si="7"/>
        <v>0</v>
      </c>
      <c r="J316" s="32">
        <f t="shared" si="7"/>
        <v>0</v>
      </c>
      <c r="K316" s="32">
        <f t="shared" si="6"/>
        <v>0</v>
      </c>
      <c r="L316" s="32">
        <f t="shared" si="6"/>
        <v>0</v>
      </c>
      <c r="M316" s="32"/>
      <c r="N316" s="32"/>
    </row>
    <row r="317" spans="1:14" x14ac:dyDescent="0.2">
      <c r="A317" s="5">
        <v>0</v>
      </c>
      <c r="B317" s="32">
        <f t="shared" si="7"/>
        <v>411</v>
      </c>
      <c r="C317" s="32">
        <f t="shared" si="7"/>
        <v>4.6500000000000004</v>
      </c>
      <c r="D317" s="32">
        <f t="shared" si="5"/>
        <v>411</v>
      </c>
      <c r="E317" s="32">
        <f t="shared" si="7"/>
        <v>0</v>
      </c>
      <c r="F317" s="32">
        <f t="shared" si="7"/>
        <v>0</v>
      </c>
      <c r="G317" s="32">
        <f t="shared" si="7"/>
        <v>0</v>
      </c>
      <c r="H317" s="32">
        <f t="shared" si="7"/>
        <v>0</v>
      </c>
      <c r="I317" s="32">
        <f t="shared" si="7"/>
        <v>0</v>
      </c>
      <c r="J317" s="32">
        <f t="shared" si="7"/>
        <v>0</v>
      </c>
      <c r="K317" s="32">
        <f t="shared" si="6"/>
        <v>0</v>
      </c>
      <c r="L317" s="32">
        <f t="shared" si="6"/>
        <v>0</v>
      </c>
      <c r="M317" s="32"/>
      <c r="N317" s="32"/>
    </row>
    <row r="318" spans="1:14" x14ac:dyDescent="0.2">
      <c r="A318" s="5">
        <v>0</v>
      </c>
      <c r="B318" s="32">
        <f t="shared" si="7"/>
        <v>411</v>
      </c>
      <c r="C318" s="32">
        <f t="shared" si="7"/>
        <v>4.6500000000000004</v>
      </c>
      <c r="D318" s="32">
        <f t="shared" si="7"/>
        <v>411</v>
      </c>
      <c r="E318" s="32">
        <f t="shared" si="7"/>
        <v>0</v>
      </c>
      <c r="F318" s="32">
        <f t="shared" si="7"/>
        <v>0</v>
      </c>
      <c r="G318" s="32">
        <f t="shared" si="7"/>
        <v>0</v>
      </c>
      <c r="H318" s="32">
        <f t="shared" si="7"/>
        <v>0</v>
      </c>
      <c r="I318" s="32">
        <f t="shared" si="7"/>
        <v>0</v>
      </c>
      <c r="J318" s="32">
        <f t="shared" si="7"/>
        <v>0</v>
      </c>
      <c r="K318" s="32">
        <f t="shared" ref="K318:L349" si="8">O41</f>
        <v>0</v>
      </c>
      <c r="L318" s="32">
        <f t="shared" si="8"/>
        <v>0</v>
      </c>
      <c r="M318" s="32"/>
      <c r="N318" s="32"/>
    </row>
    <row r="319" spans="1:14" x14ac:dyDescent="0.2">
      <c r="A319" s="5">
        <v>0</v>
      </c>
      <c r="B319" s="32">
        <f t="shared" si="7"/>
        <v>411</v>
      </c>
      <c r="C319" s="32">
        <f t="shared" si="7"/>
        <v>4.6500000000000004</v>
      </c>
      <c r="D319" s="32">
        <f t="shared" si="7"/>
        <v>411</v>
      </c>
      <c r="E319" s="32">
        <f t="shared" si="7"/>
        <v>0</v>
      </c>
      <c r="F319" s="32">
        <f t="shared" si="7"/>
        <v>0</v>
      </c>
      <c r="G319" s="32">
        <f t="shared" si="7"/>
        <v>0</v>
      </c>
      <c r="H319" s="32">
        <f t="shared" si="7"/>
        <v>0</v>
      </c>
      <c r="I319" s="32">
        <f t="shared" si="7"/>
        <v>0</v>
      </c>
      <c r="J319" s="32">
        <f t="shared" si="7"/>
        <v>0</v>
      </c>
      <c r="K319" s="32">
        <f t="shared" si="8"/>
        <v>0</v>
      </c>
      <c r="L319" s="32">
        <f t="shared" si="8"/>
        <v>0</v>
      </c>
      <c r="M319" s="32"/>
      <c r="N319" s="32"/>
    </row>
    <row r="320" spans="1:14" x14ac:dyDescent="0.2">
      <c r="A320" s="5">
        <v>0</v>
      </c>
      <c r="B320" s="32">
        <f t="shared" si="7"/>
        <v>411</v>
      </c>
      <c r="C320" s="32">
        <f t="shared" si="7"/>
        <v>4.6500000000000004</v>
      </c>
      <c r="D320" s="32">
        <f t="shared" si="7"/>
        <v>411</v>
      </c>
      <c r="E320" s="32">
        <f t="shared" si="7"/>
        <v>0</v>
      </c>
      <c r="F320" s="32">
        <f t="shared" si="7"/>
        <v>0</v>
      </c>
      <c r="G320" s="32">
        <f t="shared" si="7"/>
        <v>0</v>
      </c>
      <c r="H320" s="32">
        <f t="shared" si="7"/>
        <v>0</v>
      </c>
      <c r="I320" s="32">
        <f t="shared" si="7"/>
        <v>0</v>
      </c>
      <c r="J320" s="32">
        <f t="shared" si="7"/>
        <v>0</v>
      </c>
      <c r="K320" s="32">
        <f t="shared" si="8"/>
        <v>0</v>
      </c>
      <c r="L320" s="32">
        <f t="shared" si="8"/>
        <v>0</v>
      </c>
      <c r="M320" s="32"/>
      <c r="N320" s="32"/>
    </row>
    <row r="321" spans="1:14" x14ac:dyDescent="0.2">
      <c r="A321" s="5">
        <v>0</v>
      </c>
      <c r="B321" s="32">
        <f t="shared" si="7"/>
        <v>411</v>
      </c>
      <c r="C321" s="32">
        <f t="shared" si="7"/>
        <v>4.6500000000000004</v>
      </c>
      <c r="D321" s="32">
        <f t="shared" si="7"/>
        <v>411</v>
      </c>
      <c r="E321" s="32">
        <f t="shared" si="7"/>
        <v>0</v>
      </c>
      <c r="F321" s="32">
        <f t="shared" si="7"/>
        <v>0</v>
      </c>
      <c r="G321" s="32">
        <f t="shared" si="7"/>
        <v>0</v>
      </c>
      <c r="H321" s="32">
        <f t="shared" si="7"/>
        <v>0</v>
      </c>
      <c r="I321" s="32">
        <f t="shared" si="7"/>
        <v>0</v>
      </c>
      <c r="J321" s="32">
        <f t="shared" si="7"/>
        <v>0</v>
      </c>
      <c r="K321" s="32">
        <f t="shared" si="8"/>
        <v>0</v>
      </c>
      <c r="L321" s="32">
        <f t="shared" si="8"/>
        <v>0</v>
      </c>
      <c r="M321" s="32"/>
      <c r="N321" s="32"/>
    </row>
    <row r="322" spans="1:14" x14ac:dyDescent="0.2">
      <c r="A322" s="5">
        <v>0</v>
      </c>
      <c r="B322" s="32">
        <f t="shared" si="7"/>
        <v>411</v>
      </c>
      <c r="C322" s="32">
        <f t="shared" si="7"/>
        <v>4.6500000000000004</v>
      </c>
      <c r="D322" s="32">
        <f t="shared" si="7"/>
        <v>411</v>
      </c>
      <c r="E322" s="32">
        <f t="shared" si="7"/>
        <v>0</v>
      </c>
      <c r="F322" s="32">
        <f t="shared" si="7"/>
        <v>0</v>
      </c>
      <c r="G322" s="32">
        <f t="shared" si="7"/>
        <v>0</v>
      </c>
      <c r="H322" s="32">
        <f t="shared" si="7"/>
        <v>0</v>
      </c>
      <c r="I322" s="32">
        <f t="shared" si="7"/>
        <v>0</v>
      </c>
      <c r="J322" s="32">
        <f t="shared" si="7"/>
        <v>0</v>
      </c>
      <c r="K322" s="32">
        <f t="shared" si="8"/>
        <v>0</v>
      </c>
      <c r="L322" s="32">
        <f t="shared" si="8"/>
        <v>0</v>
      </c>
      <c r="M322" s="32"/>
      <c r="N322" s="32"/>
    </row>
    <row r="323" spans="1:14" x14ac:dyDescent="0.2">
      <c r="A323" s="5">
        <v>0</v>
      </c>
      <c r="B323" s="32">
        <f t="shared" si="7"/>
        <v>412</v>
      </c>
      <c r="C323" s="32">
        <f t="shared" si="7"/>
        <v>4.6500000000000004</v>
      </c>
      <c r="D323" s="32">
        <f t="shared" si="7"/>
        <v>412</v>
      </c>
      <c r="E323" s="32">
        <f t="shared" si="7"/>
        <v>0</v>
      </c>
      <c r="F323" s="32">
        <f t="shared" si="7"/>
        <v>0</v>
      </c>
      <c r="G323" s="32">
        <f t="shared" si="7"/>
        <v>0</v>
      </c>
      <c r="H323" s="32">
        <f t="shared" si="7"/>
        <v>0</v>
      </c>
      <c r="I323" s="32">
        <f t="shared" si="7"/>
        <v>0</v>
      </c>
      <c r="J323" s="32">
        <f t="shared" si="7"/>
        <v>0</v>
      </c>
      <c r="K323" s="32">
        <f t="shared" si="8"/>
        <v>0</v>
      </c>
      <c r="L323" s="32">
        <f t="shared" si="8"/>
        <v>0</v>
      </c>
      <c r="M323" s="32"/>
      <c r="N323" s="32"/>
    </row>
    <row r="324" spans="1:14" x14ac:dyDescent="0.2">
      <c r="A324" s="5">
        <v>0</v>
      </c>
      <c r="B324" s="32">
        <f t="shared" si="7"/>
        <v>412</v>
      </c>
      <c r="C324" s="32">
        <f t="shared" si="7"/>
        <v>4.6500000000000004</v>
      </c>
      <c r="D324" s="32">
        <f t="shared" si="7"/>
        <v>412</v>
      </c>
      <c r="E324" s="32">
        <f t="shared" si="7"/>
        <v>0</v>
      </c>
      <c r="F324" s="32">
        <f t="shared" si="7"/>
        <v>0</v>
      </c>
      <c r="G324" s="32">
        <f t="shared" si="7"/>
        <v>0</v>
      </c>
      <c r="H324" s="32">
        <f t="shared" si="7"/>
        <v>0</v>
      </c>
      <c r="I324" s="32">
        <f t="shared" si="7"/>
        <v>0</v>
      </c>
      <c r="J324" s="32">
        <f t="shared" si="7"/>
        <v>0</v>
      </c>
      <c r="K324" s="32">
        <f t="shared" si="8"/>
        <v>0</v>
      </c>
      <c r="L324" s="32">
        <f t="shared" si="8"/>
        <v>0</v>
      </c>
      <c r="M324" s="32"/>
      <c r="N324" s="32"/>
    </row>
    <row r="325" spans="1:14" x14ac:dyDescent="0.2">
      <c r="A325" s="5">
        <v>0</v>
      </c>
      <c r="B325" s="32">
        <f t="shared" ref="B325:J353" si="9">D48</f>
        <v>414</v>
      </c>
      <c r="C325" s="32">
        <f t="shared" si="9"/>
        <v>4.6500000000000004</v>
      </c>
      <c r="D325" s="32">
        <f t="shared" si="9"/>
        <v>414</v>
      </c>
      <c r="E325" s="32">
        <f t="shared" si="9"/>
        <v>0</v>
      </c>
      <c r="F325" s="32">
        <f t="shared" si="9"/>
        <v>0</v>
      </c>
      <c r="G325" s="32">
        <f t="shared" si="9"/>
        <v>0</v>
      </c>
      <c r="H325" s="32">
        <f t="shared" si="9"/>
        <v>0</v>
      </c>
      <c r="I325" s="32">
        <f t="shared" si="9"/>
        <v>0</v>
      </c>
      <c r="J325" s="32">
        <f t="shared" si="9"/>
        <v>0</v>
      </c>
      <c r="K325" s="32">
        <f t="shared" si="8"/>
        <v>0</v>
      </c>
      <c r="L325" s="32">
        <f t="shared" si="8"/>
        <v>0</v>
      </c>
      <c r="M325" s="32"/>
      <c r="N325" s="32"/>
    </row>
    <row r="326" spans="1:14" x14ac:dyDescent="0.2">
      <c r="A326" s="5">
        <v>0</v>
      </c>
      <c r="B326" s="32">
        <f t="shared" si="9"/>
        <v>414</v>
      </c>
      <c r="C326" s="32">
        <f t="shared" si="9"/>
        <v>4.6500000000000004</v>
      </c>
      <c r="D326" s="32">
        <f t="shared" si="9"/>
        <v>414</v>
      </c>
      <c r="E326" s="32">
        <f t="shared" si="9"/>
        <v>0</v>
      </c>
      <c r="F326" s="32">
        <f t="shared" si="9"/>
        <v>0</v>
      </c>
      <c r="G326" s="32">
        <f t="shared" si="9"/>
        <v>0</v>
      </c>
      <c r="H326" s="32">
        <f t="shared" si="9"/>
        <v>0</v>
      </c>
      <c r="I326" s="32">
        <f t="shared" si="9"/>
        <v>0</v>
      </c>
      <c r="J326" s="32">
        <f t="shared" si="9"/>
        <v>0</v>
      </c>
      <c r="K326" s="32">
        <f t="shared" si="8"/>
        <v>0</v>
      </c>
      <c r="L326" s="32">
        <f t="shared" si="8"/>
        <v>0</v>
      </c>
      <c r="M326" s="32"/>
      <c r="N326" s="32"/>
    </row>
    <row r="327" spans="1:14" x14ac:dyDescent="0.2">
      <c r="A327" s="5">
        <v>0</v>
      </c>
      <c r="B327" s="32">
        <f t="shared" si="9"/>
        <v>414</v>
      </c>
      <c r="C327" s="32">
        <f t="shared" si="9"/>
        <v>4.6500000000000004</v>
      </c>
      <c r="D327" s="32">
        <f t="shared" si="9"/>
        <v>414</v>
      </c>
      <c r="E327" s="32">
        <f t="shared" si="9"/>
        <v>0</v>
      </c>
      <c r="F327" s="32">
        <f t="shared" si="9"/>
        <v>0</v>
      </c>
      <c r="G327" s="32">
        <f t="shared" si="9"/>
        <v>0</v>
      </c>
      <c r="H327" s="32">
        <f t="shared" si="9"/>
        <v>0</v>
      </c>
      <c r="I327" s="32">
        <f t="shared" si="9"/>
        <v>0</v>
      </c>
      <c r="J327" s="32">
        <f t="shared" si="9"/>
        <v>0</v>
      </c>
      <c r="K327" s="32">
        <f t="shared" si="8"/>
        <v>0</v>
      </c>
      <c r="L327" s="32">
        <f t="shared" si="8"/>
        <v>0</v>
      </c>
      <c r="M327" s="32"/>
      <c r="N327" s="32"/>
    </row>
    <row r="328" spans="1:14" x14ac:dyDescent="0.2">
      <c r="A328" s="5">
        <v>0</v>
      </c>
      <c r="B328" s="32">
        <f t="shared" si="9"/>
        <v>414</v>
      </c>
      <c r="C328" s="32">
        <f t="shared" si="9"/>
        <v>4.6500000000000004</v>
      </c>
      <c r="D328" s="32">
        <f t="shared" si="9"/>
        <v>414</v>
      </c>
      <c r="E328" s="32">
        <f t="shared" si="9"/>
        <v>0</v>
      </c>
      <c r="F328" s="32">
        <f t="shared" si="9"/>
        <v>0</v>
      </c>
      <c r="G328" s="32">
        <f t="shared" si="9"/>
        <v>0</v>
      </c>
      <c r="H328" s="32">
        <f t="shared" si="9"/>
        <v>0</v>
      </c>
      <c r="I328" s="32">
        <f t="shared" si="9"/>
        <v>0</v>
      </c>
      <c r="J328" s="32">
        <f t="shared" si="9"/>
        <v>0</v>
      </c>
      <c r="K328" s="32">
        <f t="shared" si="8"/>
        <v>0</v>
      </c>
      <c r="L328" s="32">
        <f t="shared" si="8"/>
        <v>0</v>
      </c>
      <c r="M328" s="32"/>
      <c r="N328" s="32"/>
    </row>
    <row r="329" spans="1:14" x14ac:dyDescent="0.2">
      <c r="A329" s="5">
        <v>0</v>
      </c>
      <c r="B329" s="32">
        <f t="shared" si="9"/>
        <v>414</v>
      </c>
      <c r="C329" s="32">
        <f t="shared" si="9"/>
        <v>4.6500000000000004</v>
      </c>
      <c r="D329" s="32">
        <f t="shared" si="9"/>
        <v>414</v>
      </c>
      <c r="E329" s="32">
        <f t="shared" si="9"/>
        <v>0</v>
      </c>
      <c r="F329" s="32">
        <f t="shared" si="9"/>
        <v>0</v>
      </c>
      <c r="G329" s="32">
        <f t="shared" si="9"/>
        <v>0</v>
      </c>
      <c r="H329" s="32">
        <f t="shared" si="9"/>
        <v>0</v>
      </c>
      <c r="I329" s="32">
        <f t="shared" si="9"/>
        <v>0</v>
      </c>
      <c r="J329" s="32">
        <f t="shared" si="9"/>
        <v>0</v>
      </c>
      <c r="K329" s="32">
        <f t="shared" si="8"/>
        <v>0</v>
      </c>
      <c r="L329" s="32">
        <f t="shared" si="8"/>
        <v>0</v>
      </c>
      <c r="M329" s="32"/>
      <c r="N329" s="32"/>
    </row>
    <row r="330" spans="1:14" x14ac:dyDescent="0.2">
      <c r="A330" s="5">
        <v>0</v>
      </c>
      <c r="B330" s="32">
        <f t="shared" si="9"/>
        <v>414</v>
      </c>
      <c r="C330" s="32">
        <f t="shared" si="9"/>
        <v>4.6500000000000004</v>
      </c>
      <c r="D330" s="32">
        <f t="shared" si="9"/>
        <v>414</v>
      </c>
      <c r="E330" s="32">
        <f t="shared" si="9"/>
        <v>0</v>
      </c>
      <c r="F330" s="32">
        <f t="shared" si="9"/>
        <v>0</v>
      </c>
      <c r="G330" s="32">
        <f t="shared" si="9"/>
        <v>0</v>
      </c>
      <c r="H330" s="32">
        <f t="shared" si="9"/>
        <v>0</v>
      </c>
      <c r="I330" s="32">
        <f t="shared" si="9"/>
        <v>0</v>
      </c>
      <c r="J330" s="32">
        <f t="shared" si="9"/>
        <v>0</v>
      </c>
      <c r="K330" s="32">
        <f t="shared" si="8"/>
        <v>0</v>
      </c>
      <c r="L330" s="32">
        <f t="shared" si="8"/>
        <v>0</v>
      </c>
      <c r="M330" s="32"/>
      <c r="N330" s="32"/>
    </row>
    <row r="331" spans="1:14" x14ac:dyDescent="0.2">
      <c r="A331" s="5">
        <v>0</v>
      </c>
      <c r="B331" s="32">
        <f t="shared" si="9"/>
        <v>414</v>
      </c>
      <c r="C331" s="32">
        <f t="shared" si="9"/>
        <v>4.6500000000000004</v>
      </c>
      <c r="D331" s="32">
        <f t="shared" si="9"/>
        <v>414</v>
      </c>
      <c r="E331" s="32">
        <f t="shared" si="9"/>
        <v>0</v>
      </c>
      <c r="F331" s="32">
        <f t="shared" si="9"/>
        <v>0</v>
      </c>
      <c r="G331" s="32">
        <f t="shared" si="9"/>
        <v>0</v>
      </c>
      <c r="H331" s="32">
        <f t="shared" si="9"/>
        <v>0</v>
      </c>
      <c r="I331" s="32">
        <f t="shared" si="9"/>
        <v>0</v>
      </c>
      <c r="J331" s="32">
        <f t="shared" si="9"/>
        <v>0</v>
      </c>
      <c r="K331" s="32">
        <f t="shared" si="8"/>
        <v>0</v>
      </c>
      <c r="L331" s="32">
        <f t="shared" si="8"/>
        <v>0</v>
      </c>
      <c r="M331" s="32"/>
      <c r="N331" s="32"/>
    </row>
    <row r="332" spans="1:14" x14ac:dyDescent="0.2">
      <c r="A332" s="5">
        <v>0</v>
      </c>
      <c r="B332" s="32">
        <f t="shared" si="9"/>
        <v>414</v>
      </c>
      <c r="C332" s="32">
        <f t="shared" si="9"/>
        <v>4.6500000000000004</v>
      </c>
      <c r="D332" s="32">
        <f t="shared" si="9"/>
        <v>414</v>
      </c>
      <c r="E332" s="32">
        <f t="shared" si="9"/>
        <v>0</v>
      </c>
      <c r="F332" s="32">
        <f t="shared" si="9"/>
        <v>0</v>
      </c>
      <c r="G332" s="32">
        <f t="shared" si="9"/>
        <v>0</v>
      </c>
      <c r="H332" s="32">
        <f t="shared" si="9"/>
        <v>0</v>
      </c>
      <c r="I332" s="32">
        <f t="shared" si="9"/>
        <v>0</v>
      </c>
      <c r="J332" s="32">
        <f t="shared" si="9"/>
        <v>0</v>
      </c>
      <c r="K332" s="32">
        <f t="shared" si="8"/>
        <v>0</v>
      </c>
      <c r="L332" s="32">
        <f t="shared" si="8"/>
        <v>0</v>
      </c>
      <c r="M332" s="32"/>
      <c r="N332" s="32"/>
    </row>
    <row r="333" spans="1:14" x14ac:dyDescent="0.2">
      <c r="A333" s="5">
        <v>0</v>
      </c>
      <c r="B333" s="32">
        <f t="shared" si="9"/>
        <v>412</v>
      </c>
      <c r="C333" s="32">
        <f t="shared" si="9"/>
        <v>4.6500000000000004</v>
      </c>
      <c r="D333" s="32">
        <f t="shared" si="9"/>
        <v>412</v>
      </c>
      <c r="E333" s="32">
        <f t="shared" si="9"/>
        <v>0</v>
      </c>
      <c r="F333" s="32">
        <f t="shared" si="9"/>
        <v>0</v>
      </c>
      <c r="G333" s="32">
        <f t="shared" si="9"/>
        <v>0</v>
      </c>
      <c r="H333" s="32">
        <f t="shared" si="9"/>
        <v>0</v>
      </c>
      <c r="I333" s="32">
        <f t="shared" si="9"/>
        <v>0</v>
      </c>
      <c r="J333" s="32">
        <f t="shared" si="9"/>
        <v>0</v>
      </c>
      <c r="K333" s="32">
        <f t="shared" si="8"/>
        <v>0</v>
      </c>
      <c r="L333" s="32">
        <f t="shared" si="8"/>
        <v>0</v>
      </c>
      <c r="M333" s="32"/>
      <c r="N333" s="32"/>
    </row>
    <row r="334" spans="1:14" x14ac:dyDescent="0.2">
      <c r="A334" s="5">
        <v>0</v>
      </c>
      <c r="B334" s="32">
        <f t="shared" si="9"/>
        <v>412</v>
      </c>
      <c r="C334" s="32">
        <f t="shared" si="9"/>
        <v>4.6500000000000004</v>
      </c>
      <c r="D334" s="32">
        <f t="shared" si="9"/>
        <v>412</v>
      </c>
      <c r="E334" s="32">
        <f t="shared" si="9"/>
        <v>0</v>
      </c>
      <c r="F334" s="32">
        <f t="shared" si="9"/>
        <v>0</v>
      </c>
      <c r="G334" s="32">
        <f t="shared" si="9"/>
        <v>0</v>
      </c>
      <c r="H334" s="32">
        <f t="shared" si="9"/>
        <v>0</v>
      </c>
      <c r="I334" s="32">
        <f t="shared" si="9"/>
        <v>0</v>
      </c>
      <c r="J334" s="32">
        <f t="shared" si="9"/>
        <v>0</v>
      </c>
      <c r="K334" s="32">
        <f t="shared" si="8"/>
        <v>0</v>
      </c>
      <c r="L334" s="32">
        <f t="shared" si="8"/>
        <v>0</v>
      </c>
      <c r="M334" s="32"/>
      <c r="N334" s="32"/>
    </row>
    <row r="335" spans="1:14" x14ac:dyDescent="0.2">
      <c r="A335" s="5">
        <v>0</v>
      </c>
      <c r="B335" s="32">
        <f t="shared" si="9"/>
        <v>412</v>
      </c>
      <c r="C335" s="32">
        <f t="shared" si="9"/>
        <v>4.6500000000000004</v>
      </c>
      <c r="D335" s="32">
        <f t="shared" si="9"/>
        <v>412</v>
      </c>
      <c r="E335" s="32">
        <f t="shared" si="9"/>
        <v>0</v>
      </c>
      <c r="F335" s="32">
        <f t="shared" si="9"/>
        <v>0</v>
      </c>
      <c r="G335" s="32">
        <f t="shared" si="9"/>
        <v>0</v>
      </c>
      <c r="H335" s="32">
        <f t="shared" si="9"/>
        <v>0</v>
      </c>
      <c r="I335" s="32">
        <f t="shared" si="9"/>
        <v>0</v>
      </c>
      <c r="J335" s="32">
        <f t="shared" si="9"/>
        <v>0</v>
      </c>
      <c r="K335" s="32">
        <f t="shared" si="8"/>
        <v>0</v>
      </c>
      <c r="L335" s="32">
        <f t="shared" si="8"/>
        <v>0</v>
      </c>
      <c r="M335" s="32"/>
      <c r="N335" s="32"/>
    </row>
    <row r="336" spans="1:14" x14ac:dyDescent="0.2">
      <c r="A336" s="5">
        <v>0</v>
      </c>
      <c r="B336" s="32">
        <f t="shared" si="9"/>
        <v>411</v>
      </c>
      <c r="C336" s="32">
        <f t="shared" si="9"/>
        <v>4.6500000000000004</v>
      </c>
      <c r="D336" s="32">
        <f t="shared" si="9"/>
        <v>411</v>
      </c>
      <c r="E336" s="32">
        <f t="shared" si="9"/>
        <v>0</v>
      </c>
      <c r="F336" s="32">
        <f t="shared" si="9"/>
        <v>0</v>
      </c>
      <c r="G336" s="32">
        <f t="shared" si="9"/>
        <v>0</v>
      </c>
      <c r="H336" s="32">
        <f t="shared" si="9"/>
        <v>0</v>
      </c>
      <c r="I336" s="32">
        <f t="shared" si="9"/>
        <v>0</v>
      </c>
      <c r="J336" s="32">
        <f t="shared" si="9"/>
        <v>0</v>
      </c>
      <c r="K336" s="32">
        <f t="shared" si="8"/>
        <v>0</v>
      </c>
      <c r="L336" s="32">
        <f t="shared" si="8"/>
        <v>0</v>
      </c>
      <c r="M336" s="32"/>
      <c r="N336" s="32"/>
    </row>
    <row r="337" spans="1:14" x14ac:dyDescent="0.2">
      <c r="A337" s="5">
        <v>0</v>
      </c>
      <c r="B337" s="32">
        <f t="shared" si="9"/>
        <v>411</v>
      </c>
      <c r="C337" s="32">
        <f t="shared" si="9"/>
        <v>4.6500000000000004</v>
      </c>
      <c r="D337" s="32">
        <f t="shared" si="9"/>
        <v>411</v>
      </c>
      <c r="E337" s="32">
        <f t="shared" si="9"/>
        <v>0</v>
      </c>
      <c r="F337" s="32">
        <f t="shared" si="9"/>
        <v>0</v>
      </c>
      <c r="G337" s="32">
        <f t="shared" si="9"/>
        <v>0</v>
      </c>
      <c r="H337" s="32">
        <f t="shared" si="9"/>
        <v>0</v>
      </c>
      <c r="I337" s="32">
        <f t="shared" si="9"/>
        <v>0</v>
      </c>
      <c r="J337" s="32">
        <f t="shared" si="9"/>
        <v>0</v>
      </c>
      <c r="K337" s="32">
        <f t="shared" si="8"/>
        <v>0</v>
      </c>
      <c r="L337" s="32">
        <f t="shared" si="8"/>
        <v>0</v>
      </c>
      <c r="M337" s="32"/>
      <c r="N337" s="32"/>
    </row>
    <row r="338" spans="1:14" x14ac:dyDescent="0.2">
      <c r="A338" s="5">
        <v>0</v>
      </c>
      <c r="B338" s="32">
        <f t="shared" si="9"/>
        <v>408</v>
      </c>
      <c r="C338" s="32">
        <f t="shared" si="9"/>
        <v>4.6500000000000004</v>
      </c>
      <c r="D338" s="32">
        <f t="shared" si="9"/>
        <v>408</v>
      </c>
      <c r="E338" s="32">
        <f t="shared" si="9"/>
        <v>0</v>
      </c>
      <c r="F338" s="32">
        <f t="shared" si="9"/>
        <v>0</v>
      </c>
      <c r="G338" s="32">
        <f t="shared" si="9"/>
        <v>0</v>
      </c>
      <c r="H338" s="32">
        <f t="shared" si="9"/>
        <v>0</v>
      </c>
      <c r="I338" s="32">
        <f t="shared" si="9"/>
        <v>0</v>
      </c>
      <c r="J338" s="32">
        <f t="shared" si="9"/>
        <v>0</v>
      </c>
      <c r="K338" s="32">
        <f t="shared" si="8"/>
        <v>0</v>
      </c>
      <c r="L338" s="32">
        <f t="shared" si="8"/>
        <v>0</v>
      </c>
      <c r="M338" s="32"/>
      <c r="N338" s="32"/>
    </row>
    <row r="339" spans="1:14" x14ac:dyDescent="0.2">
      <c r="A339" s="5">
        <v>0</v>
      </c>
      <c r="B339" s="32">
        <f t="shared" si="9"/>
        <v>408</v>
      </c>
      <c r="C339" s="32">
        <f t="shared" si="9"/>
        <v>4.6500000000000004</v>
      </c>
      <c r="D339" s="32">
        <f t="shared" si="9"/>
        <v>408</v>
      </c>
      <c r="E339" s="32">
        <f t="shared" si="9"/>
        <v>0</v>
      </c>
      <c r="F339" s="32">
        <f t="shared" si="9"/>
        <v>0</v>
      </c>
      <c r="G339" s="32">
        <f t="shared" si="9"/>
        <v>0</v>
      </c>
      <c r="H339" s="32">
        <f t="shared" si="9"/>
        <v>0</v>
      </c>
      <c r="I339" s="32">
        <f t="shared" si="9"/>
        <v>0</v>
      </c>
      <c r="J339" s="32">
        <f t="shared" si="9"/>
        <v>0</v>
      </c>
      <c r="K339" s="32">
        <f t="shared" si="8"/>
        <v>0</v>
      </c>
      <c r="L339" s="32">
        <f t="shared" si="8"/>
        <v>0</v>
      </c>
      <c r="M339" s="32"/>
      <c r="N339" s="32"/>
    </row>
    <row r="340" spans="1:14" x14ac:dyDescent="0.2">
      <c r="A340" s="5">
        <v>0</v>
      </c>
      <c r="B340" s="32">
        <f t="shared" si="9"/>
        <v>408</v>
      </c>
      <c r="C340" s="32">
        <f t="shared" si="9"/>
        <v>4.6500000000000004</v>
      </c>
      <c r="D340" s="32">
        <f t="shared" si="9"/>
        <v>408</v>
      </c>
      <c r="E340" s="32">
        <f t="shared" si="9"/>
        <v>0</v>
      </c>
      <c r="F340" s="32">
        <f t="shared" si="9"/>
        <v>0</v>
      </c>
      <c r="G340" s="32">
        <f t="shared" si="9"/>
        <v>0</v>
      </c>
      <c r="H340" s="32">
        <f t="shared" si="9"/>
        <v>0</v>
      </c>
      <c r="I340" s="32">
        <f t="shared" si="9"/>
        <v>0</v>
      </c>
      <c r="J340" s="32">
        <f t="shared" si="9"/>
        <v>0</v>
      </c>
      <c r="K340" s="32">
        <f t="shared" si="8"/>
        <v>0</v>
      </c>
      <c r="L340" s="32">
        <f t="shared" si="8"/>
        <v>0</v>
      </c>
      <c r="M340" s="32"/>
      <c r="N340" s="32"/>
    </row>
    <row r="341" spans="1:14" x14ac:dyDescent="0.2">
      <c r="A341" s="5">
        <v>0</v>
      </c>
      <c r="B341" s="32">
        <f t="shared" si="9"/>
        <v>409</v>
      </c>
      <c r="C341" s="32">
        <f t="shared" si="9"/>
        <v>4.6500000000000004</v>
      </c>
      <c r="D341" s="32">
        <f t="shared" si="9"/>
        <v>409</v>
      </c>
      <c r="E341" s="32">
        <f t="shared" si="9"/>
        <v>0</v>
      </c>
      <c r="F341" s="32">
        <f t="shared" si="9"/>
        <v>0</v>
      </c>
      <c r="G341" s="32">
        <f t="shared" si="9"/>
        <v>0</v>
      </c>
      <c r="H341" s="32">
        <f t="shared" si="9"/>
        <v>0</v>
      </c>
      <c r="I341" s="32">
        <f t="shared" si="9"/>
        <v>0</v>
      </c>
      <c r="J341" s="32">
        <f t="shared" si="9"/>
        <v>0</v>
      </c>
      <c r="K341" s="32">
        <f t="shared" si="8"/>
        <v>0</v>
      </c>
      <c r="L341" s="32">
        <f t="shared" si="8"/>
        <v>0</v>
      </c>
      <c r="M341" s="32"/>
      <c r="N341" s="32"/>
    </row>
    <row r="342" spans="1:14" x14ac:dyDescent="0.2">
      <c r="A342" s="5">
        <v>0</v>
      </c>
      <c r="B342" s="32">
        <f t="shared" si="9"/>
        <v>409</v>
      </c>
      <c r="C342" s="32">
        <f t="shared" si="9"/>
        <v>4.6500000000000004</v>
      </c>
      <c r="D342" s="32">
        <f t="shared" si="9"/>
        <v>409</v>
      </c>
      <c r="E342" s="32">
        <f t="shared" si="9"/>
        <v>0</v>
      </c>
      <c r="F342" s="32">
        <f t="shared" si="9"/>
        <v>0</v>
      </c>
      <c r="G342" s="32">
        <f t="shared" si="9"/>
        <v>0</v>
      </c>
      <c r="H342" s="32">
        <f t="shared" si="9"/>
        <v>0</v>
      </c>
      <c r="I342" s="32">
        <f t="shared" si="9"/>
        <v>0</v>
      </c>
      <c r="J342" s="32">
        <f t="shared" si="9"/>
        <v>0</v>
      </c>
      <c r="K342" s="32">
        <f t="shared" si="8"/>
        <v>0</v>
      </c>
      <c r="L342" s="32">
        <f t="shared" si="8"/>
        <v>0</v>
      </c>
      <c r="M342" s="32"/>
      <c r="N342" s="32"/>
    </row>
    <row r="343" spans="1:14" x14ac:dyDescent="0.2">
      <c r="A343" s="5">
        <v>0</v>
      </c>
      <c r="B343" s="32">
        <f t="shared" si="9"/>
        <v>409</v>
      </c>
      <c r="C343" s="32">
        <f t="shared" si="9"/>
        <v>4.6500000000000004</v>
      </c>
      <c r="D343" s="32">
        <f t="shared" si="9"/>
        <v>409</v>
      </c>
      <c r="E343" s="32">
        <f t="shared" si="9"/>
        <v>0</v>
      </c>
      <c r="F343" s="32">
        <f t="shared" si="9"/>
        <v>0</v>
      </c>
      <c r="G343" s="32">
        <f t="shared" si="9"/>
        <v>0</v>
      </c>
      <c r="H343" s="32">
        <f t="shared" si="9"/>
        <v>0</v>
      </c>
      <c r="I343" s="32">
        <f t="shared" si="9"/>
        <v>0</v>
      </c>
      <c r="J343" s="32">
        <f t="shared" si="9"/>
        <v>0</v>
      </c>
      <c r="K343" s="32">
        <f t="shared" si="8"/>
        <v>0</v>
      </c>
      <c r="L343" s="32">
        <f t="shared" si="8"/>
        <v>0</v>
      </c>
      <c r="M343" s="32"/>
      <c r="N343" s="32"/>
    </row>
    <row r="344" spans="1:14" x14ac:dyDescent="0.2">
      <c r="A344" s="5">
        <v>0</v>
      </c>
      <c r="B344" s="32">
        <f t="shared" si="9"/>
        <v>409</v>
      </c>
      <c r="C344" s="32">
        <f t="shared" si="9"/>
        <v>4.6500000000000004</v>
      </c>
      <c r="D344" s="32">
        <f t="shared" si="9"/>
        <v>409</v>
      </c>
      <c r="E344" s="32">
        <f t="shared" si="9"/>
        <v>0</v>
      </c>
      <c r="F344" s="32">
        <f t="shared" si="9"/>
        <v>0</v>
      </c>
      <c r="G344" s="32">
        <f t="shared" si="9"/>
        <v>0</v>
      </c>
      <c r="H344" s="32">
        <f t="shared" si="9"/>
        <v>0</v>
      </c>
      <c r="I344" s="32">
        <f t="shared" si="9"/>
        <v>0</v>
      </c>
      <c r="J344" s="32">
        <f t="shared" si="9"/>
        <v>0</v>
      </c>
      <c r="K344" s="32">
        <f t="shared" si="8"/>
        <v>0</v>
      </c>
      <c r="L344" s="32">
        <f t="shared" si="8"/>
        <v>0</v>
      </c>
      <c r="M344" s="32"/>
      <c r="N344" s="32"/>
    </row>
    <row r="345" spans="1:14" x14ac:dyDescent="0.2">
      <c r="A345" s="5">
        <v>0</v>
      </c>
      <c r="B345" s="32">
        <f t="shared" si="9"/>
        <v>409</v>
      </c>
      <c r="C345" s="32">
        <f t="shared" si="9"/>
        <v>4.6500000000000004</v>
      </c>
      <c r="D345" s="32">
        <f t="shared" si="9"/>
        <v>409</v>
      </c>
      <c r="E345" s="32">
        <f t="shared" si="9"/>
        <v>0</v>
      </c>
      <c r="F345" s="32">
        <f t="shared" si="9"/>
        <v>0</v>
      </c>
      <c r="G345" s="32">
        <f t="shared" si="9"/>
        <v>0</v>
      </c>
      <c r="H345" s="32">
        <f t="shared" si="9"/>
        <v>0</v>
      </c>
      <c r="I345" s="32">
        <f t="shared" si="9"/>
        <v>0</v>
      </c>
      <c r="J345" s="32">
        <f t="shared" si="9"/>
        <v>0</v>
      </c>
      <c r="K345" s="32">
        <f t="shared" si="8"/>
        <v>0</v>
      </c>
      <c r="L345" s="32">
        <f t="shared" si="8"/>
        <v>0</v>
      </c>
      <c r="M345" s="32"/>
      <c r="N345" s="32"/>
    </row>
    <row r="346" spans="1:14" x14ac:dyDescent="0.2">
      <c r="A346" s="5">
        <v>0</v>
      </c>
      <c r="B346" s="32">
        <f t="shared" si="9"/>
        <v>408</v>
      </c>
      <c r="C346" s="32">
        <f t="shared" si="9"/>
        <v>4.6500000000000004</v>
      </c>
      <c r="D346" s="32">
        <f t="shared" si="9"/>
        <v>408</v>
      </c>
      <c r="E346" s="32">
        <f t="shared" si="9"/>
        <v>0</v>
      </c>
      <c r="F346" s="32">
        <f t="shared" si="9"/>
        <v>0</v>
      </c>
      <c r="G346" s="32">
        <f t="shared" si="9"/>
        <v>0</v>
      </c>
      <c r="H346" s="32">
        <f t="shared" si="9"/>
        <v>0</v>
      </c>
      <c r="I346" s="32">
        <f t="shared" si="9"/>
        <v>0</v>
      </c>
      <c r="J346" s="32">
        <f t="shared" si="9"/>
        <v>0</v>
      </c>
      <c r="K346" s="32">
        <f t="shared" si="8"/>
        <v>0</v>
      </c>
      <c r="L346" s="32">
        <f t="shared" si="8"/>
        <v>0</v>
      </c>
      <c r="M346" s="32"/>
      <c r="N346" s="32"/>
    </row>
    <row r="347" spans="1:14" x14ac:dyDescent="0.2">
      <c r="A347" s="5">
        <v>0</v>
      </c>
      <c r="B347" s="32">
        <f t="shared" si="9"/>
        <v>408</v>
      </c>
      <c r="C347" s="32">
        <f t="shared" si="9"/>
        <v>4.6500000000000004</v>
      </c>
      <c r="D347" s="32">
        <f t="shared" si="9"/>
        <v>408</v>
      </c>
      <c r="E347" s="32">
        <f t="shared" si="9"/>
        <v>0</v>
      </c>
      <c r="F347" s="32">
        <f t="shared" si="9"/>
        <v>0</v>
      </c>
      <c r="G347" s="32">
        <f t="shared" si="9"/>
        <v>0</v>
      </c>
      <c r="H347" s="32">
        <f t="shared" si="9"/>
        <v>0</v>
      </c>
      <c r="I347" s="32">
        <f t="shared" si="9"/>
        <v>0</v>
      </c>
      <c r="J347" s="32">
        <f t="shared" si="9"/>
        <v>0</v>
      </c>
      <c r="K347" s="32">
        <f t="shared" si="8"/>
        <v>0</v>
      </c>
      <c r="L347" s="32">
        <f t="shared" si="8"/>
        <v>0</v>
      </c>
      <c r="M347" s="32"/>
      <c r="N347" s="32"/>
    </row>
    <row r="348" spans="1:14" x14ac:dyDescent="0.2">
      <c r="A348" s="5">
        <v>0</v>
      </c>
      <c r="B348" s="32">
        <f t="shared" si="9"/>
        <v>408</v>
      </c>
      <c r="C348" s="32">
        <f t="shared" si="9"/>
        <v>4.6500000000000004</v>
      </c>
      <c r="D348" s="32">
        <f t="shared" si="9"/>
        <v>408</v>
      </c>
      <c r="E348" s="32">
        <f t="shared" si="9"/>
        <v>0</v>
      </c>
      <c r="F348" s="32">
        <f t="shared" si="9"/>
        <v>0</v>
      </c>
      <c r="G348" s="32">
        <f t="shared" si="9"/>
        <v>0</v>
      </c>
      <c r="H348" s="32">
        <f t="shared" si="9"/>
        <v>0</v>
      </c>
      <c r="I348" s="32">
        <f t="shared" si="9"/>
        <v>0</v>
      </c>
      <c r="J348" s="32">
        <f t="shared" si="9"/>
        <v>0</v>
      </c>
      <c r="K348" s="32">
        <f t="shared" si="8"/>
        <v>0</v>
      </c>
      <c r="L348" s="32">
        <f t="shared" si="8"/>
        <v>0</v>
      </c>
      <c r="M348" s="32"/>
      <c r="N348" s="32"/>
    </row>
    <row r="349" spans="1:14" x14ac:dyDescent="0.2">
      <c r="A349" s="5">
        <v>0</v>
      </c>
      <c r="B349" s="32">
        <f t="shared" si="9"/>
        <v>408</v>
      </c>
      <c r="C349" s="32">
        <f t="shared" si="9"/>
        <v>4.6500000000000004</v>
      </c>
      <c r="D349" s="32">
        <f t="shared" si="9"/>
        <v>408</v>
      </c>
      <c r="E349" s="32">
        <f t="shared" si="9"/>
        <v>0</v>
      </c>
      <c r="F349" s="32">
        <f t="shared" si="9"/>
        <v>0</v>
      </c>
      <c r="G349" s="32">
        <f t="shared" si="9"/>
        <v>0</v>
      </c>
      <c r="H349" s="32">
        <f t="shared" si="9"/>
        <v>0</v>
      </c>
      <c r="I349" s="32">
        <f t="shared" si="9"/>
        <v>0</v>
      </c>
      <c r="J349" s="32">
        <f t="shared" si="9"/>
        <v>0</v>
      </c>
      <c r="K349" s="32">
        <f t="shared" si="8"/>
        <v>0</v>
      </c>
      <c r="L349" s="32">
        <f t="shared" si="8"/>
        <v>0</v>
      </c>
      <c r="M349" s="32"/>
      <c r="N349" s="32"/>
    </row>
    <row r="350" spans="1:14" x14ac:dyDescent="0.2">
      <c r="A350" s="5">
        <v>0</v>
      </c>
      <c r="B350" s="32">
        <f t="shared" si="9"/>
        <v>408</v>
      </c>
      <c r="C350" s="32">
        <f t="shared" si="9"/>
        <v>4.6500000000000004</v>
      </c>
      <c r="D350" s="32">
        <f t="shared" si="9"/>
        <v>408</v>
      </c>
      <c r="E350" s="32">
        <f t="shared" si="9"/>
        <v>0</v>
      </c>
      <c r="F350" s="32">
        <f t="shared" si="9"/>
        <v>0</v>
      </c>
      <c r="G350" s="32">
        <f t="shared" si="9"/>
        <v>0</v>
      </c>
      <c r="H350" s="32">
        <f t="shared" si="9"/>
        <v>0</v>
      </c>
      <c r="I350" s="32">
        <f t="shared" si="9"/>
        <v>0</v>
      </c>
      <c r="J350" s="32">
        <f t="shared" si="9"/>
        <v>0</v>
      </c>
      <c r="K350" s="32">
        <f t="shared" ref="K350:L381" si="10">O73</f>
        <v>0</v>
      </c>
      <c r="L350" s="32">
        <f t="shared" si="10"/>
        <v>0</v>
      </c>
      <c r="M350" s="32"/>
      <c r="N350" s="32"/>
    </row>
    <row r="351" spans="1:14" x14ac:dyDescent="0.2">
      <c r="A351" s="5">
        <v>0</v>
      </c>
      <c r="B351" s="32">
        <f t="shared" si="9"/>
        <v>408</v>
      </c>
      <c r="C351" s="32">
        <f t="shared" si="9"/>
        <v>4.6500000000000004</v>
      </c>
      <c r="D351" s="32">
        <f t="shared" si="9"/>
        <v>408</v>
      </c>
      <c r="E351" s="32">
        <f t="shared" si="9"/>
        <v>0</v>
      </c>
      <c r="F351" s="32">
        <f t="shared" si="9"/>
        <v>0</v>
      </c>
      <c r="G351" s="32">
        <f t="shared" si="9"/>
        <v>0</v>
      </c>
      <c r="H351" s="32">
        <f t="shared" si="9"/>
        <v>0</v>
      </c>
      <c r="I351" s="32">
        <f t="shared" si="9"/>
        <v>0</v>
      </c>
      <c r="J351" s="32">
        <f t="shared" si="9"/>
        <v>0</v>
      </c>
      <c r="K351" s="32">
        <f t="shared" si="10"/>
        <v>0</v>
      </c>
      <c r="L351" s="32">
        <f t="shared" si="10"/>
        <v>0</v>
      </c>
      <c r="M351" s="32"/>
      <c r="N351" s="32"/>
    </row>
    <row r="352" spans="1:14" x14ac:dyDescent="0.2">
      <c r="A352" s="5">
        <v>0</v>
      </c>
      <c r="B352" s="32">
        <f t="shared" si="9"/>
        <v>409</v>
      </c>
      <c r="C352" s="32">
        <f t="shared" si="9"/>
        <v>4.6500000000000004</v>
      </c>
      <c r="D352" s="32">
        <f t="shared" si="9"/>
        <v>409</v>
      </c>
      <c r="E352" s="32">
        <f t="shared" si="9"/>
        <v>0</v>
      </c>
      <c r="F352" s="32">
        <f t="shared" si="9"/>
        <v>0</v>
      </c>
      <c r="G352" s="32">
        <f t="shared" si="9"/>
        <v>0</v>
      </c>
      <c r="H352" s="32">
        <f t="shared" si="9"/>
        <v>0</v>
      </c>
      <c r="I352" s="32">
        <f t="shared" si="9"/>
        <v>0</v>
      </c>
      <c r="J352" s="32">
        <f t="shared" si="9"/>
        <v>0</v>
      </c>
      <c r="K352" s="32">
        <f t="shared" si="10"/>
        <v>0</v>
      </c>
      <c r="L352" s="32">
        <f t="shared" si="10"/>
        <v>0</v>
      </c>
      <c r="M352" s="32"/>
      <c r="N352" s="32"/>
    </row>
    <row r="353" spans="1:14" x14ac:dyDescent="0.2">
      <c r="A353" s="5">
        <v>0</v>
      </c>
      <c r="B353" s="32">
        <f t="shared" si="9"/>
        <v>409</v>
      </c>
      <c r="C353" s="32">
        <f t="shared" si="9"/>
        <v>4.6500000000000004</v>
      </c>
      <c r="D353" s="32">
        <f t="shared" si="9"/>
        <v>409</v>
      </c>
      <c r="E353" s="32">
        <f t="shared" ref="B353:J381" si="11">G76</f>
        <v>0</v>
      </c>
      <c r="F353" s="32">
        <f t="shared" si="11"/>
        <v>0</v>
      </c>
      <c r="G353" s="32">
        <f t="shared" si="11"/>
        <v>0</v>
      </c>
      <c r="H353" s="32">
        <f t="shared" si="11"/>
        <v>0</v>
      </c>
      <c r="I353" s="32">
        <f t="shared" si="11"/>
        <v>0</v>
      </c>
      <c r="J353" s="32">
        <f t="shared" si="11"/>
        <v>0</v>
      </c>
      <c r="K353" s="32">
        <f t="shared" si="10"/>
        <v>0</v>
      </c>
      <c r="L353" s="32">
        <f t="shared" si="10"/>
        <v>0</v>
      </c>
      <c r="M353" s="32"/>
      <c r="N353" s="32"/>
    </row>
    <row r="354" spans="1:14" x14ac:dyDescent="0.2">
      <c r="A354" s="5">
        <v>0</v>
      </c>
      <c r="B354" s="32">
        <f t="shared" si="11"/>
        <v>409</v>
      </c>
      <c r="C354" s="32">
        <f t="shared" si="11"/>
        <v>4.6500000000000004</v>
      </c>
      <c r="D354" s="32">
        <f t="shared" si="11"/>
        <v>409</v>
      </c>
      <c r="E354" s="32">
        <f t="shared" si="11"/>
        <v>0</v>
      </c>
      <c r="F354" s="32">
        <f t="shared" si="11"/>
        <v>0</v>
      </c>
      <c r="G354" s="32">
        <f t="shared" si="11"/>
        <v>0</v>
      </c>
      <c r="H354" s="32">
        <f t="shared" si="11"/>
        <v>0</v>
      </c>
      <c r="I354" s="32">
        <f t="shared" si="11"/>
        <v>0</v>
      </c>
      <c r="J354" s="32">
        <f t="shared" si="11"/>
        <v>0</v>
      </c>
      <c r="K354" s="32">
        <f t="shared" si="10"/>
        <v>0</v>
      </c>
      <c r="L354" s="32">
        <f t="shared" si="10"/>
        <v>0</v>
      </c>
      <c r="M354" s="32"/>
      <c r="N354" s="32"/>
    </row>
    <row r="355" spans="1:14" x14ac:dyDescent="0.2">
      <c r="A355" s="5">
        <v>0</v>
      </c>
      <c r="B355" s="32">
        <f t="shared" si="11"/>
        <v>409</v>
      </c>
      <c r="C355" s="32">
        <f t="shared" si="11"/>
        <v>4.6500000000000004</v>
      </c>
      <c r="D355" s="32">
        <f t="shared" si="11"/>
        <v>409</v>
      </c>
      <c r="E355" s="32">
        <f t="shared" si="11"/>
        <v>0</v>
      </c>
      <c r="F355" s="32">
        <f t="shared" si="11"/>
        <v>0</v>
      </c>
      <c r="G355" s="32">
        <f t="shared" si="11"/>
        <v>0</v>
      </c>
      <c r="H355" s="32">
        <f t="shared" si="11"/>
        <v>0</v>
      </c>
      <c r="I355" s="32">
        <f t="shared" si="11"/>
        <v>0</v>
      </c>
      <c r="J355" s="32">
        <f t="shared" si="11"/>
        <v>0</v>
      </c>
      <c r="K355" s="32">
        <f t="shared" si="10"/>
        <v>0</v>
      </c>
      <c r="L355" s="32">
        <f t="shared" si="10"/>
        <v>0</v>
      </c>
      <c r="M355" s="32"/>
      <c r="N355" s="32"/>
    </row>
    <row r="356" spans="1:14" x14ac:dyDescent="0.2">
      <c r="A356" s="5">
        <v>0</v>
      </c>
      <c r="B356" s="32">
        <f t="shared" si="11"/>
        <v>409</v>
      </c>
      <c r="C356" s="32">
        <f t="shared" si="11"/>
        <v>4.6500000000000004</v>
      </c>
      <c r="D356" s="32">
        <f t="shared" si="11"/>
        <v>409</v>
      </c>
      <c r="E356" s="32">
        <f t="shared" si="11"/>
        <v>0</v>
      </c>
      <c r="F356" s="32">
        <f t="shared" si="11"/>
        <v>0</v>
      </c>
      <c r="G356" s="32">
        <f t="shared" si="11"/>
        <v>0</v>
      </c>
      <c r="H356" s="32">
        <f t="shared" si="11"/>
        <v>0</v>
      </c>
      <c r="I356" s="32">
        <f t="shared" si="11"/>
        <v>0</v>
      </c>
      <c r="J356" s="32">
        <f t="shared" si="11"/>
        <v>0</v>
      </c>
      <c r="K356" s="32">
        <f t="shared" si="10"/>
        <v>0</v>
      </c>
      <c r="L356" s="32">
        <f t="shared" si="10"/>
        <v>0</v>
      </c>
      <c r="M356" s="32"/>
      <c r="N356" s="32"/>
    </row>
    <row r="357" spans="1:14" x14ac:dyDescent="0.2">
      <c r="A357" s="5">
        <v>0</v>
      </c>
      <c r="B357" s="32">
        <f t="shared" si="11"/>
        <v>409</v>
      </c>
      <c r="C357" s="32">
        <f t="shared" si="11"/>
        <v>4.6500000000000004</v>
      </c>
      <c r="D357" s="32">
        <f t="shared" si="11"/>
        <v>409</v>
      </c>
      <c r="E357" s="32">
        <f t="shared" si="11"/>
        <v>0</v>
      </c>
      <c r="F357" s="32">
        <f t="shared" si="11"/>
        <v>0</v>
      </c>
      <c r="G357" s="32">
        <f t="shared" si="11"/>
        <v>0</v>
      </c>
      <c r="H357" s="32">
        <f t="shared" si="11"/>
        <v>0</v>
      </c>
      <c r="I357" s="32">
        <f t="shared" si="11"/>
        <v>0</v>
      </c>
      <c r="J357" s="32">
        <f t="shared" si="11"/>
        <v>0</v>
      </c>
      <c r="K357" s="32">
        <f t="shared" si="10"/>
        <v>0</v>
      </c>
      <c r="L357" s="32">
        <f t="shared" si="10"/>
        <v>0</v>
      </c>
      <c r="M357" s="32"/>
      <c r="N357" s="32"/>
    </row>
    <row r="358" spans="1:14" x14ac:dyDescent="0.2">
      <c r="A358" s="5">
        <v>0</v>
      </c>
      <c r="B358" s="32">
        <f t="shared" si="11"/>
        <v>459</v>
      </c>
      <c r="C358" s="32">
        <f t="shared" si="11"/>
        <v>4.6500000000000004</v>
      </c>
      <c r="D358" s="32">
        <f t="shared" si="11"/>
        <v>459</v>
      </c>
      <c r="E358" s="32">
        <f t="shared" si="11"/>
        <v>0</v>
      </c>
      <c r="F358" s="32">
        <f t="shared" si="11"/>
        <v>0</v>
      </c>
      <c r="G358" s="32">
        <f t="shared" si="11"/>
        <v>0</v>
      </c>
      <c r="H358" s="32">
        <f t="shared" si="11"/>
        <v>0</v>
      </c>
      <c r="I358" s="32">
        <f t="shared" si="11"/>
        <v>0</v>
      </c>
      <c r="J358" s="32">
        <f t="shared" si="11"/>
        <v>0</v>
      </c>
      <c r="K358" s="32">
        <f t="shared" si="10"/>
        <v>0</v>
      </c>
      <c r="L358" s="32">
        <f t="shared" si="10"/>
        <v>0</v>
      </c>
      <c r="M358" s="32"/>
      <c r="N358" s="32"/>
    </row>
    <row r="359" spans="1:14" x14ac:dyDescent="0.2">
      <c r="A359" s="5">
        <v>0</v>
      </c>
      <c r="B359" s="32">
        <f t="shared" si="11"/>
        <v>510</v>
      </c>
      <c r="C359" s="32">
        <f t="shared" si="11"/>
        <v>4.6500000000000004</v>
      </c>
      <c r="D359" s="32">
        <f t="shared" si="11"/>
        <v>510</v>
      </c>
      <c r="E359" s="32">
        <f t="shared" si="11"/>
        <v>0</v>
      </c>
      <c r="F359" s="32">
        <f t="shared" si="11"/>
        <v>0</v>
      </c>
      <c r="G359" s="32">
        <f t="shared" si="11"/>
        <v>0</v>
      </c>
      <c r="H359" s="32">
        <f t="shared" si="11"/>
        <v>0</v>
      </c>
      <c r="I359" s="32">
        <f t="shared" si="11"/>
        <v>0</v>
      </c>
      <c r="J359" s="32">
        <f t="shared" si="11"/>
        <v>0</v>
      </c>
      <c r="K359" s="32">
        <f t="shared" si="10"/>
        <v>0</v>
      </c>
      <c r="L359" s="32">
        <f t="shared" si="10"/>
        <v>0</v>
      </c>
      <c r="M359" s="32"/>
      <c r="N359" s="32"/>
    </row>
    <row r="360" spans="1:14" x14ac:dyDescent="0.2">
      <c r="A360" s="5">
        <v>0</v>
      </c>
      <c r="B360" s="32">
        <f t="shared" si="11"/>
        <v>572</v>
      </c>
      <c r="C360" s="32">
        <f t="shared" si="11"/>
        <v>4.6500000000000004</v>
      </c>
      <c r="D360" s="32">
        <f t="shared" si="11"/>
        <v>572</v>
      </c>
      <c r="E360" s="32">
        <f t="shared" si="11"/>
        <v>0</v>
      </c>
      <c r="F360" s="32">
        <f t="shared" si="11"/>
        <v>0</v>
      </c>
      <c r="G360" s="32">
        <f t="shared" si="11"/>
        <v>0</v>
      </c>
      <c r="H360" s="32">
        <f t="shared" si="11"/>
        <v>0</v>
      </c>
      <c r="I360" s="32">
        <f t="shared" si="11"/>
        <v>0</v>
      </c>
      <c r="J360" s="32">
        <f t="shared" si="11"/>
        <v>0</v>
      </c>
      <c r="K360" s="32">
        <f t="shared" si="10"/>
        <v>0</v>
      </c>
      <c r="L360" s="32">
        <f t="shared" si="10"/>
        <v>0</v>
      </c>
      <c r="M360" s="32"/>
      <c r="N360" s="32"/>
    </row>
    <row r="361" spans="1:14" x14ac:dyDescent="0.2">
      <c r="A361" s="5">
        <v>0</v>
      </c>
      <c r="B361" s="32">
        <f t="shared" si="11"/>
        <v>617</v>
      </c>
      <c r="C361" s="32">
        <f t="shared" si="11"/>
        <v>4.6500000000000004</v>
      </c>
      <c r="D361" s="32">
        <f t="shared" si="11"/>
        <v>617</v>
      </c>
      <c r="E361" s="32">
        <f t="shared" si="11"/>
        <v>0</v>
      </c>
      <c r="F361" s="32">
        <f t="shared" si="11"/>
        <v>0</v>
      </c>
      <c r="G361" s="32">
        <f t="shared" si="11"/>
        <v>0</v>
      </c>
      <c r="H361" s="32">
        <f t="shared" si="11"/>
        <v>0</v>
      </c>
      <c r="I361" s="32">
        <f t="shared" si="11"/>
        <v>0</v>
      </c>
      <c r="J361" s="32">
        <f t="shared" si="11"/>
        <v>0</v>
      </c>
      <c r="K361" s="32">
        <f t="shared" si="10"/>
        <v>0</v>
      </c>
      <c r="L361" s="32">
        <f t="shared" si="10"/>
        <v>0</v>
      </c>
      <c r="M361" s="32"/>
      <c r="N361" s="32"/>
    </row>
    <row r="362" spans="1:14" x14ac:dyDescent="0.2">
      <c r="A362" s="5">
        <v>0</v>
      </c>
      <c r="B362" s="32">
        <f t="shared" si="11"/>
        <v>617</v>
      </c>
      <c r="C362" s="32">
        <f t="shared" si="11"/>
        <v>4.6500000000000004</v>
      </c>
      <c r="D362" s="32">
        <f t="shared" si="11"/>
        <v>617</v>
      </c>
      <c r="E362" s="32">
        <f t="shared" si="11"/>
        <v>0</v>
      </c>
      <c r="F362" s="32">
        <f t="shared" si="11"/>
        <v>0</v>
      </c>
      <c r="G362" s="32">
        <f t="shared" si="11"/>
        <v>0</v>
      </c>
      <c r="H362" s="32">
        <f t="shared" si="11"/>
        <v>0</v>
      </c>
      <c r="I362" s="32">
        <f t="shared" si="11"/>
        <v>0</v>
      </c>
      <c r="J362" s="32">
        <f t="shared" si="11"/>
        <v>0</v>
      </c>
      <c r="K362" s="32">
        <f t="shared" si="10"/>
        <v>0</v>
      </c>
      <c r="L362" s="32">
        <f t="shared" si="10"/>
        <v>0</v>
      </c>
      <c r="M362" s="32"/>
      <c r="N362" s="32"/>
    </row>
    <row r="363" spans="1:14" x14ac:dyDescent="0.2">
      <c r="A363" s="5">
        <v>0</v>
      </c>
      <c r="B363" s="32">
        <f t="shared" si="11"/>
        <v>617</v>
      </c>
      <c r="C363" s="32">
        <f t="shared" si="11"/>
        <v>4.6500000000000004</v>
      </c>
      <c r="D363" s="32">
        <f t="shared" si="11"/>
        <v>617</v>
      </c>
      <c r="E363" s="32">
        <f t="shared" si="11"/>
        <v>0</v>
      </c>
      <c r="F363" s="32">
        <f t="shared" si="11"/>
        <v>0</v>
      </c>
      <c r="G363" s="32">
        <f t="shared" si="11"/>
        <v>0</v>
      </c>
      <c r="H363" s="32">
        <f t="shared" si="11"/>
        <v>0</v>
      </c>
      <c r="I363" s="32">
        <f t="shared" si="11"/>
        <v>0</v>
      </c>
      <c r="J363" s="32">
        <f t="shared" si="11"/>
        <v>0</v>
      </c>
      <c r="K363" s="32">
        <f t="shared" si="10"/>
        <v>0</v>
      </c>
      <c r="L363" s="32">
        <f t="shared" si="10"/>
        <v>0</v>
      </c>
      <c r="M363" s="32"/>
      <c r="N363" s="32"/>
    </row>
    <row r="364" spans="1:14" x14ac:dyDescent="0.2">
      <c r="A364" s="5">
        <v>0</v>
      </c>
      <c r="B364" s="32">
        <f t="shared" si="11"/>
        <v>617</v>
      </c>
      <c r="C364" s="32">
        <f t="shared" si="11"/>
        <v>4.6500000000000004</v>
      </c>
      <c r="D364" s="32">
        <f t="shared" si="11"/>
        <v>617</v>
      </c>
      <c r="E364" s="32">
        <f t="shared" si="11"/>
        <v>0</v>
      </c>
      <c r="F364" s="32">
        <f t="shared" si="11"/>
        <v>0</v>
      </c>
      <c r="G364" s="32">
        <f t="shared" si="11"/>
        <v>0</v>
      </c>
      <c r="H364" s="32">
        <f t="shared" si="11"/>
        <v>0</v>
      </c>
      <c r="I364" s="32">
        <f t="shared" si="11"/>
        <v>0</v>
      </c>
      <c r="J364" s="32">
        <f t="shared" si="11"/>
        <v>0</v>
      </c>
      <c r="K364" s="32">
        <f t="shared" si="10"/>
        <v>0</v>
      </c>
      <c r="L364" s="32">
        <f t="shared" si="10"/>
        <v>0</v>
      </c>
      <c r="M364" s="32"/>
      <c r="N364" s="32"/>
    </row>
    <row r="365" spans="1:14" x14ac:dyDescent="0.2">
      <c r="A365" s="5">
        <v>0</v>
      </c>
      <c r="B365" s="32">
        <f t="shared" si="11"/>
        <v>617</v>
      </c>
      <c r="C365" s="32">
        <f t="shared" si="11"/>
        <v>4.6500000000000004</v>
      </c>
      <c r="D365" s="32">
        <f t="shared" si="11"/>
        <v>617</v>
      </c>
      <c r="E365" s="32">
        <f t="shared" si="11"/>
        <v>0</v>
      </c>
      <c r="F365" s="32">
        <f t="shared" si="11"/>
        <v>0</v>
      </c>
      <c r="G365" s="32">
        <f t="shared" si="11"/>
        <v>0</v>
      </c>
      <c r="H365" s="32">
        <f t="shared" si="11"/>
        <v>0</v>
      </c>
      <c r="I365" s="32">
        <f t="shared" si="11"/>
        <v>0</v>
      </c>
      <c r="J365" s="32">
        <f t="shared" si="11"/>
        <v>0</v>
      </c>
      <c r="K365" s="32">
        <f t="shared" si="10"/>
        <v>0</v>
      </c>
      <c r="L365" s="32">
        <f t="shared" si="10"/>
        <v>0</v>
      </c>
      <c r="M365" s="32"/>
      <c r="N365" s="32"/>
    </row>
    <row r="366" spans="1:14" x14ac:dyDescent="0.2">
      <c r="A366" s="5">
        <v>0</v>
      </c>
      <c r="B366" s="32">
        <f t="shared" si="11"/>
        <v>617</v>
      </c>
      <c r="C366" s="32">
        <f t="shared" si="11"/>
        <v>4.6500000000000004</v>
      </c>
      <c r="D366" s="32">
        <f t="shared" si="11"/>
        <v>617</v>
      </c>
      <c r="E366" s="32">
        <f t="shared" si="11"/>
        <v>0</v>
      </c>
      <c r="F366" s="32">
        <f t="shared" si="11"/>
        <v>0</v>
      </c>
      <c r="G366" s="32">
        <f t="shared" si="11"/>
        <v>0</v>
      </c>
      <c r="H366" s="32">
        <f t="shared" si="11"/>
        <v>0</v>
      </c>
      <c r="I366" s="32">
        <f t="shared" si="11"/>
        <v>0</v>
      </c>
      <c r="J366" s="32">
        <f t="shared" si="11"/>
        <v>0</v>
      </c>
      <c r="K366" s="32">
        <f t="shared" si="10"/>
        <v>0</v>
      </c>
      <c r="L366" s="32">
        <f t="shared" si="10"/>
        <v>0</v>
      </c>
      <c r="M366" s="32"/>
      <c r="N366" s="32"/>
    </row>
    <row r="367" spans="1:14" x14ac:dyDescent="0.2">
      <c r="A367" s="5">
        <v>0</v>
      </c>
      <c r="B367" s="32">
        <f t="shared" si="11"/>
        <v>617</v>
      </c>
      <c r="C367" s="32">
        <f t="shared" si="11"/>
        <v>4.6500000000000004</v>
      </c>
      <c r="D367" s="32">
        <f t="shared" si="11"/>
        <v>617</v>
      </c>
      <c r="E367" s="32">
        <f t="shared" si="11"/>
        <v>0</v>
      </c>
      <c r="F367" s="32">
        <f t="shared" si="11"/>
        <v>0</v>
      </c>
      <c r="G367" s="32">
        <f t="shared" si="11"/>
        <v>0</v>
      </c>
      <c r="H367" s="32">
        <f t="shared" si="11"/>
        <v>0</v>
      </c>
      <c r="I367" s="32">
        <f t="shared" si="11"/>
        <v>0</v>
      </c>
      <c r="J367" s="32">
        <f t="shared" si="11"/>
        <v>0</v>
      </c>
      <c r="K367" s="32">
        <f t="shared" si="10"/>
        <v>0</v>
      </c>
      <c r="L367" s="32">
        <f t="shared" si="10"/>
        <v>0</v>
      </c>
      <c r="M367" s="32"/>
      <c r="N367" s="32"/>
    </row>
    <row r="368" spans="1:14" x14ac:dyDescent="0.2">
      <c r="A368" s="5">
        <v>0</v>
      </c>
      <c r="B368" s="32">
        <f t="shared" si="11"/>
        <v>617</v>
      </c>
      <c r="C368" s="32">
        <f t="shared" si="11"/>
        <v>4.6500000000000004</v>
      </c>
      <c r="D368" s="32">
        <f t="shared" si="11"/>
        <v>617</v>
      </c>
      <c r="E368" s="32">
        <f t="shared" si="11"/>
        <v>0</v>
      </c>
      <c r="F368" s="32">
        <f t="shared" si="11"/>
        <v>0</v>
      </c>
      <c r="G368" s="32">
        <f t="shared" si="11"/>
        <v>0</v>
      </c>
      <c r="H368" s="32">
        <f t="shared" si="11"/>
        <v>0</v>
      </c>
      <c r="I368" s="32">
        <f t="shared" si="11"/>
        <v>0</v>
      </c>
      <c r="J368" s="32">
        <f t="shared" si="11"/>
        <v>0</v>
      </c>
      <c r="K368" s="32">
        <f t="shared" si="10"/>
        <v>0</v>
      </c>
      <c r="L368" s="32">
        <f t="shared" si="10"/>
        <v>0</v>
      </c>
      <c r="M368" s="32"/>
      <c r="N368" s="32"/>
    </row>
    <row r="369" spans="1:14" x14ac:dyDescent="0.2">
      <c r="A369" s="5">
        <v>0</v>
      </c>
      <c r="B369" s="32">
        <f t="shared" si="11"/>
        <v>617</v>
      </c>
      <c r="C369" s="32">
        <f t="shared" si="11"/>
        <v>4.6500000000000004</v>
      </c>
      <c r="D369" s="32">
        <f t="shared" si="11"/>
        <v>617</v>
      </c>
      <c r="E369" s="32">
        <f t="shared" si="11"/>
        <v>0</v>
      </c>
      <c r="F369" s="32">
        <f t="shared" si="11"/>
        <v>0</v>
      </c>
      <c r="G369" s="32">
        <f t="shared" si="11"/>
        <v>0</v>
      </c>
      <c r="H369" s="32">
        <f t="shared" si="11"/>
        <v>0</v>
      </c>
      <c r="I369" s="32">
        <f t="shared" si="11"/>
        <v>0</v>
      </c>
      <c r="J369" s="32">
        <f t="shared" si="11"/>
        <v>0</v>
      </c>
      <c r="K369" s="32">
        <f t="shared" si="10"/>
        <v>0</v>
      </c>
      <c r="L369" s="32">
        <f t="shared" si="10"/>
        <v>0</v>
      </c>
      <c r="M369" s="32"/>
      <c r="N369" s="32"/>
    </row>
    <row r="370" spans="1:14" x14ac:dyDescent="0.2">
      <c r="A370" s="5">
        <v>0</v>
      </c>
      <c r="B370" s="32">
        <f t="shared" si="11"/>
        <v>617</v>
      </c>
      <c r="C370" s="32">
        <f t="shared" si="11"/>
        <v>4.6500000000000004</v>
      </c>
      <c r="D370" s="32">
        <f t="shared" si="11"/>
        <v>617</v>
      </c>
      <c r="E370" s="32">
        <f t="shared" si="11"/>
        <v>0</v>
      </c>
      <c r="F370" s="32">
        <f t="shared" si="11"/>
        <v>0</v>
      </c>
      <c r="G370" s="32">
        <f t="shared" si="11"/>
        <v>0</v>
      </c>
      <c r="H370" s="32">
        <f t="shared" si="11"/>
        <v>0</v>
      </c>
      <c r="I370" s="32">
        <f t="shared" si="11"/>
        <v>0</v>
      </c>
      <c r="J370" s="32">
        <f t="shared" si="11"/>
        <v>0</v>
      </c>
      <c r="K370" s="32">
        <f t="shared" si="10"/>
        <v>0</v>
      </c>
      <c r="L370" s="32">
        <f t="shared" si="10"/>
        <v>0</v>
      </c>
      <c r="M370" s="32"/>
      <c r="N370" s="32"/>
    </row>
    <row r="371" spans="1:14" x14ac:dyDescent="0.2">
      <c r="A371" s="5">
        <v>0</v>
      </c>
      <c r="B371" s="32">
        <f t="shared" si="11"/>
        <v>617</v>
      </c>
      <c r="C371" s="32">
        <f t="shared" si="11"/>
        <v>4.6500000000000004</v>
      </c>
      <c r="D371" s="32">
        <f t="shared" si="11"/>
        <v>617</v>
      </c>
      <c r="E371" s="32">
        <f t="shared" si="11"/>
        <v>0</v>
      </c>
      <c r="F371" s="32">
        <f t="shared" si="11"/>
        <v>0</v>
      </c>
      <c r="G371" s="32">
        <f t="shared" si="11"/>
        <v>0</v>
      </c>
      <c r="H371" s="32">
        <f t="shared" si="11"/>
        <v>0</v>
      </c>
      <c r="I371" s="32">
        <f t="shared" si="11"/>
        <v>0</v>
      </c>
      <c r="J371" s="32">
        <f t="shared" si="11"/>
        <v>0</v>
      </c>
      <c r="K371" s="32">
        <f t="shared" si="10"/>
        <v>0</v>
      </c>
      <c r="L371" s="32">
        <f t="shared" si="10"/>
        <v>0</v>
      </c>
      <c r="M371" s="32"/>
      <c r="N371" s="32"/>
    </row>
    <row r="372" spans="1:14" x14ac:dyDescent="0.2">
      <c r="A372" s="5">
        <v>0</v>
      </c>
      <c r="B372" s="32">
        <f t="shared" si="11"/>
        <v>617</v>
      </c>
      <c r="C372" s="32">
        <f t="shared" si="11"/>
        <v>4.6500000000000004</v>
      </c>
      <c r="D372" s="32">
        <f t="shared" si="11"/>
        <v>617</v>
      </c>
      <c r="E372" s="32">
        <f t="shared" si="11"/>
        <v>0</v>
      </c>
      <c r="F372" s="32">
        <f t="shared" si="11"/>
        <v>0</v>
      </c>
      <c r="G372" s="32">
        <f t="shared" si="11"/>
        <v>0</v>
      </c>
      <c r="H372" s="32">
        <f t="shared" si="11"/>
        <v>0</v>
      </c>
      <c r="I372" s="32">
        <f t="shared" si="11"/>
        <v>0</v>
      </c>
      <c r="J372" s="32">
        <f t="shared" si="11"/>
        <v>0</v>
      </c>
      <c r="K372" s="32">
        <f t="shared" si="10"/>
        <v>0</v>
      </c>
      <c r="L372" s="32">
        <f t="shared" si="10"/>
        <v>0</v>
      </c>
      <c r="M372" s="32"/>
      <c r="N372" s="32"/>
    </row>
    <row r="373" spans="1:14" x14ac:dyDescent="0.2">
      <c r="A373" s="5">
        <v>0</v>
      </c>
      <c r="B373" s="32">
        <f t="shared" si="11"/>
        <v>617</v>
      </c>
      <c r="C373" s="32">
        <f t="shared" si="11"/>
        <v>4.6500000000000004</v>
      </c>
      <c r="D373" s="32">
        <f t="shared" si="11"/>
        <v>617</v>
      </c>
      <c r="E373" s="32">
        <f t="shared" si="11"/>
        <v>0</v>
      </c>
      <c r="F373" s="32">
        <f t="shared" si="11"/>
        <v>0</v>
      </c>
      <c r="G373" s="32">
        <f t="shared" si="11"/>
        <v>0</v>
      </c>
      <c r="H373" s="32">
        <f t="shared" si="11"/>
        <v>0</v>
      </c>
      <c r="I373" s="32">
        <f t="shared" si="11"/>
        <v>0</v>
      </c>
      <c r="J373" s="32">
        <f t="shared" si="11"/>
        <v>0</v>
      </c>
      <c r="K373" s="32">
        <f t="shared" si="10"/>
        <v>0</v>
      </c>
      <c r="L373" s="32">
        <f t="shared" si="10"/>
        <v>0</v>
      </c>
      <c r="M373" s="32"/>
      <c r="N373" s="32"/>
    </row>
    <row r="374" spans="1:14" x14ac:dyDescent="0.2">
      <c r="A374" s="5">
        <v>0</v>
      </c>
      <c r="B374" s="32">
        <f t="shared" si="11"/>
        <v>617</v>
      </c>
      <c r="C374" s="32">
        <f t="shared" si="11"/>
        <v>4.6500000000000004</v>
      </c>
      <c r="D374" s="32">
        <f t="shared" si="11"/>
        <v>617</v>
      </c>
      <c r="E374" s="32">
        <f t="shared" si="11"/>
        <v>0</v>
      </c>
      <c r="F374" s="32">
        <f t="shared" si="11"/>
        <v>0</v>
      </c>
      <c r="G374" s="32">
        <f t="shared" si="11"/>
        <v>0</v>
      </c>
      <c r="H374" s="32">
        <f t="shared" si="11"/>
        <v>0</v>
      </c>
      <c r="I374" s="32">
        <f t="shared" si="11"/>
        <v>0</v>
      </c>
      <c r="J374" s="32">
        <f t="shared" si="11"/>
        <v>0</v>
      </c>
      <c r="K374" s="32">
        <f t="shared" si="10"/>
        <v>0</v>
      </c>
      <c r="L374" s="32">
        <f t="shared" si="10"/>
        <v>0</v>
      </c>
      <c r="M374" s="32"/>
      <c r="N374" s="32"/>
    </row>
    <row r="375" spans="1:14" x14ac:dyDescent="0.2">
      <c r="A375" s="5">
        <v>0</v>
      </c>
      <c r="B375" s="32">
        <f t="shared" si="11"/>
        <v>617</v>
      </c>
      <c r="C375" s="32">
        <f t="shared" si="11"/>
        <v>4.6500000000000004</v>
      </c>
      <c r="D375" s="32">
        <f t="shared" si="11"/>
        <v>617</v>
      </c>
      <c r="E375" s="32">
        <f t="shared" si="11"/>
        <v>0</v>
      </c>
      <c r="F375" s="32">
        <f t="shared" si="11"/>
        <v>0</v>
      </c>
      <c r="G375" s="32">
        <f t="shared" si="11"/>
        <v>0</v>
      </c>
      <c r="H375" s="32">
        <f t="shared" si="11"/>
        <v>0</v>
      </c>
      <c r="I375" s="32">
        <f t="shared" si="11"/>
        <v>0</v>
      </c>
      <c r="J375" s="32">
        <f t="shared" si="11"/>
        <v>0</v>
      </c>
      <c r="K375" s="32">
        <f t="shared" si="10"/>
        <v>0</v>
      </c>
      <c r="L375" s="32">
        <f t="shared" si="10"/>
        <v>0</v>
      </c>
      <c r="M375" s="32"/>
      <c r="N375" s="32"/>
    </row>
    <row r="376" spans="1:14" x14ac:dyDescent="0.2">
      <c r="A376" s="5">
        <v>0</v>
      </c>
      <c r="B376" s="32">
        <f t="shared" si="11"/>
        <v>617</v>
      </c>
      <c r="C376" s="32">
        <f t="shared" si="11"/>
        <v>4.6500000000000004</v>
      </c>
      <c r="D376" s="32">
        <f t="shared" si="11"/>
        <v>617</v>
      </c>
      <c r="E376" s="32">
        <f t="shared" si="11"/>
        <v>0</v>
      </c>
      <c r="F376" s="32">
        <f t="shared" si="11"/>
        <v>0</v>
      </c>
      <c r="G376" s="32">
        <f t="shared" si="11"/>
        <v>0</v>
      </c>
      <c r="H376" s="32">
        <f t="shared" si="11"/>
        <v>0</v>
      </c>
      <c r="I376" s="32">
        <f t="shared" si="11"/>
        <v>0</v>
      </c>
      <c r="J376" s="32">
        <f t="shared" si="11"/>
        <v>0</v>
      </c>
      <c r="K376" s="32">
        <f t="shared" si="10"/>
        <v>0</v>
      </c>
      <c r="L376" s="32">
        <f t="shared" si="10"/>
        <v>0</v>
      </c>
      <c r="M376" s="32"/>
      <c r="N376" s="32"/>
    </row>
    <row r="377" spans="1:14" x14ac:dyDescent="0.2">
      <c r="A377" s="5">
        <v>0</v>
      </c>
      <c r="B377" s="32">
        <f t="shared" si="11"/>
        <v>617</v>
      </c>
      <c r="C377" s="32">
        <f t="shared" si="11"/>
        <v>4.6500000000000004</v>
      </c>
      <c r="D377" s="32">
        <f t="shared" si="11"/>
        <v>617</v>
      </c>
      <c r="E377" s="32">
        <f t="shared" si="11"/>
        <v>0</v>
      </c>
      <c r="F377" s="32">
        <f t="shared" si="11"/>
        <v>0</v>
      </c>
      <c r="G377" s="32">
        <f t="shared" si="11"/>
        <v>0</v>
      </c>
      <c r="H377" s="32">
        <f t="shared" si="11"/>
        <v>0</v>
      </c>
      <c r="I377" s="32">
        <f t="shared" si="11"/>
        <v>0</v>
      </c>
      <c r="J377" s="32">
        <f t="shared" si="11"/>
        <v>0</v>
      </c>
      <c r="K377" s="32">
        <f t="shared" si="10"/>
        <v>0</v>
      </c>
      <c r="L377" s="32">
        <f t="shared" si="10"/>
        <v>0</v>
      </c>
      <c r="M377" s="32"/>
      <c r="N377" s="32"/>
    </row>
    <row r="378" spans="1:14" x14ac:dyDescent="0.2">
      <c r="A378" s="5">
        <v>0</v>
      </c>
      <c r="B378" s="32">
        <f t="shared" si="11"/>
        <v>617</v>
      </c>
      <c r="C378" s="32">
        <f t="shared" si="11"/>
        <v>4.6500000000000004</v>
      </c>
      <c r="D378" s="32">
        <f t="shared" si="11"/>
        <v>617</v>
      </c>
      <c r="E378" s="32">
        <f t="shared" si="11"/>
        <v>0</v>
      </c>
      <c r="F378" s="32">
        <f t="shared" si="11"/>
        <v>0</v>
      </c>
      <c r="G378" s="32">
        <f t="shared" si="11"/>
        <v>0</v>
      </c>
      <c r="H378" s="32">
        <f t="shared" si="11"/>
        <v>0</v>
      </c>
      <c r="I378" s="32">
        <f t="shared" si="11"/>
        <v>0</v>
      </c>
      <c r="J378" s="32">
        <f t="shared" si="11"/>
        <v>0</v>
      </c>
      <c r="K378" s="32">
        <f t="shared" si="10"/>
        <v>0</v>
      </c>
      <c r="L378" s="32">
        <f t="shared" si="10"/>
        <v>0</v>
      </c>
      <c r="M378" s="32"/>
      <c r="N378" s="32"/>
    </row>
    <row r="379" spans="1:14" x14ac:dyDescent="0.2">
      <c r="A379" s="5">
        <v>0</v>
      </c>
      <c r="B379" s="32">
        <f t="shared" si="11"/>
        <v>617</v>
      </c>
      <c r="C379" s="32">
        <f t="shared" si="11"/>
        <v>4.6500000000000004</v>
      </c>
      <c r="D379" s="32">
        <f t="shared" si="11"/>
        <v>617</v>
      </c>
      <c r="E379" s="32">
        <f t="shared" si="11"/>
        <v>0</v>
      </c>
      <c r="F379" s="32">
        <f t="shared" si="11"/>
        <v>0</v>
      </c>
      <c r="G379" s="32">
        <f t="shared" si="11"/>
        <v>0</v>
      </c>
      <c r="H379" s="32">
        <f t="shared" si="11"/>
        <v>0</v>
      </c>
      <c r="I379" s="32">
        <f t="shared" si="11"/>
        <v>0</v>
      </c>
      <c r="J379" s="32">
        <f t="shared" si="11"/>
        <v>0</v>
      </c>
      <c r="K379" s="32">
        <f t="shared" si="10"/>
        <v>0</v>
      </c>
      <c r="L379" s="32">
        <f t="shared" si="10"/>
        <v>0</v>
      </c>
      <c r="M379" s="32"/>
      <c r="N379" s="32"/>
    </row>
    <row r="380" spans="1:14" x14ac:dyDescent="0.2">
      <c r="A380" s="5">
        <v>0</v>
      </c>
      <c r="B380" s="32">
        <f t="shared" si="11"/>
        <v>617</v>
      </c>
      <c r="C380" s="32">
        <f t="shared" si="11"/>
        <v>4.6500000000000004</v>
      </c>
      <c r="D380" s="32">
        <f t="shared" si="11"/>
        <v>617</v>
      </c>
      <c r="E380" s="32">
        <f t="shared" si="11"/>
        <v>0</v>
      </c>
      <c r="F380" s="32">
        <f t="shared" si="11"/>
        <v>0</v>
      </c>
      <c r="G380" s="32">
        <f t="shared" si="11"/>
        <v>0</v>
      </c>
      <c r="H380" s="32">
        <f t="shared" si="11"/>
        <v>0</v>
      </c>
      <c r="I380" s="32">
        <f t="shared" si="11"/>
        <v>0</v>
      </c>
      <c r="J380" s="32">
        <f t="shared" si="11"/>
        <v>0</v>
      </c>
      <c r="K380" s="32">
        <f t="shared" si="10"/>
        <v>0</v>
      </c>
      <c r="L380" s="32">
        <f t="shared" si="10"/>
        <v>0</v>
      </c>
      <c r="M380" s="32"/>
      <c r="N380" s="32"/>
    </row>
    <row r="381" spans="1:14" x14ac:dyDescent="0.2">
      <c r="A381" s="5">
        <v>0</v>
      </c>
      <c r="B381" s="32">
        <f t="shared" si="11"/>
        <v>617</v>
      </c>
      <c r="C381" s="32">
        <f t="shared" si="11"/>
        <v>4.6500000000000004</v>
      </c>
      <c r="D381" s="32">
        <f t="shared" si="11"/>
        <v>617</v>
      </c>
      <c r="E381" s="32">
        <f t="shared" si="11"/>
        <v>0</v>
      </c>
      <c r="F381" s="32">
        <f t="shared" si="11"/>
        <v>0</v>
      </c>
      <c r="G381" s="32">
        <f t="shared" si="11"/>
        <v>0</v>
      </c>
      <c r="H381" s="32">
        <f t="shared" ref="H381:J381" si="12">J104</f>
        <v>0</v>
      </c>
      <c r="I381" s="32">
        <f t="shared" si="12"/>
        <v>0</v>
      </c>
      <c r="J381" s="32">
        <f t="shared" si="12"/>
        <v>0</v>
      </c>
      <c r="K381" s="32">
        <f t="shared" si="10"/>
        <v>0</v>
      </c>
      <c r="L381" s="32">
        <f t="shared" si="10"/>
        <v>0</v>
      </c>
      <c r="M381" s="32"/>
      <c r="N381" s="32"/>
    </row>
    <row r="485" spans="1:1" x14ac:dyDescent="0.2">
      <c r="A485" s="5" t="s">
        <v>23</v>
      </c>
    </row>
    <row r="486" spans="1:1" x14ac:dyDescent="0.2">
      <c r="A486" s="5" t="s">
        <v>24</v>
      </c>
    </row>
    <row r="487" spans="1:1" x14ac:dyDescent="0.2">
      <c r="A487" s="5" t="s">
        <v>25</v>
      </c>
    </row>
    <row r="488" spans="1:1" x14ac:dyDescent="0.2">
      <c r="A488" s="5" t="s">
        <v>26</v>
      </c>
    </row>
    <row r="489" spans="1:1" x14ac:dyDescent="0.2">
      <c r="A489" s="5" t="s">
        <v>27</v>
      </c>
    </row>
    <row r="490" spans="1:1" x14ac:dyDescent="0.2">
      <c r="A490" s="5" t="s">
        <v>28</v>
      </c>
    </row>
    <row r="491" spans="1:1" x14ac:dyDescent="0.2">
      <c r="A491" s="5" t="s">
        <v>29</v>
      </c>
    </row>
    <row r="492" spans="1:1" x14ac:dyDescent="0.2">
      <c r="A492" s="5" t="s">
        <v>30</v>
      </c>
    </row>
    <row r="493" spans="1:1" x14ac:dyDescent="0.2">
      <c r="A493" s="5" t="s">
        <v>31</v>
      </c>
    </row>
    <row r="494" spans="1:1" x14ac:dyDescent="0.2">
      <c r="A494" s="5" t="s">
        <v>32</v>
      </c>
    </row>
  </sheetData>
  <protectedRanges>
    <protectedRange algorithmName="SHA-512" hashValue="qQYn+m+b4UVdjF94fJY26EWyaL6NXSlMR0hjQ5/xNDkmthaz1VvGWbh/7nGtIdkgRT6aNUF0IIZNQcadTKpO7g==" saltValue="2NnoMCglf5tG+69kK64QMw==" spinCount="100000" sqref="H105:H107 F105:G105 F9:AL104" name="Range3"/>
    <protectedRange algorithmName="SHA-512" hashValue="CuSudXHW9P7CBQkrs8AwohLW+eqtBB1GgPvOQKTdoYabZsh7qeQNmlih2szINLu/Iv371wYh7iyn/B9fW+VuJQ==" saltValue="3apz8eMp+e3RXrdw+Rtnhw==" spinCount="100000" sqref="B6" name="Range1"/>
    <protectedRange algorithmName="SHA-512" hashValue="1jJWfUXWRRT08/cshb+Zq/RAMTya5nSG8yWpGVBg0Dfqhe3vup+3W9p/IBZi/Wrrv1DDhqG9wt/eD6EO1fnNvQ==" saltValue="VWP5arczVApFJ9oxlz3YOA==" spinCount="100000" sqref="D8:E8 AF8:AL8" name="Range2"/>
    <protectedRange algorithmName="SHA-512" hashValue="1jJWfUXWRRT08/cshb+Zq/RAMTya5nSG8yWpGVBg0Dfqhe3vup+3W9p/IBZi/Wrrv1DDhqG9wt/eD6EO1fnNvQ==" saltValue="VWP5arczVApFJ9oxlz3YOA==" spinCount="100000" sqref="S8:T8 V8:AE8" name="Range2_1"/>
    <protectedRange algorithmName="SHA-512" hashValue="1jJWfUXWRRT08/cshb+Zq/RAMTya5nSG8yWpGVBg0Dfqhe3vup+3W9p/IBZi/Wrrv1DDhqG9wt/eD6EO1fnNvQ==" saltValue="VWP5arczVApFJ9oxlz3YOA==" spinCount="100000" sqref="U8 F8:R8" name="Range2_3"/>
  </protectedRanges>
  <mergeCells count="7">
    <mergeCell ref="A1:P1"/>
    <mergeCell ref="A2:P2"/>
    <mergeCell ref="A3:A4"/>
    <mergeCell ref="B3:D4"/>
    <mergeCell ref="E3:E4"/>
    <mergeCell ref="F3:G4"/>
    <mergeCell ref="H3:K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CustomerData!$B$1:$B$483</xm:f>
          </x14:formula1>
          <xm:sqref>F8:AL8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theme="7" tint="0.59999389629810485"/>
  </sheetPr>
  <dimension ref="A1:AI978"/>
  <sheetViews>
    <sheetView zoomScaleNormal="100" workbookViewId="0">
      <pane ySplit="8" topLeftCell="A9" activePane="bottomLeft" state="frozen"/>
      <selection activeCell="D27" sqref="D27"/>
      <selection pane="bottomLeft" activeCell="E9" sqref="E9:E104"/>
    </sheetView>
  </sheetViews>
  <sheetFormatPr defaultColWidth="9.140625" defaultRowHeight="12.75" x14ac:dyDescent="0.25"/>
  <cols>
    <col min="1" max="2" width="9.140625" style="34" customWidth="1"/>
    <col min="3" max="3" width="11.140625" style="34" customWidth="1"/>
    <col min="4" max="4" width="10.85546875" style="34" customWidth="1"/>
    <col min="5" max="5" width="13.5703125" style="34" customWidth="1"/>
    <col min="6" max="6" width="10.85546875" style="34" bestFit="1" customWidth="1"/>
    <col min="7" max="8" width="10.140625" style="34" bestFit="1" customWidth="1"/>
    <col min="9" max="9" width="10.7109375" style="34" bestFit="1" customWidth="1"/>
    <col min="10" max="10" width="11.85546875" style="34" bestFit="1" customWidth="1"/>
    <col min="11" max="11" width="11.85546875" style="34" customWidth="1"/>
    <col min="12" max="12" width="10.85546875" style="34" customWidth="1"/>
    <col min="13" max="16" width="9.140625" style="34" customWidth="1"/>
    <col min="17" max="17" width="15.7109375" style="34" customWidth="1"/>
    <col min="18" max="16384" width="9.140625" style="34"/>
  </cols>
  <sheetData>
    <row r="1" spans="1:35" ht="28.5" customHeight="1" x14ac:dyDescent="0.25">
      <c r="A1" s="156" t="s">
        <v>33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1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</row>
    <row r="2" spans="1:35" x14ac:dyDescent="0.25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14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</row>
    <row r="3" spans="1:35" s="38" customFormat="1" ht="13.5" customHeight="1" x14ac:dyDescent="0.25">
      <c r="A3" s="158" t="s">
        <v>10</v>
      </c>
      <c r="B3" s="159"/>
      <c r="C3" s="160"/>
      <c r="D3" s="160"/>
      <c r="E3" s="161">
        <f ca="1">TODAY()</f>
        <v>45398</v>
      </c>
      <c r="F3" s="160" t="s">
        <v>11</v>
      </c>
      <c r="G3" s="160"/>
      <c r="H3" s="162" t="s">
        <v>12</v>
      </c>
      <c r="I3" s="163"/>
      <c r="J3" s="163"/>
      <c r="K3" s="163"/>
      <c r="L3" s="163"/>
      <c r="M3" s="36" t="s">
        <v>127</v>
      </c>
      <c r="N3" s="36"/>
      <c r="O3" s="37"/>
      <c r="P3" s="36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3"/>
      <c r="AC3" s="151"/>
      <c r="AD3" s="151"/>
      <c r="AE3" s="151"/>
      <c r="AF3" s="151"/>
      <c r="AG3" s="151"/>
      <c r="AH3" s="151"/>
      <c r="AI3" s="151"/>
    </row>
    <row r="4" spans="1:35" s="38" customFormat="1" ht="13.5" customHeight="1" x14ac:dyDescent="0.25">
      <c r="A4" s="158"/>
      <c r="B4" s="159"/>
      <c r="C4" s="160"/>
      <c r="D4" s="160"/>
      <c r="E4" s="161"/>
      <c r="F4" s="160"/>
      <c r="G4" s="160"/>
      <c r="H4" s="164"/>
      <c r="I4" s="165"/>
      <c r="J4" s="165"/>
      <c r="K4" s="165"/>
      <c r="L4" s="165"/>
      <c r="M4" s="39"/>
      <c r="N4" s="39"/>
      <c r="O4" s="40"/>
      <c r="P4" s="39"/>
      <c r="Q4" s="154"/>
      <c r="R4" s="154"/>
      <c r="S4" s="154"/>
      <c r="T4" s="154"/>
      <c r="U4" s="154"/>
      <c r="V4" s="154"/>
      <c r="W4" s="154"/>
      <c r="X4" s="154"/>
      <c r="Y4" s="154"/>
      <c r="Z4" s="154"/>
      <c r="AA4" s="154"/>
      <c r="AB4" s="155"/>
      <c r="AC4" s="151"/>
      <c r="AD4" s="151"/>
      <c r="AE4" s="151"/>
      <c r="AF4" s="151"/>
      <c r="AG4" s="151"/>
      <c r="AH4" s="151"/>
      <c r="AI4" s="151"/>
    </row>
    <row r="5" spans="1:35" s="38" customFormat="1" ht="15.75" x14ac:dyDescent="0.25">
      <c r="A5" s="41" t="s">
        <v>13</v>
      </c>
      <c r="B5" s="41" t="s">
        <v>14</v>
      </c>
      <c r="C5" s="41" t="s">
        <v>15</v>
      </c>
      <c r="D5" s="42">
        <v>1</v>
      </c>
      <c r="E5" s="43" t="s">
        <v>16</v>
      </c>
      <c r="F5" s="42">
        <v>96</v>
      </c>
      <c r="G5" s="44" t="s">
        <v>34</v>
      </c>
      <c r="H5" s="45">
        <v>1200</v>
      </c>
      <c r="I5" s="46" t="s">
        <v>17</v>
      </c>
      <c r="J5" s="47">
        <v>12</v>
      </c>
      <c r="K5" s="47"/>
      <c r="L5" s="48"/>
    </row>
    <row r="6" spans="1:35" s="38" customFormat="1" ht="15" x14ac:dyDescent="0.25">
      <c r="A6" s="145"/>
      <c r="B6" s="146"/>
      <c r="C6" s="147"/>
      <c r="D6" s="64" t="s">
        <v>18</v>
      </c>
      <c r="E6" s="49">
        <f>VLOOKUP(E8,CustomerData!$B:$I,4,FALSE)</f>
        <v>1043</v>
      </c>
      <c r="F6" s="49" t="e">
        <f>VLOOKUP(F8,CustomerData!$B:$I,4,FALSE)</f>
        <v>#N/A</v>
      </c>
      <c r="G6" s="49" t="e">
        <f>VLOOKUP(G8,CustomerData!$B:$I,4,FALSE)</f>
        <v>#N/A</v>
      </c>
      <c r="H6" s="49" t="e">
        <f>VLOOKUP(H8,CustomerData!$B:$I,4,FALSE)</f>
        <v>#N/A</v>
      </c>
      <c r="I6" s="49" t="e">
        <f>VLOOKUP(I8,CustomerData!$B:$I,4,FALSE)</f>
        <v>#N/A</v>
      </c>
      <c r="J6" s="49" t="e">
        <f>VLOOKUP(J8,CustomerData!$B:$I,4,FALSE)</f>
        <v>#N/A</v>
      </c>
      <c r="K6" s="49" t="e">
        <f>VLOOKUP(K8,CustomerData!$B:$I,4,FALSE)</f>
        <v>#N/A</v>
      </c>
      <c r="L6" s="49" t="e">
        <f>VLOOKUP(L8,CustomerData!$B:$I,4,FALSE)</f>
        <v>#N/A</v>
      </c>
      <c r="M6" s="49" t="e">
        <f>VLOOKUP(M8,CustomerData!$B:$I,4,FALSE)</f>
        <v>#N/A</v>
      </c>
      <c r="N6" s="49" t="e">
        <f>VLOOKUP(N8,CustomerData!$B:$I,4,FALSE)</f>
        <v>#N/A</v>
      </c>
      <c r="O6" s="49" t="e">
        <f>VLOOKUP(O8,CustomerData!$B:$I,4,FALSE)</f>
        <v>#N/A</v>
      </c>
      <c r="P6" s="49"/>
      <c r="Q6" s="49" t="e">
        <f>VLOOKUP(Q8,CustomerData!$B:$I,4,FALSE)</f>
        <v>#N/A</v>
      </c>
      <c r="R6" s="49" t="e">
        <f>VLOOKUP(R8,CustomerData!$B:$I,4,FALSE)</f>
        <v>#N/A</v>
      </c>
      <c r="S6" s="49" t="e">
        <f>VLOOKUP(S8,CustomerData!$B:$I,4,FALSE)</f>
        <v>#N/A</v>
      </c>
      <c r="T6" s="49" t="e">
        <f>VLOOKUP(T8,CustomerData!$B:$I,4,FALSE)</f>
        <v>#N/A</v>
      </c>
      <c r="U6" s="49" t="e">
        <f>VLOOKUP(U8,CustomerData!$B:$I,4,FALSE)</f>
        <v>#N/A</v>
      </c>
      <c r="V6" s="49" t="e">
        <f>VLOOKUP(V8,CustomerData!$B:$I,4,FALSE)</f>
        <v>#N/A</v>
      </c>
      <c r="W6" s="49" t="e">
        <f>VLOOKUP(W8,CustomerData!$B:$I,4,FALSE)</f>
        <v>#N/A</v>
      </c>
      <c r="X6" s="49" t="e">
        <f>VLOOKUP(X8,CustomerData!$B:$I,4,FALSE)</f>
        <v>#N/A</v>
      </c>
      <c r="Y6" s="49" t="e">
        <f>VLOOKUP(Y8,CustomerData!$B:$I,4,FALSE)</f>
        <v>#N/A</v>
      </c>
      <c r="Z6" s="49" t="e">
        <f>VLOOKUP(Z8,CustomerData!$B:$I,4,FALSE)</f>
        <v>#N/A</v>
      </c>
      <c r="AA6" s="49" t="e">
        <f>VLOOKUP(AA8,CustomerData!$B:$I,4,FALSE)</f>
        <v>#N/A</v>
      </c>
      <c r="AB6" s="49" t="e">
        <f>VLOOKUP(AB8,CustomerData!$B:$I,4,FALSE)</f>
        <v>#N/A</v>
      </c>
      <c r="AC6" s="49" t="e">
        <f>VLOOKUP(AC8,CustomerData!$B:$I,4,FALSE)</f>
        <v>#N/A</v>
      </c>
      <c r="AD6" s="49" t="e">
        <f>VLOOKUP(AD8,CustomerData!$B:$I,4,FALSE)</f>
        <v>#N/A</v>
      </c>
      <c r="AE6" s="49" t="e">
        <f>VLOOKUP(AE8,CustomerData!$B:$I,4,FALSE)</f>
        <v>#N/A</v>
      </c>
      <c r="AF6" s="49" t="e">
        <f>VLOOKUP(AF8,CustomerData!$B:$I,4,FALSE)</f>
        <v>#N/A</v>
      </c>
      <c r="AG6" s="49" t="e">
        <f>VLOOKUP(AG8,CustomerData!$B:$I,4,FALSE)</f>
        <v>#N/A</v>
      </c>
      <c r="AH6" s="49" t="e">
        <f>VLOOKUP(AH8,CustomerData!$B:$I,4,FALSE)</f>
        <v>#N/A</v>
      </c>
      <c r="AI6" s="49" t="e">
        <f>VLOOKUP(AI8,CustomerData!$B:$I,4,FALSE)</f>
        <v>#N/A</v>
      </c>
    </row>
    <row r="7" spans="1:35" s="38" customFormat="1" ht="18.75" x14ac:dyDescent="0.25">
      <c r="A7" s="148"/>
      <c r="B7" s="149"/>
      <c r="C7" s="150"/>
      <c r="D7" s="64" t="s">
        <v>19</v>
      </c>
      <c r="E7" s="50" t="str">
        <f>VLOOKUP(E8,CustomerData!$B:$I,8,FALSE)</f>
        <v xml:space="preserve">ST        </v>
      </c>
      <c r="F7" s="50" t="e">
        <f>VLOOKUP(F8,CustomerData!$B:$I,8,FALSE)</f>
        <v>#N/A</v>
      </c>
      <c r="G7" s="50" t="e">
        <f>VLOOKUP(G8,CustomerData!$B:$I,8,FALSE)</f>
        <v>#N/A</v>
      </c>
      <c r="H7" s="50" t="e">
        <f>VLOOKUP(H8,CustomerData!$B:$I,8,FALSE)</f>
        <v>#N/A</v>
      </c>
      <c r="I7" s="50" t="e">
        <f>VLOOKUP(I8,CustomerData!$B:$I,8,FALSE)</f>
        <v>#N/A</v>
      </c>
      <c r="J7" s="50" t="e">
        <f>VLOOKUP(J8,CustomerData!$B:$I,8,FALSE)</f>
        <v>#N/A</v>
      </c>
      <c r="K7" s="50" t="e">
        <f>VLOOKUP(K8,CustomerData!$B:$I,8,FALSE)</f>
        <v>#N/A</v>
      </c>
      <c r="L7" s="50" t="e">
        <f>VLOOKUP(L8,CustomerData!$B:$I,8,FALSE)</f>
        <v>#N/A</v>
      </c>
      <c r="M7" s="50" t="e">
        <f>VLOOKUP(M8,CustomerData!$B:$I,8,FALSE)</f>
        <v>#N/A</v>
      </c>
      <c r="N7" s="50" t="e">
        <f>VLOOKUP(N8,CustomerData!$B:$I,8,FALSE)</f>
        <v>#N/A</v>
      </c>
      <c r="O7" s="50" t="e">
        <f>VLOOKUP(O8,CustomerData!$B:$I,8,FALSE)</f>
        <v>#N/A</v>
      </c>
      <c r="P7" s="50"/>
      <c r="Q7" s="50" t="e">
        <f>VLOOKUP(Q8,CustomerData!$B:$I,8,FALSE)</f>
        <v>#N/A</v>
      </c>
      <c r="R7" s="50" t="e">
        <f>VLOOKUP(R8,CustomerData!$B:$I,8,FALSE)</f>
        <v>#N/A</v>
      </c>
      <c r="S7" s="50" t="e">
        <f>VLOOKUP(S8,CustomerData!$B:$I,8,FALSE)</f>
        <v>#N/A</v>
      </c>
      <c r="T7" s="50" t="e">
        <f>VLOOKUP(T8,CustomerData!$B:$I,8,FALSE)</f>
        <v>#N/A</v>
      </c>
      <c r="U7" s="50" t="e">
        <f>VLOOKUP(U8,CustomerData!$B:$I,8,FALSE)</f>
        <v>#N/A</v>
      </c>
      <c r="V7" s="50" t="e">
        <f>VLOOKUP(V8,CustomerData!$B:$I,8,FALSE)</f>
        <v>#N/A</v>
      </c>
      <c r="W7" s="50" t="e">
        <f>VLOOKUP(W8,CustomerData!$B:$I,8,FALSE)</f>
        <v>#N/A</v>
      </c>
      <c r="X7" s="50" t="e">
        <f>VLOOKUP(X8,CustomerData!$B:$I,8,FALSE)</f>
        <v>#N/A</v>
      </c>
      <c r="Y7" s="50" t="e">
        <f>VLOOKUP(Y8,CustomerData!$B:$I,8,FALSE)</f>
        <v>#N/A</v>
      </c>
      <c r="Z7" s="50" t="e">
        <f>VLOOKUP(Z8,CustomerData!$B:$I,8,FALSE)</f>
        <v>#N/A</v>
      </c>
      <c r="AA7" s="50" t="e">
        <f>VLOOKUP(AA8,CustomerData!$B:$I,8,FALSE)</f>
        <v>#N/A</v>
      </c>
      <c r="AB7" s="50" t="e">
        <f>VLOOKUP(AB8,CustomerData!$B:$I,8,FALSE)</f>
        <v>#N/A</v>
      </c>
      <c r="AC7" s="50" t="e">
        <f>VLOOKUP(AC8,CustomerData!$B:$I,8,FALSE)</f>
        <v>#N/A</v>
      </c>
      <c r="AD7" s="50" t="e">
        <f>VLOOKUP(AD8,CustomerData!$B:$I,8,FALSE)</f>
        <v>#N/A</v>
      </c>
      <c r="AE7" s="50" t="e">
        <f>VLOOKUP(AE8,CustomerData!$B:$I,8,FALSE)</f>
        <v>#N/A</v>
      </c>
      <c r="AF7" s="50" t="e">
        <f>VLOOKUP(AF8,CustomerData!$B:$I,8,FALSE)</f>
        <v>#N/A</v>
      </c>
      <c r="AG7" s="50" t="e">
        <f>VLOOKUP(AG8,CustomerData!$B:$I,8,FALSE)</f>
        <v>#N/A</v>
      </c>
      <c r="AH7" s="50" t="e">
        <f>VLOOKUP(AH8,CustomerData!$B:$I,8,FALSE)</f>
        <v>#N/A</v>
      </c>
      <c r="AI7" s="50" t="e">
        <f>VLOOKUP(AI8,CustomerData!$B:$I,8,FALSE)</f>
        <v>#N/A</v>
      </c>
    </row>
    <row r="8" spans="1:35" s="38" customFormat="1" ht="30" customHeight="1" x14ac:dyDescent="0.25">
      <c r="A8" s="51" t="s">
        <v>20</v>
      </c>
      <c r="B8" s="52" t="s">
        <v>14</v>
      </c>
      <c r="C8" s="52" t="s">
        <v>16</v>
      </c>
      <c r="D8" s="52" t="s">
        <v>35</v>
      </c>
      <c r="E8" s="132" t="s">
        <v>144</v>
      </c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</row>
    <row r="9" spans="1:35" s="38" customFormat="1" ht="15" x14ac:dyDescent="0.25">
      <c r="A9" s="53">
        <v>1</v>
      </c>
      <c r="B9" s="54">
        <v>0</v>
      </c>
      <c r="C9" s="54">
        <v>0.15</v>
      </c>
      <c r="D9" s="117">
        <f>SUM(E9:AI9)</f>
        <v>617</v>
      </c>
      <c r="E9" s="77">
        <v>617</v>
      </c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</row>
    <row r="10" spans="1:35" s="38" customFormat="1" ht="15" x14ac:dyDescent="0.25">
      <c r="A10" s="53">
        <v>2</v>
      </c>
      <c r="B10" s="54">
        <v>0.15</v>
      </c>
      <c r="C10" s="54">
        <v>0.3</v>
      </c>
      <c r="D10" s="117">
        <f t="shared" ref="D10:D73" si="0">SUM(E10:AI10)</f>
        <v>617</v>
      </c>
      <c r="E10" s="77">
        <v>617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</row>
    <row r="11" spans="1:35" s="38" customFormat="1" ht="15" x14ac:dyDescent="0.25">
      <c r="A11" s="53">
        <v>3</v>
      </c>
      <c r="B11" s="54">
        <v>0.3</v>
      </c>
      <c r="C11" s="54">
        <v>0.45</v>
      </c>
      <c r="D11" s="117">
        <f t="shared" si="0"/>
        <v>617</v>
      </c>
      <c r="E11" s="77">
        <v>617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</row>
    <row r="12" spans="1:35" s="38" customFormat="1" ht="15" x14ac:dyDescent="0.25">
      <c r="A12" s="53">
        <v>4</v>
      </c>
      <c r="B12" s="54">
        <v>0.45</v>
      </c>
      <c r="C12" s="54">
        <v>1</v>
      </c>
      <c r="D12" s="117">
        <f t="shared" si="0"/>
        <v>609</v>
      </c>
      <c r="E12" s="77">
        <v>609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</row>
    <row r="13" spans="1:35" s="38" customFormat="1" ht="15" x14ac:dyDescent="0.25">
      <c r="A13" s="53">
        <v>5</v>
      </c>
      <c r="B13" s="54">
        <v>1</v>
      </c>
      <c r="C13" s="54">
        <v>1.1499999999999999</v>
      </c>
      <c r="D13" s="117">
        <f t="shared" si="0"/>
        <v>606</v>
      </c>
      <c r="E13" s="77">
        <v>606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</row>
    <row r="14" spans="1:35" s="38" customFormat="1" ht="15" x14ac:dyDescent="0.25">
      <c r="A14" s="53">
        <v>6</v>
      </c>
      <c r="B14" s="54">
        <v>1.1499999999999999</v>
      </c>
      <c r="C14" s="54">
        <v>1.3</v>
      </c>
      <c r="D14" s="117">
        <f t="shared" si="0"/>
        <v>606</v>
      </c>
      <c r="E14" s="77">
        <v>606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</row>
    <row r="15" spans="1:35" s="38" customFormat="1" ht="15" x14ac:dyDescent="0.25">
      <c r="A15" s="53">
        <v>7</v>
      </c>
      <c r="B15" s="54">
        <v>1.3</v>
      </c>
      <c r="C15" s="54">
        <v>1.45</v>
      </c>
      <c r="D15" s="117">
        <f t="shared" si="0"/>
        <v>617</v>
      </c>
      <c r="E15" s="77">
        <v>617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</row>
    <row r="16" spans="1:35" s="38" customFormat="1" ht="15" x14ac:dyDescent="0.25">
      <c r="A16" s="53">
        <v>8</v>
      </c>
      <c r="B16" s="54">
        <v>1.45</v>
      </c>
      <c r="C16" s="54">
        <v>2</v>
      </c>
      <c r="D16" s="117">
        <f t="shared" si="0"/>
        <v>617</v>
      </c>
      <c r="E16" s="77">
        <v>617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</row>
    <row r="17" spans="1:35" s="38" customFormat="1" ht="15" x14ac:dyDescent="0.25">
      <c r="A17" s="53">
        <v>9</v>
      </c>
      <c r="B17" s="54">
        <v>2</v>
      </c>
      <c r="C17" s="54">
        <v>2.15</v>
      </c>
      <c r="D17" s="117">
        <f t="shared" si="0"/>
        <v>567</v>
      </c>
      <c r="E17" s="77">
        <v>567</v>
      </c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</row>
    <row r="18" spans="1:35" s="38" customFormat="1" ht="15" x14ac:dyDescent="0.25">
      <c r="A18" s="53">
        <v>10</v>
      </c>
      <c r="B18" s="54">
        <v>2.15</v>
      </c>
      <c r="C18" s="54">
        <v>2.2999999999999998</v>
      </c>
      <c r="D18" s="117">
        <f t="shared" si="0"/>
        <v>565</v>
      </c>
      <c r="E18" s="77">
        <v>565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</row>
    <row r="19" spans="1:35" s="38" customFormat="1" ht="15" x14ac:dyDescent="0.25">
      <c r="A19" s="53">
        <v>11</v>
      </c>
      <c r="B19" s="54">
        <v>2.2999999999999998</v>
      </c>
      <c r="C19" s="54">
        <v>2.4500000000000002</v>
      </c>
      <c r="D19" s="117">
        <f t="shared" si="0"/>
        <v>467</v>
      </c>
      <c r="E19" s="77">
        <v>467</v>
      </c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</row>
    <row r="20" spans="1:35" s="38" customFormat="1" ht="15" x14ac:dyDescent="0.25">
      <c r="A20" s="53">
        <v>12</v>
      </c>
      <c r="B20" s="54">
        <v>2.4500000000000002</v>
      </c>
      <c r="C20" s="54">
        <v>3</v>
      </c>
      <c r="D20" s="117">
        <f t="shared" si="0"/>
        <v>465</v>
      </c>
      <c r="E20" s="77">
        <v>465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</row>
    <row r="21" spans="1:35" s="38" customFormat="1" ht="15" x14ac:dyDescent="0.25">
      <c r="A21" s="53">
        <v>13</v>
      </c>
      <c r="B21" s="54">
        <v>3</v>
      </c>
      <c r="C21" s="54">
        <v>3.15</v>
      </c>
      <c r="D21" s="117">
        <f t="shared" si="0"/>
        <v>465</v>
      </c>
      <c r="E21" s="77">
        <v>465</v>
      </c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</row>
    <row r="22" spans="1:35" s="38" customFormat="1" ht="15" x14ac:dyDescent="0.25">
      <c r="A22" s="53">
        <v>14</v>
      </c>
      <c r="B22" s="54">
        <v>3.15</v>
      </c>
      <c r="C22" s="54">
        <v>3.3</v>
      </c>
      <c r="D22" s="117">
        <f t="shared" si="0"/>
        <v>465</v>
      </c>
      <c r="E22" s="77">
        <v>465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</row>
    <row r="23" spans="1:35" s="38" customFormat="1" ht="15" x14ac:dyDescent="0.25">
      <c r="A23" s="53">
        <v>15</v>
      </c>
      <c r="B23" s="54">
        <v>3.3</v>
      </c>
      <c r="C23" s="54">
        <v>3.45</v>
      </c>
      <c r="D23" s="117">
        <f t="shared" si="0"/>
        <v>465</v>
      </c>
      <c r="E23" s="77">
        <v>465</v>
      </c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</row>
    <row r="24" spans="1:35" s="38" customFormat="1" ht="15" x14ac:dyDescent="0.25">
      <c r="A24" s="53">
        <v>16</v>
      </c>
      <c r="B24" s="54">
        <v>3.45</v>
      </c>
      <c r="C24" s="54">
        <v>4</v>
      </c>
      <c r="D24" s="117">
        <f t="shared" si="0"/>
        <v>416</v>
      </c>
      <c r="E24" s="77">
        <v>416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</row>
    <row r="25" spans="1:35" s="38" customFormat="1" ht="15" x14ac:dyDescent="0.25">
      <c r="A25" s="53">
        <v>17</v>
      </c>
      <c r="B25" s="54">
        <v>4</v>
      </c>
      <c r="C25" s="54">
        <v>4.1500000000000004</v>
      </c>
      <c r="D25" s="117">
        <f t="shared" si="0"/>
        <v>416</v>
      </c>
      <c r="E25" s="77">
        <v>416</v>
      </c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</row>
    <row r="26" spans="1:35" s="38" customFormat="1" ht="15" x14ac:dyDescent="0.25">
      <c r="A26" s="53">
        <v>18</v>
      </c>
      <c r="B26" s="54">
        <v>4.1500000000000004</v>
      </c>
      <c r="C26" s="54">
        <v>4.3</v>
      </c>
      <c r="D26" s="117">
        <f t="shared" si="0"/>
        <v>466</v>
      </c>
      <c r="E26" s="77">
        <v>466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</row>
    <row r="27" spans="1:35" s="38" customFormat="1" ht="15" x14ac:dyDescent="0.25">
      <c r="A27" s="53">
        <v>19</v>
      </c>
      <c r="B27" s="54">
        <v>4.3</v>
      </c>
      <c r="C27" s="54">
        <v>4.45</v>
      </c>
      <c r="D27" s="117">
        <f t="shared" si="0"/>
        <v>466</v>
      </c>
      <c r="E27" s="77">
        <v>466</v>
      </c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</row>
    <row r="28" spans="1:35" s="38" customFormat="1" ht="15" x14ac:dyDescent="0.25">
      <c r="A28" s="53">
        <v>20</v>
      </c>
      <c r="B28" s="54">
        <v>4.45</v>
      </c>
      <c r="C28" s="54">
        <v>5</v>
      </c>
      <c r="D28" s="117">
        <f t="shared" si="0"/>
        <v>462</v>
      </c>
      <c r="E28" s="77">
        <v>462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</row>
    <row r="29" spans="1:35" s="38" customFormat="1" ht="15" x14ac:dyDescent="0.25">
      <c r="A29" s="53">
        <v>21</v>
      </c>
      <c r="B29" s="54">
        <v>5</v>
      </c>
      <c r="C29" s="54">
        <v>5.15</v>
      </c>
      <c r="D29" s="117">
        <f t="shared" si="0"/>
        <v>562</v>
      </c>
      <c r="E29" s="77">
        <v>562</v>
      </c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</row>
    <row r="30" spans="1:35" s="38" customFormat="1" ht="15" x14ac:dyDescent="0.25">
      <c r="A30" s="53">
        <v>22</v>
      </c>
      <c r="B30" s="54">
        <v>5.15</v>
      </c>
      <c r="C30" s="54">
        <v>5.3</v>
      </c>
      <c r="D30" s="117">
        <f t="shared" si="0"/>
        <v>612</v>
      </c>
      <c r="E30" s="77">
        <v>612</v>
      </c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</row>
    <row r="31" spans="1:35" s="38" customFormat="1" ht="15" x14ac:dyDescent="0.25">
      <c r="A31" s="53">
        <v>23</v>
      </c>
      <c r="B31" s="54">
        <v>5.3</v>
      </c>
      <c r="C31" s="54">
        <v>5.45</v>
      </c>
      <c r="D31" s="117">
        <f t="shared" si="0"/>
        <v>612</v>
      </c>
      <c r="E31" s="77">
        <v>612</v>
      </c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</row>
    <row r="32" spans="1:35" s="38" customFormat="1" ht="15" x14ac:dyDescent="0.25">
      <c r="A32" s="53">
        <v>24</v>
      </c>
      <c r="B32" s="54">
        <v>5.45</v>
      </c>
      <c r="C32" s="54">
        <v>6</v>
      </c>
      <c r="D32" s="117">
        <f t="shared" si="0"/>
        <v>612</v>
      </c>
      <c r="E32" s="77">
        <v>612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</row>
    <row r="33" spans="1:35" s="38" customFormat="1" ht="15" x14ac:dyDescent="0.25">
      <c r="A33" s="53">
        <v>25</v>
      </c>
      <c r="B33" s="54">
        <v>6</v>
      </c>
      <c r="C33" s="54">
        <v>6.15</v>
      </c>
      <c r="D33" s="117">
        <f t="shared" si="0"/>
        <v>577</v>
      </c>
      <c r="E33" s="77">
        <v>577</v>
      </c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</row>
    <row r="34" spans="1:35" s="38" customFormat="1" ht="15" x14ac:dyDescent="0.25">
      <c r="A34" s="53">
        <v>26</v>
      </c>
      <c r="B34" s="54">
        <v>6.15</v>
      </c>
      <c r="C34" s="54">
        <v>6.3</v>
      </c>
      <c r="D34" s="117">
        <f t="shared" si="0"/>
        <v>577</v>
      </c>
      <c r="E34" s="77">
        <v>577</v>
      </c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</row>
    <row r="35" spans="1:35" s="38" customFormat="1" ht="18" customHeight="1" x14ac:dyDescent="0.25">
      <c r="A35" s="53">
        <v>27</v>
      </c>
      <c r="B35" s="54">
        <v>6.3</v>
      </c>
      <c r="C35" s="54">
        <v>6.45</v>
      </c>
      <c r="D35" s="117">
        <f t="shared" si="0"/>
        <v>577</v>
      </c>
      <c r="E35" s="77">
        <v>577</v>
      </c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</row>
    <row r="36" spans="1:35" s="38" customFormat="1" ht="15" x14ac:dyDescent="0.25">
      <c r="A36" s="53">
        <v>28</v>
      </c>
      <c r="B36" s="54">
        <v>6.45</v>
      </c>
      <c r="C36" s="54">
        <v>7</v>
      </c>
      <c r="D36" s="117">
        <f t="shared" si="0"/>
        <v>577</v>
      </c>
      <c r="E36" s="77">
        <v>577</v>
      </c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</row>
    <row r="37" spans="1:35" s="38" customFormat="1" ht="15" x14ac:dyDescent="0.25">
      <c r="A37" s="53">
        <v>29</v>
      </c>
      <c r="B37" s="54">
        <v>7</v>
      </c>
      <c r="C37" s="54">
        <v>7.15</v>
      </c>
      <c r="D37" s="117">
        <f t="shared" si="0"/>
        <v>577</v>
      </c>
      <c r="E37" s="77">
        <v>577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</row>
    <row r="38" spans="1:35" s="38" customFormat="1" ht="15" x14ac:dyDescent="0.25">
      <c r="A38" s="53">
        <v>30</v>
      </c>
      <c r="B38" s="54">
        <v>7.15</v>
      </c>
      <c r="C38" s="54">
        <v>7.3</v>
      </c>
      <c r="D38" s="117">
        <f t="shared" si="0"/>
        <v>577</v>
      </c>
      <c r="E38" s="77">
        <v>577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</row>
    <row r="39" spans="1:35" s="38" customFormat="1" ht="15" x14ac:dyDescent="0.25">
      <c r="A39" s="53">
        <v>31</v>
      </c>
      <c r="B39" s="54">
        <v>7.3</v>
      </c>
      <c r="C39" s="54">
        <v>7.45</v>
      </c>
      <c r="D39" s="117">
        <f t="shared" si="0"/>
        <v>411</v>
      </c>
      <c r="E39" s="77">
        <v>411</v>
      </c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</row>
    <row r="40" spans="1:35" s="38" customFormat="1" ht="15" x14ac:dyDescent="0.25">
      <c r="A40" s="53">
        <v>32</v>
      </c>
      <c r="B40" s="54">
        <v>7.45</v>
      </c>
      <c r="C40" s="54">
        <v>8</v>
      </c>
      <c r="D40" s="117">
        <f t="shared" si="0"/>
        <v>411</v>
      </c>
      <c r="E40" s="77">
        <v>411</v>
      </c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</row>
    <row r="41" spans="1:35" ht="15" x14ac:dyDescent="0.25">
      <c r="A41" s="53">
        <v>33</v>
      </c>
      <c r="B41" s="54">
        <v>8</v>
      </c>
      <c r="C41" s="54">
        <v>8.15</v>
      </c>
      <c r="D41" s="117">
        <f t="shared" si="0"/>
        <v>411</v>
      </c>
      <c r="E41" s="77">
        <v>411</v>
      </c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</row>
    <row r="42" spans="1:35" ht="15" x14ac:dyDescent="0.25">
      <c r="A42" s="53">
        <v>34</v>
      </c>
      <c r="B42" s="54">
        <v>8.15</v>
      </c>
      <c r="C42" s="56">
        <v>8.3000000000000007</v>
      </c>
      <c r="D42" s="117">
        <f t="shared" si="0"/>
        <v>411</v>
      </c>
      <c r="E42" s="77">
        <v>411</v>
      </c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</row>
    <row r="43" spans="1:35" ht="15" x14ac:dyDescent="0.25">
      <c r="A43" s="53">
        <v>35</v>
      </c>
      <c r="B43" s="54">
        <v>8.3000000000000007</v>
      </c>
      <c r="C43" s="54">
        <v>8.4499999999999993</v>
      </c>
      <c r="D43" s="117">
        <f t="shared" si="0"/>
        <v>411</v>
      </c>
      <c r="E43" s="77">
        <v>411</v>
      </c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</row>
    <row r="44" spans="1:35" ht="15" x14ac:dyDescent="0.25">
      <c r="A44" s="53">
        <v>36</v>
      </c>
      <c r="B44" s="54">
        <v>8.4499999999999993</v>
      </c>
      <c r="C44" s="54">
        <v>9</v>
      </c>
      <c r="D44" s="117">
        <f t="shared" si="0"/>
        <v>411</v>
      </c>
      <c r="E44" s="77">
        <v>411</v>
      </c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</row>
    <row r="45" spans="1:35" ht="15" x14ac:dyDescent="0.25">
      <c r="A45" s="53">
        <v>37</v>
      </c>
      <c r="B45" s="54">
        <v>9</v>
      </c>
      <c r="C45" s="54">
        <v>9.15</v>
      </c>
      <c r="D45" s="117">
        <f t="shared" si="0"/>
        <v>411</v>
      </c>
      <c r="E45" s="77">
        <v>411</v>
      </c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</row>
    <row r="46" spans="1:35" ht="15" x14ac:dyDescent="0.25">
      <c r="A46" s="53">
        <v>38</v>
      </c>
      <c r="B46" s="56">
        <v>9.15</v>
      </c>
      <c r="C46" s="56">
        <v>9.3000000000000007</v>
      </c>
      <c r="D46" s="117">
        <f t="shared" si="0"/>
        <v>412</v>
      </c>
      <c r="E46" s="77">
        <v>412</v>
      </c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</row>
    <row r="47" spans="1:35" ht="15" x14ac:dyDescent="0.25">
      <c r="A47" s="53">
        <v>39</v>
      </c>
      <c r="B47" s="54">
        <v>9.3000000000000007</v>
      </c>
      <c r="C47" s="54">
        <v>9.4499999999999993</v>
      </c>
      <c r="D47" s="117">
        <f t="shared" si="0"/>
        <v>412</v>
      </c>
      <c r="E47" s="77">
        <v>412</v>
      </c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</row>
    <row r="48" spans="1:35" ht="15" x14ac:dyDescent="0.25">
      <c r="A48" s="53">
        <v>40</v>
      </c>
      <c r="B48" s="54">
        <v>9.4499999999999993</v>
      </c>
      <c r="C48" s="54">
        <v>10</v>
      </c>
      <c r="D48" s="117">
        <f t="shared" si="0"/>
        <v>414</v>
      </c>
      <c r="E48" s="77">
        <v>414</v>
      </c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</row>
    <row r="49" spans="1:35" ht="15" x14ac:dyDescent="0.25">
      <c r="A49" s="53">
        <v>41</v>
      </c>
      <c r="B49" s="54">
        <v>10</v>
      </c>
      <c r="C49" s="54">
        <v>10.15</v>
      </c>
      <c r="D49" s="117">
        <f t="shared" si="0"/>
        <v>414</v>
      </c>
      <c r="E49" s="77">
        <v>414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</row>
    <row r="50" spans="1:35" ht="15" x14ac:dyDescent="0.25">
      <c r="A50" s="53">
        <v>42</v>
      </c>
      <c r="B50" s="54">
        <v>10.15</v>
      </c>
      <c r="C50" s="54">
        <v>10.3</v>
      </c>
      <c r="D50" s="117">
        <f t="shared" si="0"/>
        <v>414</v>
      </c>
      <c r="E50" s="77">
        <v>414</v>
      </c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</row>
    <row r="51" spans="1:35" ht="15" x14ac:dyDescent="0.25">
      <c r="A51" s="53">
        <v>43</v>
      </c>
      <c r="B51" s="54">
        <v>10.3</v>
      </c>
      <c r="C51" s="54">
        <v>10.45</v>
      </c>
      <c r="D51" s="117">
        <f t="shared" si="0"/>
        <v>414</v>
      </c>
      <c r="E51" s="77">
        <v>414</v>
      </c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</row>
    <row r="52" spans="1:35" ht="15" x14ac:dyDescent="0.25">
      <c r="A52" s="53">
        <v>44</v>
      </c>
      <c r="B52" s="54">
        <v>10.45</v>
      </c>
      <c r="C52" s="54">
        <v>11</v>
      </c>
      <c r="D52" s="117">
        <f t="shared" si="0"/>
        <v>414</v>
      </c>
      <c r="E52" s="77">
        <v>414</v>
      </c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</row>
    <row r="53" spans="1:35" ht="15" x14ac:dyDescent="0.25">
      <c r="A53" s="53">
        <v>45</v>
      </c>
      <c r="B53" s="54">
        <v>11</v>
      </c>
      <c r="C53" s="54">
        <v>11.15</v>
      </c>
      <c r="D53" s="117">
        <f t="shared" si="0"/>
        <v>414</v>
      </c>
      <c r="E53" s="77">
        <v>414</v>
      </c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</row>
    <row r="54" spans="1:35" ht="15" x14ac:dyDescent="0.25">
      <c r="A54" s="53">
        <v>46</v>
      </c>
      <c r="B54" s="54">
        <v>11.15</v>
      </c>
      <c r="C54" s="54">
        <v>11.3</v>
      </c>
      <c r="D54" s="117">
        <f t="shared" si="0"/>
        <v>414</v>
      </c>
      <c r="E54" s="77">
        <v>414</v>
      </c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</row>
    <row r="55" spans="1:35" ht="15" x14ac:dyDescent="0.25">
      <c r="A55" s="53">
        <v>47</v>
      </c>
      <c r="B55" s="54">
        <v>11.3</v>
      </c>
      <c r="C55" s="54">
        <v>11.45</v>
      </c>
      <c r="D55" s="117">
        <f t="shared" si="0"/>
        <v>414</v>
      </c>
      <c r="E55" s="77">
        <v>414</v>
      </c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</row>
    <row r="56" spans="1:35" ht="15" x14ac:dyDescent="0.25">
      <c r="A56" s="53">
        <v>48</v>
      </c>
      <c r="B56" s="54">
        <v>11.45</v>
      </c>
      <c r="C56" s="54">
        <v>12</v>
      </c>
      <c r="D56" s="117">
        <f t="shared" si="0"/>
        <v>412</v>
      </c>
      <c r="E56" s="77">
        <v>412</v>
      </c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</row>
    <row r="57" spans="1:35" ht="15" x14ac:dyDescent="0.25">
      <c r="A57" s="53">
        <v>49</v>
      </c>
      <c r="B57" s="54">
        <v>12</v>
      </c>
      <c r="C57" s="54">
        <v>12.15</v>
      </c>
      <c r="D57" s="117">
        <f t="shared" si="0"/>
        <v>412</v>
      </c>
      <c r="E57" s="77">
        <v>412</v>
      </c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</row>
    <row r="58" spans="1:35" ht="15" x14ac:dyDescent="0.25">
      <c r="A58" s="53">
        <v>50</v>
      </c>
      <c r="B58" s="54">
        <v>12.15</v>
      </c>
      <c r="C58" s="54">
        <v>12.3</v>
      </c>
      <c r="D58" s="117">
        <f t="shared" si="0"/>
        <v>412</v>
      </c>
      <c r="E58" s="77">
        <v>412</v>
      </c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</row>
    <row r="59" spans="1:35" ht="15" x14ac:dyDescent="0.25">
      <c r="A59" s="53">
        <v>51</v>
      </c>
      <c r="B59" s="54">
        <v>12.3</v>
      </c>
      <c r="C59" s="54">
        <v>12.45</v>
      </c>
      <c r="D59" s="117">
        <f t="shared" si="0"/>
        <v>411</v>
      </c>
      <c r="E59" s="77">
        <v>411</v>
      </c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</row>
    <row r="60" spans="1:35" ht="15" x14ac:dyDescent="0.25">
      <c r="A60" s="53">
        <v>52</v>
      </c>
      <c r="B60" s="54">
        <v>12.45</v>
      </c>
      <c r="C60" s="54">
        <v>13</v>
      </c>
      <c r="D60" s="117">
        <f t="shared" si="0"/>
        <v>411</v>
      </c>
      <c r="E60" s="77">
        <v>411</v>
      </c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</row>
    <row r="61" spans="1:35" ht="14.25" customHeight="1" x14ac:dyDescent="0.25">
      <c r="A61" s="53">
        <v>53</v>
      </c>
      <c r="B61" s="54">
        <v>13</v>
      </c>
      <c r="C61" s="54">
        <v>13.15</v>
      </c>
      <c r="D61" s="117">
        <f t="shared" si="0"/>
        <v>408</v>
      </c>
      <c r="E61" s="77">
        <v>408</v>
      </c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</row>
    <row r="62" spans="1:35" ht="15" x14ac:dyDescent="0.25">
      <c r="A62" s="53">
        <v>54</v>
      </c>
      <c r="B62" s="54">
        <v>13.15</v>
      </c>
      <c r="C62" s="54">
        <v>13.3</v>
      </c>
      <c r="D62" s="117">
        <f t="shared" si="0"/>
        <v>408</v>
      </c>
      <c r="E62" s="77">
        <v>408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</row>
    <row r="63" spans="1:35" ht="15" x14ac:dyDescent="0.25">
      <c r="A63" s="53">
        <v>55</v>
      </c>
      <c r="B63" s="54">
        <v>13.3</v>
      </c>
      <c r="C63" s="54">
        <v>13.45</v>
      </c>
      <c r="D63" s="117">
        <f t="shared" si="0"/>
        <v>408</v>
      </c>
      <c r="E63" s="77">
        <v>408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</row>
    <row r="64" spans="1:35" ht="15" x14ac:dyDescent="0.25">
      <c r="A64" s="53">
        <v>56</v>
      </c>
      <c r="B64" s="54">
        <v>13.45</v>
      </c>
      <c r="C64" s="54">
        <v>14</v>
      </c>
      <c r="D64" s="117">
        <f t="shared" si="0"/>
        <v>409</v>
      </c>
      <c r="E64" s="77">
        <v>409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</row>
    <row r="65" spans="1:35" ht="15" x14ac:dyDescent="0.25">
      <c r="A65" s="53">
        <v>57</v>
      </c>
      <c r="B65" s="54">
        <v>14</v>
      </c>
      <c r="C65" s="54">
        <v>14.15</v>
      </c>
      <c r="D65" s="117">
        <f t="shared" si="0"/>
        <v>409</v>
      </c>
      <c r="E65" s="77">
        <v>409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</row>
    <row r="66" spans="1:35" ht="15" x14ac:dyDescent="0.25">
      <c r="A66" s="53">
        <v>58</v>
      </c>
      <c r="B66" s="54">
        <v>14.15</v>
      </c>
      <c r="C66" s="54">
        <v>14.3</v>
      </c>
      <c r="D66" s="117">
        <f t="shared" si="0"/>
        <v>409</v>
      </c>
      <c r="E66" s="77">
        <v>409</v>
      </c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</row>
    <row r="67" spans="1:35" ht="15" x14ac:dyDescent="0.25">
      <c r="A67" s="53">
        <v>59</v>
      </c>
      <c r="B67" s="54">
        <v>14.3</v>
      </c>
      <c r="C67" s="54">
        <v>14.45</v>
      </c>
      <c r="D67" s="117">
        <f t="shared" si="0"/>
        <v>409</v>
      </c>
      <c r="E67" s="77">
        <v>409</v>
      </c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</row>
    <row r="68" spans="1:35" ht="15" x14ac:dyDescent="0.25">
      <c r="A68" s="53">
        <v>60</v>
      </c>
      <c r="B68" s="54">
        <v>14.45</v>
      </c>
      <c r="C68" s="54">
        <v>15</v>
      </c>
      <c r="D68" s="117">
        <f t="shared" si="0"/>
        <v>409</v>
      </c>
      <c r="E68" s="77">
        <v>409</v>
      </c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</row>
    <row r="69" spans="1:35" ht="15" x14ac:dyDescent="0.25">
      <c r="A69" s="53">
        <v>61</v>
      </c>
      <c r="B69" s="54">
        <v>15</v>
      </c>
      <c r="C69" s="54">
        <v>15.15</v>
      </c>
      <c r="D69" s="117">
        <f t="shared" si="0"/>
        <v>408</v>
      </c>
      <c r="E69" s="77">
        <v>408</v>
      </c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</row>
    <row r="70" spans="1:35" ht="15" x14ac:dyDescent="0.25">
      <c r="A70" s="53">
        <v>62</v>
      </c>
      <c r="B70" s="54">
        <v>15.15</v>
      </c>
      <c r="C70" s="54">
        <v>15.3</v>
      </c>
      <c r="D70" s="117">
        <f t="shared" si="0"/>
        <v>408</v>
      </c>
      <c r="E70" s="77">
        <v>408</v>
      </c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</row>
    <row r="71" spans="1:35" ht="15" x14ac:dyDescent="0.25">
      <c r="A71" s="53">
        <v>63</v>
      </c>
      <c r="B71" s="54">
        <v>15.3</v>
      </c>
      <c r="C71" s="54">
        <v>15.45</v>
      </c>
      <c r="D71" s="117">
        <f t="shared" si="0"/>
        <v>408</v>
      </c>
      <c r="E71" s="77">
        <v>408</v>
      </c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</row>
    <row r="72" spans="1:35" ht="15" x14ac:dyDescent="0.25">
      <c r="A72" s="53">
        <v>64</v>
      </c>
      <c r="B72" s="54">
        <v>15.45</v>
      </c>
      <c r="C72" s="54">
        <v>16</v>
      </c>
      <c r="D72" s="117">
        <f t="shared" si="0"/>
        <v>408</v>
      </c>
      <c r="E72" s="77">
        <v>408</v>
      </c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</row>
    <row r="73" spans="1:35" ht="15" x14ac:dyDescent="0.25">
      <c r="A73" s="53">
        <v>65</v>
      </c>
      <c r="B73" s="54">
        <v>16</v>
      </c>
      <c r="C73" s="54">
        <v>16.149999999999999</v>
      </c>
      <c r="D73" s="117">
        <f t="shared" si="0"/>
        <v>408</v>
      </c>
      <c r="E73" s="77">
        <v>408</v>
      </c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</row>
    <row r="74" spans="1:35" ht="15" x14ac:dyDescent="0.25">
      <c r="A74" s="53">
        <v>66</v>
      </c>
      <c r="B74" s="54">
        <v>16.149999999999999</v>
      </c>
      <c r="C74" s="54">
        <v>16.3</v>
      </c>
      <c r="D74" s="117">
        <f t="shared" ref="D74:D104" si="1">SUM(E74:AI74)</f>
        <v>408</v>
      </c>
      <c r="E74" s="77">
        <v>408</v>
      </c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</row>
    <row r="75" spans="1:35" ht="15" x14ac:dyDescent="0.25">
      <c r="A75" s="53">
        <v>67</v>
      </c>
      <c r="B75" s="54">
        <v>16.3</v>
      </c>
      <c r="C75" s="54">
        <v>16.45</v>
      </c>
      <c r="D75" s="117">
        <f t="shared" si="1"/>
        <v>409</v>
      </c>
      <c r="E75" s="77">
        <v>409</v>
      </c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</row>
    <row r="76" spans="1:35" ht="15" x14ac:dyDescent="0.25">
      <c r="A76" s="53">
        <v>68</v>
      </c>
      <c r="B76" s="54">
        <v>16.45</v>
      </c>
      <c r="C76" s="54">
        <v>17</v>
      </c>
      <c r="D76" s="117">
        <f t="shared" si="1"/>
        <v>409</v>
      </c>
      <c r="E76" s="77">
        <v>409</v>
      </c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</row>
    <row r="77" spans="1:35" ht="15" x14ac:dyDescent="0.25">
      <c r="A77" s="53">
        <v>69</v>
      </c>
      <c r="B77" s="54">
        <v>17</v>
      </c>
      <c r="C77" s="54">
        <v>17.149999999999999</v>
      </c>
      <c r="D77" s="117">
        <f t="shared" si="1"/>
        <v>409</v>
      </c>
      <c r="E77" s="77">
        <v>409</v>
      </c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</row>
    <row r="78" spans="1:35" ht="15" x14ac:dyDescent="0.25">
      <c r="A78" s="53">
        <v>70</v>
      </c>
      <c r="B78" s="54">
        <v>17.149999999999999</v>
      </c>
      <c r="C78" s="54">
        <v>17.3</v>
      </c>
      <c r="D78" s="117">
        <f t="shared" si="1"/>
        <v>409</v>
      </c>
      <c r="E78" s="77">
        <v>409</v>
      </c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</row>
    <row r="79" spans="1:35" ht="15" x14ac:dyDescent="0.25">
      <c r="A79" s="53">
        <v>71</v>
      </c>
      <c r="B79" s="54">
        <v>17.3</v>
      </c>
      <c r="C79" s="54">
        <v>17.45</v>
      </c>
      <c r="D79" s="117">
        <f t="shared" si="1"/>
        <v>409</v>
      </c>
      <c r="E79" s="77">
        <v>409</v>
      </c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</row>
    <row r="80" spans="1:35" ht="15" x14ac:dyDescent="0.25">
      <c r="A80" s="53">
        <v>72</v>
      </c>
      <c r="B80" s="54">
        <v>17.45</v>
      </c>
      <c r="C80" s="54">
        <v>18</v>
      </c>
      <c r="D80" s="117">
        <f t="shared" si="1"/>
        <v>409</v>
      </c>
      <c r="E80" s="77">
        <v>409</v>
      </c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</row>
    <row r="81" spans="1:35" ht="15" x14ac:dyDescent="0.25">
      <c r="A81" s="53">
        <v>73</v>
      </c>
      <c r="B81" s="54">
        <v>18</v>
      </c>
      <c r="C81" s="54">
        <v>18.149999999999999</v>
      </c>
      <c r="D81" s="117">
        <f t="shared" si="1"/>
        <v>459</v>
      </c>
      <c r="E81" s="77">
        <v>459</v>
      </c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</row>
    <row r="82" spans="1:35" ht="15" x14ac:dyDescent="0.25">
      <c r="A82" s="53">
        <v>74</v>
      </c>
      <c r="B82" s="54">
        <v>18.149999999999999</v>
      </c>
      <c r="C82" s="54">
        <v>18.3</v>
      </c>
      <c r="D82" s="117">
        <f t="shared" si="1"/>
        <v>510</v>
      </c>
      <c r="E82" s="77">
        <v>510</v>
      </c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</row>
    <row r="83" spans="1:35" ht="15" x14ac:dyDescent="0.25">
      <c r="A83" s="53">
        <v>75</v>
      </c>
      <c r="B83" s="54">
        <v>18.3</v>
      </c>
      <c r="C83" s="54">
        <v>18.45</v>
      </c>
      <c r="D83" s="117">
        <f t="shared" si="1"/>
        <v>572</v>
      </c>
      <c r="E83" s="77">
        <v>572</v>
      </c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</row>
    <row r="84" spans="1:35" ht="15" x14ac:dyDescent="0.25">
      <c r="A84" s="53">
        <v>76</v>
      </c>
      <c r="B84" s="54">
        <v>18.45</v>
      </c>
      <c r="C84" s="54">
        <v>19</v>
      </c>
      <c r="D84" s="117">
        <f t="shared" si="1"/>
        <v>617</v>
      </c>
      <c r="E84" s="77">
        <v>617</v>
      </c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</row>
    <row r="85" spans="1:35" ht="15" x14ac:dyDescent="0.25">
      <c r="A85" s="53">
        <v>77</v>
      </c>
      <c r="B85" s="54">
        <v>19</v>
      </c>
      <c r="C85" s="54">
        <v>19.149999999999999</v>
      </c>
      <c r="D85" s="117">
        <f t="shared" si="1"/>
        <v>617</v>
      </c>
      <c r="E85" s="77">
        <v>617</v>
      </c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</row>
    <row r="86" spans="1:35" ht="15" x14ac:dyDescent="0.25">
      <c r="A86" s="53">
        <v>78</v>
      </c>
      <c r="B86" s="54">
        <v>19.149999999999999</v>
      </c>
      <c r="C86" s="54">
        <v>19.3</v>
      </c>
      <c r="D86" s="117">
        <f t="shared" si="1"/>
        <v>617</v>
      </c>
      <c r="E86" s="77">
        <v>617</v>
      </c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</row>
    <row r="87" spans="1:35" ht="15" x14ac:dyDescent="0.25">
      <c r="A87" s="53">
        <v>79</v>
      </c>
      <c r="B87" s="54">
        <v>19.3</v>
      </c>
      <c r="C87" s="54">
        <v>19.45</v>
      </c>
      <c r="D87" s="117">
        <f t="shared" si="1"/>
        <v>617</v>
      </c>
      <c r="E87" s="77">
        <v>617</v>
      </c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</row>
    <row r="88" spans="1:35" ht="15" x14ac:dyDescent="0.25">
      <c r="A88" s="53">
        <v>80</v>
      </c>
      <c r="B88" s="54">
        <v>19.45</v>
      </c>
      <c r="C88" s="54">
        <v>20</v>
      </c>
      <c r="D88" s="117">
        <f t="shared" si="1"/>
        <v>617</v>
      </c>
      <c r="E88" s="77">
        <v>617</v>
      </c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</row>
    <row r="89" spans="1:35" ht="15" x14ac:dyDescent="0.25">
      <c r="A89" s="53">
        <v>81</v>
      </c>
      <c r="B89" s="54">
        <v>20</v>
      </c>
      <c r="C89" s="54">
        <v>20.149999999999999</v>
      </c>
      <c r="D89" s="117">
        <f t="shared" si="1"/>
        <v>617</v>
      </c>
      <c r="E89" s="77">
        <v>617</v>
      </c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</row>
    <row r="90" spans="1:35" ht="15" x14ac:dyDescent="0.25">
      <c r="A90" s="53">
        <v>82</v>
      </c>
      <c r="B90" s="54">
        <v>20.149999999999999</v>
      </c>
      <c r="C90" s="54">
        <v>20.3</v>
      </c>
      <c r="D90" s="117">
        <f t="shared" si="1"/>
        <v>617</v>
      </c>
      <c r="E90" s="77">
        <v>617</v>
      </c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</row>
    <row r="91" spans="1:35" ht="15" x14ac:dyDescent="0.25">
      <c r="A91" s="53">
        <v>83</v>
      </c>
      <c r="B91" s="54">
        <v>20.3</v>
      </c>
      <c r="C91" s="54">
        <v>20.45</v>
      </c>
      <c r="D91" s="117">
        <f t="shared" si="1"/>
        <v>617</v>
      </c>
      <c r="E91" s="77">
        <v>617</v>
      </c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</row>
    <row r="92" spans="1:35" ht="15" x14ac:dyDescent="0.25">
      <c r="A92" s="53">
        <v>84</v>
      </c>
      <c r="B92" s="54">
        <v>20.45</v>
      </c>
      <c r="C92" s="54">
        <v>21</v>
      </c>
      <c r="D92" s="117">
        <f t="shared" si="1"/>
        <v>617</v>
      </c>
      <c r="E92" s="77">
        <v>617</v>
      </c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</row>
    <row r="93" spans="1:35" ht="15" x14ac:dyDescent="0.25">
      <c r="A93" s="53">
        <v>85</v>
      </c>
      <c r="B93" s="54">
        <v>21</v>
      </c>
      <c r="C93" s="54">
        <v>21.15</v>
      </c>
      <c r="D93" s="117">
        <f t="shared" si="1"/>
        <v>617</v>
      </c>
      <c r="E93" s="77">
        <v>617</v>
      </c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</row>
    <row r="94" spans="1:35" ht="15" x14ac:dyDescent="0.25">
      <c r="A94" s="53">
        <v>86</v>
      </c>
      <c r="B94" s="54">
        <v>21.15</v>
      </c>
      <c r="C94" s="54">
        <v>21.3</v>
      </c>
      <c r="D94" s="117">
        <f t="shared" si="1"/>
        <v>617</v>
      </c>
      <c r="E94" s="77">
        <v>617</v>
      </c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</row>
    <row r="95" spans="1:35" ht="15" x14ac:dyDescent="0.25">
      <c r="A95" s="53">
        <v>87</v>
      </c>
      <c r="B95" s="54">
        <v>21.3</v>
      </c>
      <c r="C95" s="54">
        <v>21.45</v>
      </c>
      <c r="D95" s="117">
        <f t="shared" si="1"/>
        <v>617</v>
      </c>
      <c r="E95" s="77">
        <v>617</v>
      </c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</row>
    <row r="96" spans="1:35" ht="15" x14ac:dyDescent="0.25">
      <c r="A96" s="53">
        <v>88</v>
      </c>
      <c r="B96" s="54">
        <v>21.45</v>
      </c>
      <c r="C96" s="54">
        <v>22</v>
      </c>
      <c r="D96" s="117">
        <f t="shared" si="1"/>
        <v>617</v>
      </c>
      <c r="E96" s="77">
        <v>617</v>
      </c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</row>
    <row r="97" spans="1:35" ht="15" x14ac:dyDescent="0.25">
      <c r="A97" s="53">
        <v>89</v>
      </c>
      <c r="B97" s="54">
        <v>22</v>
      </c>
      <c r="C97" s="54">
        <v>22.15</v>
      </c>
      <c r="D97" s="117">
        <f t="shared" si="1"/>
        <v>617</v>
      </c>
      <c r="E97" s="77">
        <v>617</v>
      </c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</row>
    <row r="98" spans="1:35" ht="15" x14ac:dyDescent="0.25">
      <c r="A98" s="53">
        <v>90</v>
      </c>
      <c r="B98" s="54">
        <v>22.15</v>
      </c>
      <c r="C98" s="54">
        <v>22.3</v>
      </c>
      <c r="D98" s="117">
        <f t="shared" si="1"/>
        <v>617</v>
      </c>
      <c r="E98" s="77">
        <v>617</v>
      </c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</row>
    <row r="99" spans="1:35" ht="15" x14ac:dyDescent="0.25">
      <c r="A99" s="53">
        <v>91</v>
      </c>
      <c r="B99" s="54">
        <v>22.3</v>
      </c>
      <c r="C99" s="54">
        <v>22.45</v>
      </c>
      <c r="D99" s="117">
        <f t="shared" si="1"/>
        <v>617</v>
      </c>
      <c r="E99" s="77">
        <v>617</v>
      </c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</row>
    <row r="100" spans="1:35" ht="15" x14ac:dyDescent="0.25">
      <c r="A100" s="53">
        <v>92</v>
      </c>
      <c r="B100" s="54">
        <v>22.45</v>
      </c>
      <c r="C100" s="54">
        <v>23</v>
      </c>
      <c r="D100" s="117">
        <f t="shared" si="1"/>
        <v>617</v>
      </c>
      <c r="E100" s="77">
        <v>617</v>
      </c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</row>
    <row r="101" spans="1:35" ht="15" x14ac:dyDescent="0.25">
      <c r="A101" s="53">
        <v>93</v>
      </c>
      <c r="B101" s="54">
        <v>23</v>
      </c>
      <c r="C101" s="54">
        <v>23.15</v>
      </c>
      <c r="D101" s="117">
        <f t="shared" si="1"/>
        <v>617</v>
      </c>
      <c r="E101" s="77">
        <v>617</v>
      </c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</row>
    <row r="102" spans="1:35" ht="15" x14ac:dyDescent="0.25">
      <c r="A102" s="53">
        <v>94</v>
      </c>
      <c r="B102" s="54">
        <v>23.15</v>
      </c>
      <c r="C102" s="54">
        <v>23.3</v>
      </c>
      <c r="D102" s="117">
        <f t="shared" si="1"/>
        <v>617</v>
      </c>
      <c r="E102" s="77">
        <v>617</v>
      </c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</row>
    <row r="103" spans="1:35" ht="15" x14ac:dyDescent="0.25">
      <c r="A103" s="53">
        <v>95</v>
      </c>
      <c r="B103" s="54">
        <v>23.3</v>
      </c>
      <c r="C103" s="54">
        <v>23.45</v>
      </c>
      <c r="D103" s="117">
        <f t="shared" si="1"/>
        <v>617</v>
      </c>
      <c r="E103" s="77">
        <v>617</v>
      </c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</row>
    <row r="104" spans="1:35" ht="15" x14ac:dyDescent="0.25">
      <c r="A104" s="53">
        <v>96</v>
      </c>
      <c r="B104" s="54">
        <v>23.45</v>
      </c>
      <c r="C104" s="54">
        <v>24</v>
      </c>
      <c r="D104" s="117">
        <f t="shared" si="1"/>
        <v>617</v>
      </c>
      <c r="E104" s="77">
        <v>617</v>
      </c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</row>
    <row r="108" spans="1:35" x14ac:dyDescent="0.25">
      <c r="D108" s="63"/>
      <c r="E108" s="63"/>
    </row>
    <row r="290" spans="1:13" x14ac:dyDescent="0.25">
      <c r="A290" s="34">
        <f>SUM(E9:L104)</f>
        <v>48191</v>
      </c>
    </row>
    <row r="291" spans="1:13" x14ac:dyDescent="0.25">
      <c r="A291" s="34">
        <v>1</v>
      </c>
    </row>
    <row r="292" spans="1:13" x14ac:dyDescent="0.25">
      <c r="A292" s="34">
        <v>1</v>
      </c>
      <c r="B292" s="34">
        <v>521</v>
      </c>
      <c r="C292" s="34">
        <v>281</v>
      </c>
      <c r="D292" s="34">
        <v>3</v>
      </c>
      <c r="E292" s="34">
        <v>180</v>
      </c>
      <c r="F292" s="34">
        <v>0</v>
      </c>
      <c r="G292" s="34">
        <v>0</v>
      </c>
      <c r="H292" s="34">
        <v>45</v>
      </c>
      <c r="I292" s="34">
        <v>12</v>
      </c>
      <c r="J292" s="34">
        <v>0</v>
      </c>
    </row>
    <row r="293" spans="1:13" x14ac:dyDescent="0.25">
      <c r="A293" s="34">
        <v>0</v>
      </c>
      <c r="B293" s="57">
        <f>D9</f>
        <v>617</v>
      </c>
      <c r="C293" s="57">
        <f t="shared" ref="C293:M308" si="2">E9</f>
        <v>617</v>
      </c>
      <c r="D293" s="57">
        <f t="shared" si="2"/>
        <v>0</v>
      </c>
      <c r="E293" s="57">
        <f t="shared" si="2"/>
        <v>0</v>
      </c>
      <c r="F293" s="57">
        <f t="shared" si="2"/>
        <v>0</v>
      </c>
      <c r="G293" s="57">
        <f t="shared" si="2"/>
        <v>0</v>
      </c>
      <c r="H293" s="57">
        <f t="shared" si="2"/>
        <v>0</v>
      </c>
      <c r="I293" s="57">
        <f t="shared" ref="I293:J324" si="3">L9</f>
        <v>0</v>
      </c>
      <c r="J293" s="57">
        <f t="shared" si="3"/>
        <v>0</v>
      </c>
      <c r="K293" s="57"/>
      <c r="L293" s="57">
        <f t="shared" si="2"/>
        <v>0</v>
      </c>
      <c r="M293" s="57">
        <f t="shared" si="2"/>
        <v>0</v>
      </c>
    </row>
    <row r="294" spans="1:13" x14ac:dyDescent="0.25">
      <c r="A294" s="34">
        <v>0</v>
      </c>
      <c r="B294" s="57">
        <f t="shared" ref="B294:M330" si="4">D10</f>
        <v>617</v>
      </c>
      <c r="C294" s="57">
        <f t="shared" si="2"/>
        <v>617</v>
      </c>
      <c r="D294" s="57">
        <f t="shared" si="2"/>
        <v>0</v>
      </c>
      <c r="E294" s="57">
        <f t="shared" si="2"/>
        <v>0</v>
      </c>
      <c r="F294" s="57">
        <f t="shared" si="2"/>
        <v>0</v>
      </c>
      <c r="G294" s="57">
        <f t="shared" si="2"/>
        <v>0</v>
      </c>
      <c r="H294" s="57">
        <f t="shared" si="2"/>
        <v>0</v>
      </c>
      <c r="I294" s="57">
        <f t="shared" si="3"/>
        <v>0</v>
      </c>
      <c r="J294" s="57">
        <f t="shared" si="3"/>
        <v>0</v>
      </c>
      <c r="K294" s="57"/>
      <c r="L294" s="57">
        <f t="shared" si="2"/>
        <v>0</v>
      </c>
      <c r="M294" s="57">
        <f t="shared" si="2"/>
        <v>0</v>
      </c>
    </row>
    <row r="295" spans="1:13" x14ac:dyDescent="0.25">
      <c r="A295" s="34">
        <v>0</v>
      </c>
      <c r="B295" s="57">
        <f t="shared" si="4"/>
        <v>617</v>
      </c>
      <c r="C295" s="57">
        <f t="shared" si="2"/>
        <v>617</v>
      </c>
      <c r="D295" s="57">
        <f t="shared" si="2"/>
        <v>0</v>
      </c>
      <c r="E295" s="57">
        <f t="shared" si="2"/>
        <v>0</v>
      </c>
      <c r="F295" s="57">
        <f t="shared" si="2"/>
        <v>0</v>
      </c>
      <c r="G295" s="57">
        <f t="shared" si="2"/>
        <v>0</v>
      </c>
      <c r="H295" s="57">
        <f t="shared" si="2"/>
        <v>0</v>
      </c>
      <c r="I295" s="57">
        <f t="shared" si="3"/>
        <v>0</v>
      </c>
      <c r="J295" s="57">
        <f t="shared" si="3"/>
        <v>0</v>
      </c>
      <c r="K295" s="57"/>
      <c r="L295" s="57">
        <f t="shared" si="2"/>
        <v>0</v>
      </c>
      <c r="M295" s="57">
        <f t="shared" si="2"/>
        <v>0</v>
      </c>
    </row>
    <row r="296" spans="1:13" x14ac:dyDescent="0.25">
      <c r="A296" s="34">
        <v>0</v>
      </c>
      <c r="B296" s="57">
        <f t="shared" si="4"/>
        <v>609</v>
      </c>
      <c r="C296" s="57">
        <f t="shared" si="2"/>
        <v>609</v>
      </c>
      <c r="D296" s="57">
        <f t="shared" si="2"/>
        <v>0</v>
      </c>
      <c r="E296" s="57">
        <f t="shared" si="2"/>
        <v>0</v>
      </c>
      <c r="F296" s="57">
        <f t="shared" si="2"/>
        <v>0</v>
      </c>
      <c r="G296" s="57">
        <f t="shared" si="2"/>
        <v>0</v>
      </c>
      <c r="H296" s="57">
        <f t="shared" si="2"/>
        <v>0</v>
      </c>
      <c r="I296" s="57">
        <f t="shared" si="3"/>
        <v>0</v>
      </c>
      <c r="J296" s="57">
        <f t="shared" si="3"/>
        <v>0</v>
      </c>
      <c r="K296" s="57"/>
      <c r="L296" s="57">
        <f t="shared" si="2"/>
        <v>0</v>
      </c>
      <c r="M296" s="57">
        <f t="shared" si="2"/>
        <v>0</v>
      </c>
    </row>
    <row r="297" spans="1:13" x14ac:dyDescent="0.25">
      <c r="A297" s="34">
        <v>0</v>
      </c>
      <c r="B297" s="57">
        <f t="shared" si="4"/>
        <v>606</v>
      </c>
      <c r="C297" s="57">
        <f t="shared" si="2"/>
        <v>606</v>
      </c>
      <c r="D297" s="57">
        <f t="shared" si="2"/>
        <v>0</v>
      </c>
      <c r="E297" s="57">
        <f t="shared" si="2"/>
        <v>0</v>
      </c>
      <c r="F297" s="57">
        <f t="shared" si="2"/>
        <v>0</v>
      </c>
      <c r="G297" s="57">
        <f t="shared" si="2"/>
        <v>0</v>
      </c>
      <c r="H297" s="57">
        <f t="shared" si="2"/>
        <v>0</v>
      </c>
      <c r="I297" s="57">
        <f t="shared" si="3"/>
        <v>0</v>
      </c>
      <c r="J297" s="57">
        <f t="shared" si="3"/>
        <v>0</v>
      </c>
      <c r="K297" s="57"/>
      <c r="L297" s="57">
        <f t="shared" si="2"/>
        <v>0</v>
      </c>
      <c r="M297" s="57">
        <f t="shared" si="2"/>
        <v>0</v>
      </c>
    </row>
    <row r="298" spans="1:13" x14ac:dyDescent="0.25">
      <c r="A298" s="34">
        <v>0</v>
      </c>
      <c r="B298" s="57">
        <f t="shared" si="4"/>
        <v>606</v>
      </c>
      <c r="C298" s="57">
        <f t="shared" si="2"/>
        <v>606</v>
      </c>
      <c r="D298" s="57">
        <f t="shared" si="2"/>
        <v>0</v>
      </c>
      <c r="E298" s="57">
        <f t="shared" si="2"/>
        <v>0</v>
      </c>
      <c r="F298" s="57">
        <f t="shared" si="2"/>
        <v>0</v>
      </c>
      <c r="G298" s="57">
        <f t="shared" si="2"/>
        <v>0</v>
      </c>
      <c r="H298" s="57">
        <f t="shared" si="2"/>
        <v>0</v>
      </c>
      <c r="I298" s="57">
        <f t="shared" si="3"/>
        <v>0</v>
      </c>
      <c r="J298" s="57">
        <f t="shared" si="3"/>
        <v>0</v>
      </c>
      <c r="K298" s="57"/>
      <c r="L298" s="57">
        <f t="shared" si="2"/>
        <v>0</v>
      </c>
      <c r="M298" s="57">
        <f t="shared" si="2"/>
        <v>0</v>
      </c>
    </row>
    <row r="299" spans="1:13" x14ac:dyDescent="0.25">
      <c r="A299" s="34">
        <v>0</v>
      </c>
      <c r="B299" s="57">
        <f t="shared" si="4"/>
        <v>617</v>
      </c>
      <c r="C299" s="57">
        <f t="shared" si="2"/>
        <v>617</v>
      </c>
      <c r="D299" s="57">
        <f t="shared" si="2"/>
        <v>0</v>
      </c>
      <c r="E299" s="57">
        <f t="shared" si="2"/>
        <v>0</v>
      </c>
      <c r="F299" s="57">
        <f t="shared" si="2"/>
        <v>0</v>
      </c>
      <c r="G299" s="57">
        <f t="shared" si="2"/>
        <v>0</v>
      </c>
      <c r="H299" s="57">
        <f t="shared" si="2"/>
        <v>0</v>
      </c>
      <c r="I299" s="57">
        <f t="shared" si="3"/>
        <v>0</v>
      </c>
      <c r="J299" s="57">
        <f t="shared" si="3"/>
        <v>0</v>
      </c>
      <c r="K299" s="57"/>
      <c r="L299" s="57">
        <f t="shared" si="2"/>
        <v>0</v>
      </c>
      <c r="M299" s="57">
        <f t="shared" si="2"/>
        <v>0</v>
      </c>
    </row>
    <row r="300" spans="1:13" x14ac:dyDescent="0.25">
      <c r="A300" s="34">
        <v>0</v>
      </c>
      <c r="B300" s="57">
        <f t="shared" si="4"/>
        <v>617</v>
      </c>
      <c r="C300" s="57">
        <f t="shared" si="2"/>
        <v>617</v>
      </c>
      <c r="D300" s="57">
        <f t="shared" si="2"/>
        <v>0</v>
      </c>
      <c r="E300" s="57">
        <f t="shared" si="2"/>
        <v>0</v>
      </c>
      <c r="F300" s="57">
        <f t="shared" si="2"/>
        <v>0</v>
      </c>
      <c r="G300" s="57">
        <f t="shared" si="2"/>
        <v>0</v>
      </c>
      <c r="H300" s="57">
        <f t="shared" si="2"/>
        <v>0</v>
      </c>
      <c r="I300" s="57">
        <f t="shared" si="3"/>
        <v>0</v>
      </c>
      <c r="J300" s="57">
        <f t="shared" si="3"/>
        <v>0</v>
      </c>
      <c r="K300" s="57"/>
      <c r="L300" s="57">
        <f t="shared" si="2"/>
        <v>0</v>
      </c>
      <c r="M300" s="57">
        <f t="shared" si="2"/>
        <v>0</v>
      </c>
    </row>
    <row r="301" spans="1:13" x14ac:dyDescent="0.25">
      <c r="A301" s="34">
        <v>0</v>
      </c>
      <c r="B301" s="57">
        <f t="shared" si="4"/>
        <v>567</v>
      </c>
      <c r="C301" s="57">
        <f t="shared" si="2"/>
        <v>567</v>
      </c>
      <c r="D301" s="57">
        <f t="shared" si="2"/>
        <v>0</v>
      </c>
      <c r="E301" s="57">
        <f t="shared" si="2"/>
        <v>0</v>
      </c>
      <c r="F301" s="57">
        <f t="shared" si="2"/>
        <v>0</v>
      </c>
      <c r="G301" s="57">
        <f t="shared" si="2"/>
        <v>0</v>
      </c>
      <c r="H301" s="57">
        <f t="shared" si="2"/>
        <v>0</v>
      </c>
      <c r="I301" s="57">
        <f t="shared" si="3"/>
        <v>0</v>
      </c>
      <c r="J301" s="57">
        <f t="shared" si="3"/>
        <v>0</v>
      </c>
      <c r="K301" s="57"/>
      <c r="L301" s="57">
        <f t="shared" si="2"/>
        <v>0</v>
      </c>
      <c r="M301" s="57">
        <f t="shared" si="2"/>
        <v>0</v>
      </c>
    </row>
    <row r="302" spans="1:13" x14ac:dyDescent="0.25">
      <c r="A302" s="34">
        <v>0</v>
      </c>
      <c r="B302" s="57">
        <f t="shared" si="4"/>
        <v>565</v>
      </c>
      <c r="C302" s="57">
        <f t="shared" si="2"/>
        <v>565</v>
      </c>
      <c r="D302" s="57">
        <f t="shared" si="2"/>
        <v>0</v>
      </c>
      <c r="E302" s="57">
        <f t="shared" si="2"/>
        <v>0</v>
      </c>
      <c r="F302" s="57">
        <f t="shared" si="2"/>
        <v>0</v>
      </c>
      <c r="G302" s="57">
        <f t="shared" si="2"/>
        <v>0</v>
      </c>
      <c r="H302" s="57">
        <f t="shared" si="2"/>
        <v>0</v>
      </c>
      <c r="I302" s="57">
        <f t="shared" si="3"/>
        <v>0</v>
      </c>
      <c r="J302" s="57">
        <f t="shared" si="3"/>
        <v>0</v>
      </c>
      <c r="K302" s="57"/>
      <c r="L302" s="57">
        <f t="shared" si="2"/>
        <v>0</v>
      </c>
      <c r="M302" s="57">
        <f t="shared" si="2"/>
        <v>0</v>
      </c>
    </row>
    <row r="303" spans="1:13" x14ac:dyDescent="0.25">
      <c r="A303" s="34">
        <v>0</v>
      </c>
      <c r="B303" s="57">
        <f t="shared" si="4"/>
        <v>467</v>
      </c>
      <c r="C303" s="57">
        <f t="shared" si="2"/>
        <v>467</v>
      </c>
      <c r="D303" s="57">
        <f t="shared" si="2"/>
        <v>0</v>
      </c>
      <c r="E303" s="57">
        <f t="shared" si="2"/>
        <v>0</v>
      </c>
      <c r="F303" s="57">
        <f t="shared" si="2"/>
        <v>0</v>
      </c>
      <c r="G303" s="57">
        <f t="shared" si="2"/>
        <v>0</v>
      </c>
      <c r="H303" s="57">
        <f t="shared" si="2"/>
        <v>0</v>
      </c>
      <c r="I303" s="57">
        <f t="shared" si="3"/>
        <v>0</v>
      </c>
      <c r="J303" s="57">
        <f t="shared" si="3"/>
        <v>0</v>
      </c>
      <c r="K303" s="57"/>
      <c r="L303" s="57">
        <f t="shared" si="2"/>
        <v>0</v>
      </c>
      <c r="M303" s="57">
        <f t="shared" si="2"/>
        <v>0</v>
      </c>
    </row>
    <row r="304" spans="1:13" x14ac:dyDescent="0.25">
      <c r="A304" s="34">
        <v>0</v>
      </c>
      <c r="B304" s="57">
        <f t="shared" si="4"/>
        <v>465</v>
      </c>
      <c r="C304" s="57">
        <f t="shared" si="2"/>
        <v>465</v>
      </c>
      <c r="D304" s="57">
        <f t="shared" si="2"/>
        <v>0</v>
      </c>
      <c r="E304" s="57">
        <f t="shared" si="2"/>
        <v>0</v>
      </c>
      <c r="F304" s="57">
        <f t="shared" si="2"/>
        <v>0</v>
      </c>
      <c r="G304" s="57">
        <f t="shared" si="2"/>
        <v>0</v>
      </c>
      <c r="H304" s="57">
        <f t="shared" si="2"/>
        <v>0</v>
      </c>
      <c r="I304" s="57">
        <f t="shared" si="3"/>
        <v>0</v>
      </c>
      <c r="J304" s="57">
        <f t="shared" si="3"/>
        <v>0</v>
      </c>
      <c r="K304" s="57"/>
      <c r="L304" s="57">
        <f t="shared" si="2"/>
        <v>0</v>
      </c>
      <c r="M304" s="57">
        <f t="shared" si="2"/>
        <v>0</v>
      </c>
    </row>
    <row r="305" spans="1:13" x14ac:dyDescent="0.25">
      <c r="A305" s="34">
        <v>0</v>
      </c>
      <c r="B305" s="57">
        <f t="shared" si="4"/>
        <v>465</v>
      </c>
      <c r="C305" s="57">
        <f t="shared" si="2"/>
        <v>465</v>
      </c>
      <c r="D305" s="57">
        <f t="shared" si="2"/>
        <v>0</v>
      </c>
      <c r="E305" s="57">
        <f t="shared" si="2"/>
        <v>0</v>
      </c>
      <c r="F305" s="57">
        <f t="shared" si="2"/>
        <v>0</v>
      </c>
      <c r="G305" s="57">
        <f t="shared" si="2"/>
        <v>0</v>
      </c>
      <c r="H305" s="57">
        <f t="shared" si="2"/>
        <v>0</v>
      </c>
      <c r="I305" s="57">
        <f t="shared" si="3"/>
        <v>0</v>
      </c>
      <c r="J305" s="57">
        <f t="shared" si="3"/>
        <v>0</v>
      </c>
      <c r="K305" s="57"/>
      <c r="L305" s="57">
        <f t="shared" si="2"/>
        <v>0</v>
      </c>
      <c r="M305" s="57">
        <f t="shared" si="2"/>
        <v>0</v>
      </c>
    </row>
    <row r="306" spans="1:13" x14ac:dyDescent="0.25">
      <c r="A306" s="34">
        <v>0</v>
      </c>
      <c r="B306" s="57">
        <f t="shared" si="4"/>
        <v>465</v>
      </c>
      <c r="C306" s="57">
        <f t="shared" si="2"/>
        <v>465</v>
      </c>
      <c r="D306" s="57">
        <f t="shared" si="2"/>
        <v>0</v>
      </c>
      <c r="E306" s="57">
        <f t="shared" si="2"/>
        <v>0</v>
      </c>
      <c r="F306" s="57">
        <f t="shared" si="2"/>
        <v>0</v>
      </c>
      <c r="G306" s="57">
        <f t="shared" si="2"/>
        <v>0</v>
      </c>
      <c r="H306" s="57">
        <f t="shared" si="2"/>
        <v>0</v>
      </c>
      <c r="I306" s="57">
        <f t="shared" si="3"/>
        <v>0</v>
      </c>
      <c r="J306" s="57">
        <f t="shared" si="3"/>
        <v>0</v>
      </c>
      <c r="K306" s="57"/>
      <c r="L306" s="57">
        <f t="shared" si="2"/>
        <v>0</v>
      </c>
      <c r="M306" s="57">
        <f t="shared" si="2"/>
        <v>0</v>
      </c>
    </row>
    <row r="307" spans="1:13" x14ac:dyDescent="0.25">
      <c r="A307" s="34">
        <v>0</v>
      </c>
      <c r="B307" s="57">
        <f t="shared" si="4"/>
        <v>465</v>
      </c>
      <c r="C307" s="57">
        <f t="shared" si="2"/>
        <v>465</v>
      </c>
      <c r="D307" s="57">
        <f t="shared" si="2"/>
        <v>0</v>
      </c>
      <c r="E307" s="57">
        <f t="shared" si="2"/>
        <v>0</v>
      </c>
      <c r="F307" s="57">
        <f t="shared" si="2"/>
        <v>0</v>
      </c>
      <c r="G307" s="57">
        <f t="shared" si="2"/>
        <v>0</v>
      </c>
      <c r="H307" s="57">
        <f t="shared" si="2"/>
        <v>0</v>
      </c>
      <c r="I307" s="57">
        <f t="shared" si="3"/>
        <v>0</v>
      </c>
      <c r="J307" s="57">
        <f t="shared" si="3"/>
        <v>0</v>
      </c>
      <c r="K307" s="57"/>
      <c r="L307" s="57">
        <f t="shared" si="2"/>
        <v>0</v>
      </c>
      <c r="M307" s="57">
        <f t="shared" si="2"/>
        <v>0</v>
      </c>
    </row>
    <row r="308" spans="1:13" x14ac:dyDescent="0.25">
      <c r="A308" s="34">
        <v>0</v>
      </c>
      <c r="B308" s="57">
        <f t="shared" si="4"/>
        <v>416</v>
      </c>
      <c r="C308" s="57">
        <f t="shared" si="2"/>
        <v>416</v>
      </c>
      <c r="D308" s="57">
        <f t="shared" si="2"/>
        <v>0</v>
      </c>
      <c r="E308" s="57">
        <f t="shared" si="2"/>
        <v>0</v>
      </c>
      <c r="F308" s="57">
        <f t="shared" si="2"/>
        <v>0</v>
      </c>
      <c r="G308" s="57">
        <f t="shared" si="2"/>
        <v>0</v>
      </c>
      <c r="H308" s="57">
        <f t="shared" si="2"/>
        <v>0</v>
      </c>
      <c r="I308" s="57">
        <f t="shared" si="3"/>
        <v>0</v>
      </c>
      <c r="J308" s="57">
        <f t="shared" si="3"/>
        <v>0</v>
      </c>
      <c r="K308" s="57"/>
      <c r="L308" s="57">
        <f t="shared" si="2"/>
        <v>0</v>
      </c>
      <c r="M308" s="57">
        <f t="shared" si="2"/>
        <v>0</v>
      </c>
    </row>
    <row r="309" spans="1:13" x14ac:dyDescent="0.25">
      <c r="A309" s="34">
        <v>0</v>
      </c>
      <c r="B309" s="57">
        <f t="shared" si="4"/>
        <v>416</v>
      </c>
      <c r="C309" s="57">
        <f t="shared" si="4"/>
        <v>416</v>
      </c>
      <c r="D309" s="57">
        <f t="shared" si="4"/>
        <v>0</v>
      </c>
      <c r="E309" s="57">
        <f t="shared" si="4"/>
        <v>0</v>
      </c>
      <c r="F309" s="57">
        <f t="shared" si="4"/>
        <v>0</v>
      </c>
      <c r="G309" s="57">
        <f t="shared" si="4"/>
        <v>0</v>
      </c>
      <c r="H309" s="57">
        <f t="shared" si="4"/>
        <v>0</v>
      </c>
      <c r="I309" s="57">
        <f t="shared" si="3"/>
        <v>0</v>
      </c>
      <c r="J309" s="57">
        <f t="shared" si="3"/>
        <v>0</v>
      </c>
      <c r="K309" s="57"/>
      <c r="L309" s="57">
        <f t="shared" si="4"/>
        <v>0</v>
      </c>
      <c r="M309" s="57">
        <f t="shared" si="4"/>
        <v>0</v>
      </c>
    </row>
    <row r="310" spans="1:13" x14ac:dyDescent="0.25">
      <c r="A310" s="34">
        <v>0</v>
      </c>
      <c r="B310" s="57">
        <f t="shared" si="4"/>
        <v>466</v>
      </c>
      <c r="C310" s="57">
        <f t="shared" si="4"/>
        <v>466</v>
      </c>
      <c r="D310" s="57">
        <f t="shared" si="4"/>
        <v>0</v>
      </c>
      <c r="E310" s="57">
        <f t="shared" si="4"/>
        <v>0</v>
      </c>
      <c r="F310" s="57">
        <f t="shared" si="4"/>
        <v>0</v>
      </c>
      <c r="G310" s="57">
        <f t="shared" si="4"/>
        <v>0</v>
      </c>
      <c r="H310" s="57">
        <f t="shared" si="4"/>
        <v>0</v>
      </c>
      <c r="I310" s="57">
        <f t="shared" si="3"/>
        <v>0</v>
      </c>
      <c r="J310" s="57">
        <f t="shared" si="3"/>
        <v>0</v>
      </c>
      <c r="K310" s="57"/>
      <c r="L310" s="57">
        <f t="shared" si="4"/>
        <v>0</v>
      </c>
      <c r="M310" s="57">
        <f t="shared" si="4"/>
        <v>0</v>
      </c>
    </row>
    <row r="311" spans="1:13" x14ac:dyDescent="0.25">
      <c r="A311" s="34">
        <v>0</v>
      </c>
      <c r="B311" s="57">
        <f t="shared" si="4"/>
        <v>466</v>
      </c>
      <c r="C311" s="57">
        <f t="shared" si="4"/>
        <v>466</v>
      </c>
      <c r="D311" s="57">
        <f t="shared" si="4"/>
        <v>0</v>
      </c>
      <c r="E311" s="57">
        <f t="shared" si="4"/>
        <v>0</v>
      </c>
      <c r="F311" s="57">
        <f t="shared" si="4"/>
        <v>0</v>
      </c>
      <c r="G311" s="57">
        <f t="shared" si="4"/>
        <v>0</v>
      </c>
      <c r="H311" s="57">
        <f t="shared" si="4"/>
        <v>0</v>
      </c>
      <c r="I311" s="57">
        <f t="shared" si="3"/>
        <v>0</v>
      </c>
      <c r="J311" s="57">
        <f t="shared" si="3"/>
        <v>0</v>
      </c>
      <c r="K311" s="57"/>
      <c r="L311" s="57">
        <f t="shared" si="4"/>
        <v>0</v>
      </c>
      <c r="M311" s="57">
        <f t="shared" si="4"/>
        <v>0</v>
      </c>
    </row>
    <row r="312" spans="1:13" x14ac:dyDescent="0.25">
      <c r="A312" s="34">
        <v>0</v>
      </c>
      <c r="B312" s="57">
        <f t="shared" si="4"/>
        <v>462</v>
      </c>
      <c r="C312" s="57">
        <f t="shared" si="4"/>
        <v>462</v>
      </c>
      <c r="D312" s="57">
        <f t="shared" si="4"/>
        <v>0</v>
      </c>
      <c r="E312" s="57">
        <f t="shared" si="4"/>
        <v>0</v>
      </c>
      <c r="F312" s="57">
        <f t="shared" si="4"/>
        <v>0</v>
      </c>
      <c r="G312" s="57">
        <f t="shared" si="4"/>
        <v>0</v>
      </c>
      <c r="H312" s="57">
        <f t="shared" si="4"/>
        <v>0</v>
      </c>
      <c r="I312" s="57">
        <f t="shared" si="3"/>
        <v>0</v>
      </c>
      <c r="J312" s="57">
        <f t="shared" si="3"/>
        <v>0</v>
      </c>
      <c r="K312" s="57"/>
      <c r="L312" s="57">
        <f t="shared" si="4"/>
        <v>0</v>
      </c>
      <c r="M312" s="57">
        <f t="shared" si="4"/>
        <v>0</v>
      </c>
    </row>
    <row r="313" spans="1:13" x14ac:dyDescent="0.25">
      <c r="A313" s="34">
        <v>0</v>
      </c>
      <c r="B313" s="57">
        <f t="shared" si="4"/>
        <v>562</v>
      </c>
      <c r="C313" s="57">
        <f t="shared" si="4"/>
        <v>562</v>
      </c>
      <c r="D313" s="57">
        <f t="shared" si="4"/>
        <v>0</v>
      </c>
      <c r="E313" s="57">
        <f t="shared" si="4"/>
        <v>0</v>
      </c>
      <c r="F313" s="57">
        <f t="shared" si="4"/>
        <v>0</v>
      </c>
      <c r="G313" s="57">
        <f t="shared" si="4"/>
        <v>0</v>
      </c>
      <c r="H313" s="57">
        <f t="shared" si="4"/>
        <v>0</v>
      </c>
      <c r="I313" s="57">
        <f t="shared" si="3"/>
        <v>0</v>
      </c>
      <c r="J313" s="57">
        <f t="shared" si="3"/>
        <v>0</v>
      </c>
      <c r="K313" s="57"/>
      <c r="L313" s="57">
        <f t="shared" si="4"/>
        <v>0</v>
      </c>
      <c r="M313" s="57">
        <f t="shared" si="4"/>
        <v>0</v>
      </c>
    </row>
    <row r="314" spans="1:13" x14ac:dyDescent="0.25">
      <c r="A314" s="34">
        <v>0</v>
      </c>
      <c r="B314" s="57">
        <f t="shared" si="4"/>
        <v>612</v>
      </c>
      <c r="C314" s="57">
        <f t="shared" si="4"/>
        <v>612</v>
      </c>
      <c r="D314" s="57">
        <f t="shared" si="4"/>
        <v>0</v>
      </c>
      <c r="E314" s="57">
        <f t="shared" si="4"/>
        <v>0</v>
      </c>
      <c r="F314" s="57">
        <f t="shared" si="4"/>
        <v>0</v>
      </c>
      <c r="G314" s="57">
        <f t="shared" si="4"/>
        <v>0</v>
      </c>
      <c r="H314" s="57">
        <f t="shared" si="4"/>
        <v>0</v>
      </c>
      <c r="I314" s="57">
        <f t="shared" si="3"/>
        <v>0</v>
      </c>
      <c r="J314" s="57">
        <f t="shared" si="3"/>
        <v>0</v>
      </c>
      <c r="K314" s="57"/>
      <c r="L314" s="57">
        <f t="shared" si="4"/>
        <v>0</v>
      </c>
      <c r="M314" s="57">
        <f t="shared" si="4"/>
        <v>0</v>
      </c>
    </row>
    <row r="315" spans="1:13" x14ac:dyDescent="0.25">
      <c r="A315" s="34">
        <v>0</v>
      </c>
      <c r="B315" s="57">
        <f t="shared" si="4"/>
        <v>612</v>
      </c>
      <c r="C315" s="57">
        <f t="shared" si="4"/>
        <v>612</v>
      </c>
      <c r="D315" s="57">
        <f t="shared" si="4"/>
        <v>0</v>
      </c>
      <c r="E315" s="57">
        <f t="shared" si="4"/>
        <v>0</v>
      </c>
      <c r="F315" s="57">
        <f t="shared" si="4"/>
        <v>0</v>
      </c>
      <c r="G315" s="57">
        <f t="shared" si="4"/>
        <v>0</v>
      </c>
      <c r="H315" s="57">
        <f t="shared" si="4"/>
        <v>0</v>
      </c>
      <c r="I315" s="57">
        <f t="shared" si="3"/>
        <v>0</v>
      </c>
      <c r="J315" s="57">
        <f t="shared" si="3"/>
        <v>0</v>
      </c>
      <c r="K315" s="57"/>
      <c r="L315" s="57">
        <f t="shared" si="4"/>
        <v>0</v>
      </c>
      <c r="M315" s="57">
        <f t="shared" si="4"/>
        <v>0</v>
      </c>
    </row>
    <row r="316" spans="1:13" x14ac:dyDescent="0.25">
      <c r="A316" s="34">
        <v>0</v>
      </c>
      <c r="B316" s="57">
        <f t="shared" si="4"/>
        <v>612</v>
      </c>
      <c r="C316" s="57">
        <f t="shared" si="4"/>
        <v>612</v>
      </c>
      <c r="D316" s="57">
        <f t="shared" si="4"/>
        <v>0</v>
      </c>
      <c r="E316" s="57">
        <f t="shared" si="4"/>
        <v>0</v>
      </c>
      <c r="F316" s="57">
        <f t="shared" si="4"/>
        <v>0</v>
      </c>
      <c r="G316" s="57">
        <f t="shared" si="4"/>
        <v>0</v>
      </c>
      <c r="H316" s="57">
        <f t="shared" si="4"/>
        <v>0</v>
      </c>
      <c r="I316" s="57">
        <f t="shared" si="3"/>
        <v>0</v>
      </c>
      <c r="J316" s="57">
        <f t="shared" si="3"/>
        <v>0</v>
      </c>
      <c r="K316" s="57"/>
      <c r="L316" s="57">
        <f t="shared" si="4"/>
        <v>0</v>
      </c>
      <c r="M316" s="57">
        <f t="shared" si="4"/>
        <v>0</v>
      </c>
    </row>
    <row r="317" spans="1:13" x14ac:dyDescent="0.25">
      <c r="A317" s="34">
        <v>0</v>
      </c>
      <c r="B317" s="57">
        <f t="shared" si="4"/>
        <v>577</v>
      </c>
      <c r="C317" s="57">
        <f t="shared" si="4"/>
        <v>577</v>
      </c>
      <c r="D317" s="57">
        <f t="shared" si="4"/>
        <v>0</v>
      </c>
      <c r="E317" s="57">
        <f t="shared" si="4"/>
        <v>0</v>
      </c>
      <c r="F317" s="57">
        <f t="shared" si="4"/>
        <v>0</v>
      </c>
      <c r="G317" s="57">
        <f t="shared" si="4"/>
        <v>0</v>
      </c>
      <c r="H317" s="57">
        <f t="shared" si="4"/>
        <v>0</v>
      </c>
      <c r="I317" s="57">
        <f t="shared" si="3"/>
        <v>0</v>
      </c>
      <c r="J317" s="57">
        <f t="shared" si="3"/>
        <v>0</v>
      </c>
      <c r="K317" s="57"/>
      <c r="L317" s="57">
        <f t="shared" si="4"/>
        <v>0</v>
      </c>
      <c r="M317" s="57">
        <f t="shared" si="4"/>
        <v>0</v>
      </c>
    </row>
    <row r="318" spans="1:13" x14ac:dyDescent="0.25">
      <c r="A318" s="34">
        <v>0</v>
      </c>
      <c r="B318" s="57">
        <f t="shared" si="4"/>
        <v>577</v>
      </c>
      <c r="C318" s="57">
        <f t="shared" si="4"/>
        <v>577</v>
      </c>
      <c r="D318" s="57">
        <f t="shared" si="4"/>
        <v>0</v>
      </c>
      <c r="E318" s="57">
        <f t="shared" si="4"/>
        <v>0</v>
      </c>
      <c r="F318" s="57">
        <f t="shared" si="4"/>
        <v>0</v>
      </c>
      <c r="G318" s="57">
        <f t="shared" si="4"/>
        <v>0</v>
      </c>
      <c r="H318" s="57">
        <f t="shared" si="4"/>
        <v>0</v>
      </c>
      <c r="I318" s="57">
        <f t="shared" si="3"/>
        <v>0</v>
      </c>
      <c r="J318" s="57">
        <f t="shared" si="3"/>
        <v>0</v>
      </c>
      <c r="K318" s="57"/>
      <c r="L318" s="57">
        <f t="shared" si="4"/>
        <v>0</v>
      </c>
      <c r="M318" s="57">
        <f t="shared" si="4"/>
        <v>0</v>
      </c>
    </row>
    <row r="319" spans="1:13" x14ac:dyDescent="0.25">
      <c r="A319" s="34">
        <v>0</v>
      </c>
      <c r="B319" s="57">
        <f t="shared" si="4"/>
        <v>577</v>
      </c>
      <c r="C319" s="57">
        <f t="shared" si="4"/>
        <v>577</v>
      </c>
      <c r="D319" s="57">
        <f t="shared" si="4"/>
        <v>0</v>
      </c>
      <c r="E319" s="57">
        <f t="shared" si="4"/>
        <v>0</v>
      </c>
      <c r="F319" s="57">
        <f t="shared" si="4"/>
        <v>0</v>
      </c>
      <c r="G319" s="57">
        <f t="shared" si="4"/>
        <v>0</v>
      </c>
      <c r="H319" s="57">
        <f t="shared" si="4"/>
        <v>0</v>
      </c>
      <c r="I319" s="57">
        <f t="shared" si="3"/>
        <v>0</v>
      </c>
      <c r="J319" s="57">
        <f t="shared" si="3"/>
        <v>0</v>
      </c>
      <c r="K319" s="57"/>
      <c r="L319" s="57">
        <f t="shared" si="4"/>
        <v>0</v>
      </c>
      <c r="M319" s="57">
        <f t="shared" si="4"/>
        <v>0</v>
      </c>
    </row>
    <row r="320" spans="1:13" x14ac:dyDescent="0.25">
      <c r="A320" s="34">
        <v>0</v>
      </c>
      <c r="B320" s="57">
        <f t="shared" si="4"/>
        <v>577</v>
      </c>
      <c r="C320" s="57">
        <f t="shared" si="4"/>
        <v>577</v>
      </c>
      <c r="D320" s="57">
        <f t="shared" si="4"/>
        <v>0</v>
      </c>
      <c r="E320" s="57">
        <f t="shared" si="4"/>
        <v>0</v>
      </c>
      <c r="F320" s="57">
        <f t="shared" si="4"/>
        <v>0</v>
      </c>
      <c r="G320" s="57">
        <f t="shared" si="4"/>
        <v>0</v>
      </c>
      <c r="H320" s="57">
        <f t="shared" si="4"/>
        <v>0</v>
      </c>
      <c r="I320" s="57">
        <f t="shared" si="3"/>
        <v>0</v>
      </c>
      <c r="J320" s="57">
        <f t="shared" si="3"/>
        <v>0</v>
      </c>
      <c r="K320" s="57"/>
      <c r="L320" s="57">
        <f t="shared" si="4"/>
        <v>0</v>
      </c>
      <c r="M320" s="57">
        <f t="shared" si="4"/>
        <v>0</v>
      </c>
    </row>
    <row r="321" spans="1:13" x14ac:dyDescent="0.25">
      <c r="A321" s="34">
        <v>0</v>
      </c>
      <c r="B321" s="57">
        <f t="shared" si="4"/>
        <v>577</v>
      </c>
      <c r="C321" s="57">
        <f t="shared" si="4"/>
        <v>577</v>
      </c>
      <c r="D321" s="57">
        <f t="shared" si="4"/>
        <v>0</v>
      </c>
      <c r="E321" s="57">
        <f t="shared" si="4"/>
        <v>0</v>
      </c>
      <c r="F321" s="57">
        <f t="shared" si="4"/>
        <v>0</v>
      </c>
      <c r="G321" s="57">
        <f t="shared" si="4"/>
        <v>0</v>
      </c>
      <c r="H321" s="57">
        <f t="shared" si="4"/>
        <v>0</v>
      </c>
      <c r="I321" s="57">
        <f t="shared" si="3"/>
        <v>0</v>
      </c>
      <c r="J321" s="57">
        <f t="shared" si="3"/>
        <v>0</v>
      </c>
      <c r="K321" s="57"/>
      <c r="L321" s="57">
        <f t="shared" si="4"/>
        <v>0</v>
      </c>
      <c r="M321" s="57">
        <f t="shared" si="4"/>
        <v>0</v>
      </c>
    </row>
    <row r="322" spans="1:13" x14ac:dyDescent="0.25">
      <c r="A322" s="34">
        <v>0</v>
      </c>
      <c r="B322" s="57">
        <f t="shared" si="4"/>
        <v>577</v>
      </c>
      <c r="C322" s="57">
        <f t="shared" si="4"/>
        <v>577</v>
      </c>
      <c r="D322" s="57">
        <f t="shared" si="4"/>
        <v>0</v>
      </c>
      <c r="E322" s="57">
        <f t="shared" si="4"/>
        <v>0</v>
      </c>
      <c r="F322" s="57">
        <f t="shared" si="4"/>
        <v>0</v>
      </c>
      <c r="G322" s="57">
        <f t="shared" si="4"/>
        <v>0</v>
      </c>
      <c r="H322" s="57">
        <f t="shared" si="4"/>
        <v>0</v>
      </c>
      <c r="I322" s="57">
        <f t="shared" si="3"/>
        <v>0</v>
      </c>
      <c r="J322" s="57">
        <f t="shared" si="3"/>
        <v>0</v>
      </c>
      <c r="K322" s="57"/>
      <c r="L322" s="57">
        <f t="shared" si="4"/>
        <v>0</v>
      </c>
      <c r="M322" s="57">
        <f t="shared" si="4"/>
        <v>0</v>
      </c>
    </row>
    <row r="323" spans="1:13" x14ac:dyDescent="0.25">
      <c r="A323" s="34">
        <v>0</v>
      </c>
      <c r="B323" s="57">
        <f t="shared" si="4"/>
        <v>411</v>
      </c>
      <c r="C323" s="57">
        <f t="shared" si="4"/>
        <v>411</v>
      </c>
      <c r="D323" s="57">
        <f t="shared" si="4"/>
        <v>0</v>
      </c>
      <c r="E323" s="57">
        <f t="shared" si="4"/>
        <v>0</v>
      </c>
      <c r="F323" s="57">
        <f t="shared" si="4"/>
        <v>0</v>
      </c>
      <c r="G323" s="57">
        <f t="shared" si="4"/>
        <v>0</v>
      </c>
      <c r="H323" s="57">
        <f t="shared" si="4"/>
        <v>0</v>
      </c>
      <c r="I323" s="57">
        <f t="shared" si="3"/>
        <v>0</v>
      </c>
      <c r="J323" s="57">
        <f t="shared" si="3"/>
        <v>0</v>
      </c>
      <c r="K323" s="57"/>
      <c r="L323" s="57">
        <f t="shared" si="4"/>
        <v>0</v>
      </c>
      <c r="M323" s="57">
        <f t="shared" si="4"/>
        <v>0</v>
      </c>
    </row>
    <row r="324" spans="1:13" x14ac:dyDescent="0.25">
      <c r="A324" s="34">
        <v>0</v>
      </c>
      <c r="B324" s="57">
        <f t="shared" si="4"/>
        <v>411</v>
      </c>
      <c r="C324" s="57">
        <f t="shared" si="4"/>
        <v>411</v>
      </c>
      <c r="D324" s="57">
        <f t="shared" si="4"/>
        <v>0</v>
      </c>
      <c r="E324" s="57">
        <f t="shared" si="4"/>
        <v>0</v>
      </c>
      <c r="F324" s="57">
        <f t="shared" si="4"/>
        <v>0</v>
      </c>
      <c r="G324" s="57">
        <f t="shared" si="4"/>
        <v>0</v>
      </c>
      <c r="H324" s="57">
        <f t="shared" si="4"/>
        <v>0</v>
      </c>
      <c r="I324" s="57">
        <f t="shared" si="3"/>
        <v>0</v>
      </c>
      <c r="J324" s="57">
        <f t="shared" si="3"/>
        <v>0</v>
      </c>
      <c r="K324" s="57"/>
      <c r="L324" s="57">
        <f t="shared" si="4"/>
        <v>0</v>
      </c>
      <c r="M324" s="57">
        <f t="shared" si="4"/>
        <v>0</v>
      </c>
    </row>
    <row r="325" spans="1:13" x14ac:dyDescent="0.25">
      <c r="A325" s="34">
        <v>0</v>
      </c>
      <c r="B325" s="57">
        <f t="shared" si="4"/>
        <v>411</v>
      </c>
      <c r="C325" s="57">
        <f t="shared" si="4"/>
        <v>411</v>
      </c>
      <c r="D325" s="57">
        <f t="shared" si="4"/>
        <v>0</v>
      </c>
      <c r="E325" s="57">
        <f t="shared" si="4"/>
        <v>0</v>
      </c>
      <c r="F325" s="57">
        <f t="shared" si="4"/>
        <v>0</v>
      </c>
      <c r="G325" s="57">
        <f t="shared" si="4"/>
        <v>0</v>
      </c>
      <c r="H325" s="57">
        <f t="shared" si="4"/>
        <v>0</v>
      </c>
      <c r="I325" s="57">
        <f t="shared" ref="I325:J356" si="5">L41</f>
        <v>0</v>
      </c>
      <c r="J325" s="57">
        <f t="shared" si="5"/>
        <v>0</v>
      </c>
      <c r="K325" s="57"/>
      <c r="L325" s="57">
        <f t="shared" si="4"/>
        <v>0</v>
      </c>
      <c r="M325" s="57">
        <f t="shared" si="4"/>
        <v>0</v>
      </c>
    </row>
    <row r="326" spans="1:13" x14ac:dyDescent="0.25">
      <c r="A326" s="34">
        <v>0</v>
      </c>
      <c r="B326" s="57">
        <f t="shared" si="4"/>
        <v>411</v>
      </c>
      <c r="C326" s="57">
        <f t="shared" si="4"/>
        <v>411</v>
      </c>
      <c r="D326" s="57">
        <f t="shared" si="4"/>
        <v>0</v>
      </c>
      <c r="E326" s="57">
        <f t="shared" si="4"/>
        <v>0</v>
      </c>
      <c r="F326" s="57">
        <f t="shared" si="4"/>
        <v>0</v>
      </c>
      <c r="G326" s="57">
        <f t="shared" si="4"/>
        <v>0</v>
      </c>
      <c r="H326" s="57">
        <f t="shared" si="4"/>
        <v>0</v>
      </c>
      <c r="I326" s="57">
        <f t="shared" si="5"/>
        <v>0</v>
      </c>
      <c r="J326" s="57">
        <f t="shared" si="5"/>
        <v>0</v>
      </c>
      <c r="K326" s="57"/>
      <c r="L326" s="57">
        <f t="shared" si="4"/>
        <v>0</v>
      </c>
      <c r="M326" s="57">
        <f t="shared" si="4"/>
        <v>0</v>
      </c>
    </row>
    <row r="327" spans="1:13" x14ac:dyDescent="0.25">
      <c r="A327" s="34">
        <v>0</v>
      </c>
      <c r="B327" s="57">
        <f t="shared" si="4"/>
        <v>411</v>
      </c>
      <c r="C327" s="57">
        <f t="shared" si="4"/>
        <v>411</v>
      </c>
      <c r="D327" s="57">
        <f t="shared" si="4"/>
        <v>0</v>
      </c>
      <c r="E327" s="57">
        <f t="shared" si="4"/>
        <v>0</v>
      </c>
      <c r="F327" s="57">
        <f t="shared" si="4"/>
        <v>0</v>
      </c>
      <c r="G327" s="57">
        <f t="shared" si="4"/>
        <v>0</v>
      </c>
      <c r="H327" s="57">
        <f t="shared" si="4"/>
        <v>0</v>
      </c>
      <c r="I327" s="57">
        <f t="shared" si="5"/>
        <v>0</v>
      </c>
      <c r="J327" s="57">
        <f t="shared" si="5"/>
        <v>0</v>
      </c>
      <c r="K327" s="57"/>
      <c r="L327" s="57">
        <f t="shared" si="4"/>
        <v>0</v>
      </c>
      <c r="M327" s="57">
        <f t="shared" si="4"/>
        <v>0</v>
      </c>
    </row>
    <row r="328" spans="1:13" x14ac:dyDescent="0.25">
      <c r="A328" s="34">
        <v>0</v>
      </c>
      <c r="B328" s="57">
        <f t="shared" si="4"/>
        <v>411</v>
      </c>
      <c r="C328" s="57">
        <f t="shared" si="4"/>
        <v>411</v>
      </c>
      <c r="D328" s="57">
        <f t="shared" si="4"/>
        <v>0</v>
      </c>
      <c r="E328" s="57">
        <f t="shared" si="4"/>
        <v>0</v>
      </c>
      <c r="F328" s="57">
        <f t="shared" si="4"/>
        <v>0</v>
      </c>
      <c r="G328" s="57">
        <f t="shared" si="4"/>
        <v>0</v>
      </c>
      <c r="H328" s="57">
        <f t="shared" si="4"/>
        <v>0</v>
      </c>
      <c r="I328" s="57">
        <f t="shared" si="5"/>
        <v>0</v>
      </c>
      <c r="J328" s="57">
        <f t="shared" si="5"/>
        <v>0</v>
      </c>
      <c r="K328" s="57"/>
      <c r="L328" s="57">
        <f t="shared" si="4"/>
        <v>0</v>
      </c>
      <c r="M328" s="57">
        <f t="shared" si="4"/>
        <v>0</v>
      </c>
    </row>
    <row r="329" spans="1:13" x14ac:dyDescent="0.25">
      <c r="A329" s="34">
        <v>0</v>
      </c>
      <c r="B329" s="57">
        <f t="shared" si="4"/>
        <v>411</v>
      </c>
      <c r="C329" s="57">
        <f t="shared" si="4"/>
        <v>411</v>
      </c>
      <c r="D329" s="57">
        <f t="shared" si="4"/>
        <v>0</v>
      </c>
      <c r="E329" s="57">
        <f t="shared" si="4"/>
        <v>0</v>
      </c>
      <c r="F329" s="57">
        <f t="shared" si="4"/>
        <v>0</v>
      </c>
      <c r="G329" s="57">
        <f t="shared" si="4"/>
        <v>0</v>
      </c>
      <c r="H329" s="57">
        <f t="shared" si="4"/>
        <v>0</v>
      </c>
      <c r="I329" s="57">
        <f t="shared" si="5"/>
        <v>0</v>
      </c>
      <c r="J329" s="57">
        <f t="shared" si="5"/>
        <v>0</v>
      </c>
      <c r="K329" s="57"/>
      <c r="L329" s="57">
        <f t="shared" si="4"/>
        <v>0</v>
      </c>
      <c r="M329" s="57">
        <f t="shared" si="4"/>
        <v>0</v>
      </c>
    </row>
    <row r="330" spans="1:13" x14ac:dyDescent="0.25">
      <c r="A330" s="34">
        <v>0</v>
      </c>
      <c r="B330" s="57">
        <f t="shared" si="4"/>
        <v>412</v>
      </c>
      <c r="C330" s="57">
        <f t="shared" si="4"/>
        <v>412</v>
      </c>
      <c r="D330" s="57">
        <f t="shared" si="4"/>
        <v>0</v>
      </c>
      <c r="E330" s="57">
        <f t="shared" si="4"/>
        <v>0</v>
      </c>
      <c r="F330" s="57">
        <f t="shared" si="4"/>
        <v>0</v>
      </c>
      <c r="G330" s="57">
        <f t="shared" si="4"/>
        <v>0</v>
      </c>
      <c r="H330" s="57">
        <f t="shared" si="4"/>
        <v>0</v>
      </c>
      <c r="I330" s="57">
        <f t="shared" si="5"/>
        <v>0</v>
      </c>
      <c r="J330" s="57">
        <f t="shared" si="5"/>
        <v>0</v>
      </c>
      <c r="K330" s="57"/>
      <c r="L330" s="57">
        <f t="shared" si="4"/>
        <v>0</v>
      </c>
      <c r="M330" s="57">
        <f t="shared" si="4"/>
        <v>0</v>
      </c>
    </row>
    <row r="331" spans="1:13" x14ac:dyDescent="0.25">
      <c r="A331" s="34">
        <v>0</v>
      </c>
      <c r="B331" s="57">
        <f t="shared" ref="B331:H359" si="6">D47</f>
        <v>412</v>
      </c>
      <c r="C331" s="57">
        <f t="shared" si="6"/>
        <v>412</v>
      </c>
      <c r="D331" s="57">
        <f t="shared" si="6"/>
        <v>0</v>
      </c>
      <c r="E331" s="57">
        <f t="shared" si="6"/>
        <v>0</v>
      </c>
      <c r="F331" s="57">
        <f t="shared" si="6"/>
        <v>0</v>
      </c>
      <c r="G331" s="57">
        <f t="shared" si="6"/>
        <v>0</v>
      </c>
      <c r="H331" s="57">
        <f t="shared" si="6"/>
        <v>0</v>
      </c>
      <c r="I331" s="57">
        <f t="shared" si="5"/>
        <v>0</v>
      </c>
      <c r="J331" s="57">
        <f t="shared" si="5"/>
        <v>0</v>
      </c>
      <c r="K331" s="57"/>
      <c r="L331" s="57">
        <f t="shared" ref="L331:M388" si="7">N47</f>
        <v>0</v>
      </c>
      <c r="M331" s="57">
        <f t="shared" si="7"/>
        <v>0</v>
      </c>
    </row>
    <row r="332" spans="1:13" x14ac:dyDescent="0.25">
      <c r="A332" s="34">
        <v>0</v>
      </c>
      <c r="B332" s="57">
        <f t="shared" si="6"/>
        <v>414</v>
      </c>
      <c r="C332" s="57">
        <f t="shared" si="6"/>
        <v>414</v>
      </c>
      <c r="D332" s="57">
        <f t="shared" si="6"/>
        <v>0</v>
      </c>
      <c r="E332" s="57">
        <f t="shared" si="6"/>
        <v>0</v>
      </c>
      <c r="F332" s="57">
        <f t="shared" si="6"/>
        <v>0</v>
      </c>
      <c r="G332" s="57">
        <f t="shared" si="6"/>
        <v>0</v>
      </c>
      <c r="H332" s="57">
        <f t="shared" si="6"/>
        <v>0</v>
      </c>
      <c r="I332" s="57">
        <f t="shared" si="5"/>
        <v>0</v>
      </c>
      <c r="J332" s="57">
        <f t="shared" si="5"/>
        <v>0</v>
      </c>
      <c r="K332" s="57"/>
      <c r="L332" s="57">
        <f t="shared" si="7"/>
        <v>0</v>
      </c>
      <c r="M332" s="57">
        <f t="shared" si="7"/>
        <v>0</v>
      </c>
    </row>
    <row r="333" spans="1:13" x14ac:dyDescent="0.25">
      <c r="A333" s="34">
        <v>0</v>
      </c>
      <c r="B333" s="57">
        <f t="shared" si="6"/>
        <v>414</v>
      </c>
      <c r="C333" s="57">
        <f t="shared" si="6"/>
        <v>414</v>
      </c>
      <c r="D333" s="57">
        <f t="shared" si="6"/>
        <v>0</v>
      </c>
      <c r="E333" s="57">
        <f t="shared" si="6"/>
        <v>0</v>
      </c>
      <c r="F333" s="57">
        <f t="shared" si="6"/>
        <v>0</v>
      </c>
      <c r="G333" s="57">
        <f t="shared" si="6"/>
        <v>0</v>
      </c>
      <c r="H333" s="57">
        <f t="shared" si="6"/>
        <v>0</v>
      </c>
      <c r="I333" s="57">
        <f t="shared" si="5"/>
        <v>0</v>
      </c>
      <c r="J333" s="57">
        <f t="shared" si="5"/>
        <v>0</v>
      </c>
      <c r="K333" s="57"/>
      <c r="L333" s="57">
        <f t="shared" si="7"/>
        <v>0</v>
      </c>
      <c r="M333" s="57">
        <f t="shared" si="7"/>
        <v>0</v>
      </c>
    </row>
    <row r="334" spans="1:13" x14ac:dyDescent="0.25">
      <c r="A334" s="34">
        <v>0</v>
      </c>
      <c r="B334" s="57">
        <f t="shared" si="6"/>
        <v>414</v>
      </c>
      <c r="C334" s="57">
        <f t="shared" si="6"/>
        <v>414</v>
      </c>
      <c r="D334" s="57">
        <f t="shared" si="6"/>
        <v>0</v>
      </c>
      <c r="E334" s="57">
        <f t="shared" si="6"/>
        <v>0</v>
      </c>
      <c r="F334" s="57">
        <f t="shared" si="6"/>
        <v>0</v>
      </c>
      <c r="G334" s="57">
        <f t="shared" si="6"/>
        <v>0</v>
      </c>
      <c r="H334" s="57">
        <f t="shared" si="6"/>
        <v>0</v>
      </c>
      <c r="I334" s="57">
        <f t="shared" si="5"/>
        <v>0</v>
      </c>
      <c r="J334" s="57">
        <f t="shared" si="5"/>
        <v>0</v>
      </c>
      <c r="K334" s="57"/>
      <c r="L334" s="57">
        <f t="shared" si="7"/>
        <v>0</v>
      </c>
      <c r="M334" s="57">
        <f t="shared" si="7"/>
        <v>0</v>
      </c>
    </row>
    <row r="335" spans="1:13" x14ac:dyDescent="0.25">
      <c r="A335" s="34">
        <v>0</v>
      </c>
      <c r="B335" s="57">
        <f t="shared" si="6"/>
        <v>414</v>
      </c>
      <c r="C335" s="57">
        <f t="shared" si="6"/>
        <v>414</v>
      </c>
      <c r="D335" s="57">
        <f t="shared" si="6"/>
        <v>0</v>
      </c>
      <c r="E335" s="57">
        <f t="shared" si="6"/>
        <v>0</v>
      </c>
      <c r="F335" s="57">
        <f t="shared" si="6"/>
        <v>0</v>
      </c>
      <c r="G335" s="57">
        <f t="shared" si="6"/>
        <v>0</v>
      </c>
      <c r="H335" s="57">
        <f t="shared" si="6"/>
        <v>0</v>
      </c>
      <c r="I335" s="57">
        <f t="shared" si="5"/>
        <v>0</v>
      </c>
      <c r="J335" s="57">
        <f t="shared" si="5"/>
        <v>0</v>
      </c>
      <c r="K335" s="57"/>
      <c r="L335" s="57">
        <f t="shared" si="7"/>
        <v>0</v>
      </c>
      <c r="M335" s="57">
        <f t="shared" si="7"/>
        <v>0</v>
      </c>
    </row>
    <row r="336" spans="1:13" x14ac:dyDescent="0.25">
      <c r="A336" s="34">
        <v>0</v>
      </c>
      <c r="B336" s="57">
        <f t="shared" si="6"/>
        <v>414</v>
      </c>
      <c r="C336" s="57">
        <f t="shared" si="6"/>
        <v>414</v>
      </c>
      <c r="D336" s="57">
        <f t="shared" si="6"/>
        <v>0</v>
      </c>
      <c r="E336" s="57">
        <f t="shared" si="6"/>
        <v>0</v>
      </c>
      <c r="F336" s="57">
        <f t="shared" si="6"/>
        <v>0</v>
      </c>
      <c r="G336" s="57">
        <f t="shared" si="6"/>
        <v>0</v>
      </c>
      <c r="H336" s="57">
        <f t="shared" si="6"/>
        <v>0</v>
      </c>
      <c r="I336" s="57">
        <f t="shared" si="5"/>
        <v>0</v>
      </c>
      <c r="J336" s="57">
        <f t="shared" si="5"/>
        <v>0</v>
      </c>
      <c r="K336" s="57"/>
      <c r="L336" s="57">
        <f t="shared" si="7"/>
        <v>0</v>
      </c>
      <c r="M336" s="57">
        <f t="shared" si="7"/>
        <v>0</v>
      </c>
    </row>
    <row r="337" spans="1:13" x14ac:dyDescent="0.25">
      <c r="A337" s="34">
        <v>0</v>
      </c>
      <c r="B337" s="57">
        <f t="shared" si="6"/>
        <v>414</v>
      </c>
      <c r="C337" s="57">
        <f t="shared" si="6"/>
        <v>414</v>
      </c>
      <c r="D337" s="57">
        <f>F53</f>
        <v>0</v>
      </c>
      <c r="E337" s="57">
        <f t="shared" si="6"/>
        <v>0</v>
      </c>
      <c r="F337" s="57">
        <f t="shared" si="6"/>
        <v>0</v>
      </c>
      <c r="G337" s="57">
        <f t="shared" si="6"/>
        <v>0</v>
      </c>
      <c r="H337" s="57">
        <f t="shared" si="6"/>
        <v>0</v>
      </c>
      <c r="I337" s="57">
        <f t="shared" si="5"/>
        <v>0</v>
      </c>
      <c r="J337" s="57">
        <f t="shared" si="5"/>
        <v>0</v>
      </c>
      <c r="K337" s="57"/>
      <c r="L337" s="57">
        <f t="shared" si="7"/>
        <v>0</v>
      </c>
      <c r="M337" s="57">
        <f t="shared" si="7"/>
        <v>0</v>
      </c>
    </row>
    <row r="338" spans="1:13" x14ac:dyDescent="0.25">
      <c r="A338" s="34">
        <v>0</v>
      </c>
      <c r="B338" s="57">
        <f t="shared" si="6"/>
        <v>414</v>
      </c>
      <c r="C338" s="57">
        <f t="shared" si="6"/>
        <v>414</v>
      </c>
      <c r="D338" s="57">
        <f t="shared" si="6"/>
        <v>0</v>
      </c>
      <c r="E338" s="57">
        <f t="shared" si="6"/>
        <v>0</v>
      </c>
      <c r="F338" s="57">
        <f t="shared" si="6"/>
        <v>0</v>
      </c>
      <c r="G338" s="57">
        <f t="shared" si="6"/>
        <v>0</v>
      </c>
      <c r="H338" s="57">
        <f t="shared" si="6"/>
        <v>0</v>
      </c>
      <c r="I338" s="57">
        <f t="shared" si="5"/>
        <v>0</v>
      </c>
      <c r="J338" s="57">
        <f t="shared" si="5"/>
        <v>0</v>
      </c>
      <c r="K338" s="57"/>
      <c r="L338" s="57">
        <f t="shared" si="7"/>
        <v>0</v>
      </c>
      <c r="M338" s="57">
        <f t="shared" si="7"/>
        <v>0</v>
      </c>
    </row>
    <row r="339" spans="1:13" x14ac:dyDescent="0.25">
      <c r="A339" s="34">
        <v>0</v>
      </c>
      <c r="B339" s="57">
        <f t="shared" si="6"/>
        <v>414</v>
      </c>
      <c r="C339" s="57">
        <f>E55</f>
        <v>414</v>
      </c>
      <c r="D339" s="57">
        <f t="shared" si="6"/>
        <v>0</v>
      </c>
      <c r="E339" s="57">
        <f t="shared" si="6"/>
        <v>0</v>
      </c>
      <c r="F339" s="57">
        <f t="shared" si="6"/>
        <v>0</v>
      </c>
      <c r="G339" s="57">
        <f t="shared" si="6"/>
        <v>0</v>
      </c>
      <c r="H339" s="57">
        <f t="shared" si="6"/>
        <v>0</v>
      </c>
      <c r="I339" s="57">
        <f t="shared" si="5"/>
        <v>0</v>
      </c>
      <c r="J339" s="57">
        <f t="shared" si="5"/>
        <v>0</v>
      </c>
      <c r="K339" s="57"/>
      <c r="L339" s="57">
        <f t="shared" si="7"/>
        <v>0</v>
      </c>
      <c r="M339" s="57">
        <f t="shared" si="7"/>
        <v>0</v>
      </c>
    </row>
    <row r="340" spans="1:13" x14ac:dyDescent="0.25">
      <c r="A340" s="34">
        <v>0</v>
      </c>
      <c r="B340" s="57">
        <f t="shared" si="6"/>
        <v>412</v>
      </c>
      <c r="C340" s="57">
        <f t="shared" si="6"/>
        <v>412</v>
      </c>
      <c r="D340" s="57">
        <f t="shared" si="6"/>
        <v>0</v>
      </c>
      <c r="E340" s="57">
        <f t="shared" si="6"/>
        <v>0</v>
      </c>
      <c r="F340" s="57">
        <f t="shared" si="6"/>
        <v>0</v>
      </c>
      <c r="G340" s="57">
        <f t="shared" si="6"/>
        <v>0</v>
      </c>
      <c r="H340" s="57">
        <f t="shared" si="6"/>
        <v>0</v>
      </c>
      <c r="I340" s="57">
        <f t="shared" si="5"/>
        <v>0</v>
      </c>
      <c r="J340" s="57">
        <f t="shared" si="5"/>
        <v>0</v>
      </c>
      <c r="K340" s="57"/>
      <c r="L340" s="57">
        <f t="shared" si="7"/>
        <v>0</v>
      </c>
      <c r="M340" s="57">
        <f t="shared" si="7"/>
        <v>0</v>
      </c>
    </row>
    <row r="341" spans="1:13" x14ac:dyDescent="0.25">
      <c r="A341" s="34">
        <v>0</v>
      </c>
      <c r="B341" s="57">
        <f t="shared" si="6"/>
        <v>412</v>
      </c>
      <c r="C341" s="57">
        <f t="shared" si="6"/>
        <v>412</v>
      </c>
      <c r="D341" s="57">
        <f t="shared" si="6"/>
        <v>0</v>
      </c>
      <c r="E341" s="57">
        <f t="shared" si="6"/>
        <v>0</v>
      </c>
      <c r="F341" s="57">
        <f t="shared" si="6"/>
        <v>0</v>
      </c>
      <c r="G341" s="57">
        <f t="shared" si="6"/>
        <v>0</v>
      </c>
      <c r="H341" s="57">
        <f t="shared" si="6"/>
        <v>0</v>
      </c>
      <c r="I341" s="57">
        <f t="shared" si="5"/>
        <v>0</v>
      </c>
      <c r="J341" s="57">
        <f t="shared" si="5"/>
        <v>0</v>
      </c>
      <c r="K341" s="57"/>
      <c r="L341" s="57">
        <f t="shared" si="7"/>
        <v>0</v>
      </c>
      <c r="M341" s="57">
        <f t="shared" si="7"/>
        <v>0</v>
      </c>
    </row>
    <row r="342" spans="1:13" x14ac:dyDescent="0.25">
      <c r="A342" s="34">
        <v>0</v>
      </c>
      <c r="B342" s="57">
        <f t="shared" si="6"/>
        <v>412</v>
      </c>
      <c r="C342" s="57">
        <f t="shared" si="6"/>
        <v>412</v>
      </c>
      <c r="D342" s="57">
        <f t="shared" si="6"/>
        <v>0</v>
      </c>
      <c r="E342" s="57">
        <f t="shared" si="6"/>
        <v>0</v>
      </c>
      <c r="F342" s="57">
        <f t="shared" si="6"/>
        <v>0</v>
      </c>
      <c r="G342" s="57">
        <f t="shared" si="6"/>
        <v>0</v>
      </c>
      <c r="H342" s="57">
        <f t="shared" si="6"/>
        <v>0</v>
      </c>
      <c r="I342" s="57">
        <f t="shared" si="5"/>
        <v>0</v>
      </c>
      <c r="J342" s="57">
        <f t="shared" si="5"/>
        <v>0</v>
      </c>
      <c r="K342" s="57"/>
      <c r="L342" s="57">
        <f t="shared" si="7"/>
        <v>0</v>
      </c>
      <c r="M342" s="57">
        <f t="shared" si="7"/>
        <v>0</v>
      </c>
    </row>
    <row r="343" spans="1:13" x14ac:dyDescent="0.25">
      <c r="A343" s="34">
        <v>0</v>
      </c>
      <c r="B343" s="57">
        <f t="shared" si="6"/>
        <v>411</v>
      </c>
      <c r="C343" s="57">
        <f t="shared" si="6"/>
        <v>411</v>
      </c>
      <c r="D343" s="57">
        <f t="shared" si="6"/>
        <v>0</v>
      </c>
      <c r="E343" s="57">
        <f t="shared" si="6"/>
        <v>0</v>
      </c>
      <c r="F343" s="57">
        <f t="shared" si="6"/>
        <v>0</v>
      </c>
      <c r="G343" s="57">
        <f t="shared" si="6"/>
        <v>0</v>
      </c>
      <c r="H343" s="57">
        <f t="shared" si="6"/>
        <v>0</v>
      </c>
      <c r="I343" s="57">
        <f t="shared" si="5"/>
        <v>0</v>
      </c>
      <c r="J343" s="57">
        <f t="shared" si="5"/>
        <v>0</v>
      </c>
      <c r="K343" s="57"/>
      <c r="L343" s="57">
        <f t="shared" si="7"/>
        <v>0</v>
      </c>
      <c r="M343" s="57">
        <f t="shared" si="7"/>
        <v>0</v>
      </c>
    </row>
    <row r="344" spans="1:13" x14ac:dyDescent="0.25">
      <c r="A344" s="34">
        <v>0</v>
      </c>
      <c r="B344" s="57">
        <f t="shared" si="6"/>
        <v>411</v>
      </c>
      <c r="C344" s="57">
        <f t="shared" si="6"/>
        <v>411</v>
      </c>
      <c r="D344" s="57">
        <f t="shared" si="6"/>
        <v>0</v>
      </c>
      <c r="E344" s="57">
        <f t="shared" si="6"/>
        <v>0</v>
      </c>
      <c r="F344" s="57">
        <f t="shared" si="6"/>
        <v>0</v>
      </c>
      <c r="G344" s="57">
        <f t="shared" si="6"/>
        <v>0</v>
      </c>
      <c r="H344" s="57">
        <f t="shared" si="6"/>
        <v>0</v>
      </c>
      <c r="I344" s="57">
        <f t="shared" si="5"/>
        <v>0</v>
      </c>
      <c r="J344" s="57">
        <f t="shared" si="5"/>
        <v>0</v>
      </c>
      <c r="K344" s="57"/>
      <c r="L344" s="57">
        <f t="shared" si="7"/>
        <v>0</v>
      </c>
      <c r="M344" s="57">
        <f t="shared" si="7"/>
        <v>0</v>
      </c>
    </row>
    <row r="345" spans="1:13" x14ac:dyDescent="0.25">
      <c r="A345" s="34">
        <v>0</v>
      </c>
      <c r="B345" s="57">
        <f t="shared" si="6"/>
        <v>408</v>
      </c>
      <c r="C345" s="57">
        <f t="shared" si="6"/>
        <v>408</v>
      </c>
      <c r="D345" s="57">
        <f t="shared" si="6"/>
        <v>0</v>
      </c>
      <c r="E345" s="57">
        <f t="shared" si="6"/>
        <v>0</v>
      </c>
      <c r="F345" s="57">
        <f t="shared" si="6"/>
        <v>0</v>
      </c>
      <c r="G345" s="57">
        <f t="shared" si="6"/>
        <v>0</v>
      </c>
      <c r="H345" s="57">
        <f t="shared" si="6"/>
        <v>0</v>
      </c>
      <c r="I345" s="57">
        <f t="shared" si="5"/>
        <v>0</v>
      </c>
      <c r="J345" s="57">
        <f t="shared" si="5"/>
        <v>0</v>
      </c>
      <c r="K345" s="57"/>
      <c r="L345" s="57">
        <f t="shared" si="7"/>
        <v>0</v>
      </c>
      <c r="M345" s="57">
        <f t="shared" si="7"/>
        <v>0</v>
      </c>
    </row>
    <row r="346" spans="1:13" x14ac:dyDescent="0.25">
      <c r="A346" s="34">
        <v>0</v>
      </c>
      <c r="B346" s="57">
        <f t="shared" si="6"/>
        <v>408</v>
      </c>
      <c r="C346" s="57">
        <f t="shared" si="6"/>
        <v>408</v>
      </c>
      <c r="D346" s="57">
        <f t="shared" si="6"/>
        <v>0</v>
      </c>
      <c r="E346" s="57">
        <f t="shared" si="6"/>
        <v>0</v>
      </c>
      <c r="F346" s="57">
        <f t="shared" si="6"/>
        <v>0</v>
      </c>
      <c r="G346" s="57">
        <f t="shared" si="6"/>
        <v>0</v>
      </c>
      <c r="H346" s="57">
        <f t="shared" si="6"/>
        <v>0</v>
      </c>
      <c r="I346" s="57">
        <f t="shared" si="5"/>
        <v>0</v>
      </c>
      <c r="J346" s="57">
        <f t="shared" si="5"/>
        <v>0</v>
      </c>
      <c r="K346" s="57"/>
      <c r="L346" s="57">
        <f t="shared" si="7"/>
        <v>0</v>
      </c>
      <c r="M346" s="57">
        <f t="shared" si="7"/>
        <v>0</v>
      </c>
    </row>
    <row r="347" spans="1:13" x14ac:dyDescent="0.25">
      <c r="A347" s="34">
        <v>0</v>
      </c>
      <c r="B347" s="57">
        <f t="shared" si="6"/>
        <v>408</v>
      </c>
      <c r="C347" s="57">
        <f t="shared" si="6"/>
        <v>408</v>
      </c>
      <c r="D347" s="57">
        <f t="shared" si="6"/>
        <v>0</v>
      </c>
      <c r="E347" s="57">
        <f t="shared" si="6"/>
        <v>0</v>
      </c>
      <c r="F347" s="57">
        <f t="shared" si="6"/>
        <v>0</v>
      </c>
      <c r="G347" s="57">
        <f t="shared" si="6"/>
        <v>0</v>
      </c>
      <c r="H347" s="57">
        <f t="shared" si="6"/>
        <v>0</v>
      </c>
      <c r="I347" s="57">
        <f t="shared" si="5"/>
        <v>0</v>
      </c>
      <c r="J347" s="57">
        <f t="shared" si="5"/>
        <v>0</v>
      </c>
      <c r="K347" s="57"/>
      <c r="L347" s="57">
        <f t="shared" si="7"/>
        <v>0</v>
      </c>
      <c r="M347" s="57">
        <f t="shared" si="7"/>
        <v>0</v>
      </c>
    </row>
    <row r="348" spans="1:13" x14ac:dyDescent="0.25">
      <c r="A348" s="34">
        <v>0</v>
      </c>
      <c r="B348" s="57">
        <f t="shared" si="6"/>
        <v>409</v>
      </c>
      <c r="C348" s="57">
        <f t="shared" si="6"/>
        <v>409</v>
      </c>
      <c r="D348" s="57">
        <f t="shared" si="6"/>
        <v>0</v>
      </c>
      <c r="E348" s="57">
        <f t="shared" si="6"/>
        <v>0</v>
      </c>
      <c r="F348" s="57">
        <f t="shared" si="6"/>
        <v>0</v>
      </c>
      <c r="G348" s="57">
        <f t="shared" si="6"/>
        <v>0</v>
      </c>
      <c r="H348" s="57">
        <f t="shared" si="6"/>
        <v>0</v>
      </c>
      <c r="I348" s="57">
        <f t="shared" si="5"/>
        <v>0</v>
      </c>
      <c r="J348" s="57">
        <f t="shared" si="5"/>
        <v>0</v>
      </c>
      <c r="K348" s="57"/>
      <c r="L348" s="57">
        <f t="shared" si="7"/>
        <v>0</v>
      </c>
      <c r="M348" s="57">
        <f t="shared" si="7"/>
        <v>0</v>
      </c>
    </row>
    <row r="349" spans="1:13" x14ac:dyDescent="0.25">
      <c r="A349" s="34">
        <v>0</v>
      </c>
      <c r="B349" s="57">
        <f t="shared" si="6"/>
        <v>409</v>
      </c>
      <c r="C349" s="57">
        <f t="shared" si="6"/>
        <v>409</v>
      </c>
      <c r="D349" s="57">
        <f t="shared" si="6"/>
        <v>0</v>
      </c>
      <c r="E349" s="57">
        <f t="shared" si="6"/>
        <v>0</v>
      </c>
      <c r="F349" s="57">
        <f t="shared" si="6"/>
        <v>0</v>
      </c>
      <c r="G349" s="57">
        <f t="shared" si="6"/>
        <v>0</v>
      </c>
      <c r="H349" s="57">
        <f t="shared" si="6"/>
        <v>0</v>
      </c>
      <c r="I349" s="57">
        <f t="shared" si="5"/>
        <v>0</v>
      </c>
      <c r="J349" s="57">
        <f t="shared" si="5"/>
        <v>0</v>
      </c>
      <c r="K349" s="57"/>
      <c r="L349" s="57">
        <f t="shared" si="7"/>
        <v>0</v>
      </c>
      <c r="M349" s="57">
        <f t="shared" si="7"/>
        <v>0</v>
      </c>
    </row>
    <row r="350" spans="1:13" x14ac:dyDescent="0.25">
      <c r="A350" s="34">
        <v>0</v>
      </c>
      <c r="B350" s="57">
        <f t="shared" si="6"/>
        <v>409</v>
      </c>
      <c r="C350" s="57">
        <f t="shared" si="6"/>
        <v>409</v>
      </c>
      <c r="D350" s="57">
        <f t="shared" si="6"/>
        <v>0</v>
      </c>
      <c r="E350" s="57">
        <f t="shared" si="6"/>
        <v>0</v>
      </c>
      <c r="F350" s="57">
        <f t="shared" si="6"/>
        <v>0</v>
      </c>
      <c r="G350" s="57">
        <f t="shared" si="6"/>
        <v>0</v>
      </c>
      <c r="H350" s="57">
        <f t="shared" si="6"/>
        <v>0</v>
      </c>
      <c r="I350" s="57">
        <f t="shared" si="5"/>
        <v>0</v>
      </c>
      <c r="J350" s="57">
        <f t="shared" si="5"/>
        <v>0</v>
      </c>
      <c r="K350" s="57"/>
      <c r="L350" s="57">
        <f t="shared" si="7"/>
        <v>0</v>
      </c>
      <c r="M350" s="57">
        <f t="shared" si="7"/>
        <v>0</v>
      </c>
    </row>
    <row r="351" spans="1:13" x14ac:dyDescent="0.25">
      <c r="A351" s="34">
        <v>0</v>
      </c>
      <c r="B351" s="57">
        <f t="shared" si="6"/>
        <v>409</v>
      </c>
      <c r="C351" s="57">
        <f t="shared" si="6"/>
        <v>409</v>
      </c>
      <c r="D351" s="57">
        <f t="shared" si="6"/>
        <v>0</v>
      </c>
      <c r="E351" s="57">
        <f t="shared" si="6"/>
        <v>0</v>
      </c>
      <c r="F351" s="57">
        <f t="shared" si="6"/>
        <v>0</v>
      </c>
      <c r="G351" s="57">
        <f t="shared" si="6"/>
        <v>0</v>
      </c>
      <c r="H351" s="57">
        <f t="shared" si="6"/>
        <v>0</v>
      </c>
      <c r="I351" s="57">
        <f t="shared" si="5"/>
        <v>0</v>
      </c>
      <c r="J351" s="57">
        <f t="shared" si="5"/>
        <v>0</v>
      </c>
      <c r="K351" s="57"/>
      <c r="L351" s="57">
        <f t="shared" si="7"/>
        <v>0</v>
      </c>
      <c r="M351" s="57">
        <f t="shared" si="7"/>
        <v>0</v>
      </c>
    </row>
    <row r="352" spans="1:13" x14ac:dyDescent="0.25">
      <c r="A352" s="34">
        <v>0</v>
      </c>
      <c r="B352" s="57">
        <f t="shared" si="6"/>
        <v>409</v>
      </c>
      <c r="C352" s="57">
        <f t="shared" si="6"/>
        <v>409</v>
      </c>
      <c r="D352" s="57">
        <f t="shared" si="6"/>
        <v>0</v>
      </c>
      <c r="E352" s="57">
        <f t="shared" si="6"/>
        <v>0</v>
      </c>
      <c r="F352" s="57">
        <f t="shared" si="6"/>
        <v>0</v>
      </c>
      <c r="G352" s="57">
        <f t="shared" si="6"/>
        <v>0</v>
      </c>
      <c r="H352" s="57">
        <f t="shared" si="6"/>
        <v>0</v>
      </c>
      <c r="I352" s="57">
        <f t="shared" si="5"/>
        <v>0</v>
      </c>
      <c r="J352" s="57">
        <f t="shared" si="5"/>
        <v>0</v>
      </c>
      <c r="K352" s="57"/>
      <c r="L352" s="57">
        <f t="shared" si="7"/>
        <v>0</v>
      </c>
      <c r="M352" s="57">
        <f t="shared" si="7"/>
        <v>0</v>
      </c>
    </row>
    <row r="353" spans="1:13" x14ac:dyDescent="0.25">
      <c r="A353" s="34">
        <v>0</v>
      </c>
      <c r="B353" s="57">
        <f t="shared" si="6"/>
        <v>408</v>
      </c>
      <c r="C353" s="57">
        <f t="shared" si="6"/>
        <v>408</v>
      </c>
      <c r="D353" s="57">
        <f t="shared" si="6"/>
        <v>0</v>
      </c>
      <c r="E353" s="57">
        <f t="shared" si="6"/>
        <v>0</v>
      </c>
      <c r="F353" s="57">
        <f t="shared" si="6"/>
        <v>0</v>
      </c>
      <c r="G353" s="57">
        <f t="shared" si="6"/>
        <v>0</v>
      </c>
      <c r="H353" s="57">
        <f t="shared" si="6"/>
        <v>0</v>
      </c>
      <c r="I353" s="57">
        <f t="shared" si="5"/>
        <v>0</v>
      </c>
      <c r="J353" s="57">
        <f t="shared" si="5"/>
        <v>0</v>
      </c>
      <c r="K353" s="57"/>
      <c r="L353" s="57">
        <f t="shared" si="7"/>
        <v>0</v>
      </c>
      <c r="M353" s="57">
        <f t="shared" si="7"/>
        <v>0</v>
      </c>
    </row>
    <row r="354" spans="1:13" x14ac:dyDescent="0.25">
      <c r="A354" s="34">
        <v>0</v>
      </c>
      <c r="B354" s="57">
        <f t="shared" si="6"/>
        <v>408</v>
      </c>
      <c r="C354" s="57">
        <f t="shared" si="6"/>
        <v>408</v>
      </c>
      <c r="D354" s="57">
        <f t="shared" si="6"/>
        <v>0</v>
      </c>
      <c r="E354" s="57">
        <f t="shared" si="6"/>
        <v>0</v>
      </c>
      <c r="F354" s="57">
        <f t="shared" si="6"/>
        <v>0</v>
      </c>
      <c r="G354" s="57">
        <f t="shared" si="6"/>
        <v>0</v>
      </c>
      <c r="H354" s="57">
        <f t="shared" si="6"/>
        <v>0</v>
      </c>
      <c r="I354" s="57">
        <f t="shared" si="5"/>
        <v>0</v>
      </c>
      <c r="J354" s="57">
        <f t="shared" si="5"/>
        <v>0</v>
      </c>
      <c r="K354" s="57"/>
      <c r="L354" s="57">
        <f t="shared" si="7"/>
        <v>0</v>
      </c>
      <c r="M354" s="57">
        <f t="shared" si="7"/>
        <v>0</v>
      </c>
    </row>
    <row r="355" spans="1:13" x14ac:dyDescent="0.25">
      <c r="A355" s="34">
        <v>0</v>
      </c>
      <c r="B355" s="57">
        <f t="shared" si="6"/>
        <v>408</v>
      </c>
      <c r="C355" s="57">
        <f t="shared" si="6"/>
        <v>408</v>
      </c>
      <c r="D355" s="57">
        <f t="shared" si="6"/>
        <v>0</v>
      </c>
      <c r="E355" s="57">
        <f t="shared" si="6"/>
        <v>0</v>
      </c>
      <c r="F355" s="57">
        <f t="shared" si="6"/>
        <v>0</v>
      </c>
      <c r="G355" s="57">
        <f t="shared" si="6"/>
        <v>0</v>
      </c>
      <c r="H355" s="57">
        <f t="shared" si="6"/>
        <v>0</v>
      </c>
      <c r="I355" s="57">
        <f t="shared" si="5"/>
        <v>0</v>
      </c>
      <c r="J355" s="57">
        <f t="shared" si="5"/>
        <v>0</v>
      </c>
      <c r="K355" s="57"/>
      <c r="L355" s="57">
        <f t="shared" si="7"/>
        <v>0</v>
      </c>
      <c r="M355" s="57">
        <f t="shared" si="7"/>
        <v>0</v>
      </c>
    </row>
    <row r="356" spans="1:13" x14ac:dyDescent="0.25">
      <c r="A356" s="34">
        <v>0</v>
      </c>
      <c r="B356" s="57">
        <f t="shared" si="6"/>
        <v>408</v>
      </c>
      <c r="C356" s="57">
        <f t="shared" si="6"/>
        <v>408</v>
      </c>
      <c r="D356" s="57">
        <f t="shared" si="6"/>
        <v>0</v>
      </c>
      <c r="E356" s="57">
        <f t="shared" si="6"/>
        <v>0</v>
      </c>
      <c r="F356" s="57">
        <f t="shared" si="6"/>
        <v>0</v>
      </c>
      <c r="G356" s="57">
        <f t="shared" si="6"/>
        <v>0</v>
      </c>
      <c r="H356" s="57">
        <f t="shared" si="6"/>
        <v>0</v>
      </c>
      <c r="I356" s="57">
        <f t="shared" si="5"/>
        <v>0</v>
      </c>
      <c r="J356" s="57">
        <f t="shared" si="5"/>
        <v>0</v>
      </c>
      <c r="K356" s="57"/>
      <c r="L356" s="57">
        <f t="shared" si="7"/>
        <v>0</v>
      </c>
      <c r="M356" s="57">
        <f t="shared" si="7"/>
        <v>0</v>
      </c>
    </row>
    <row r="357" spans="1:13" x14ac:dyDescent="0.25">
      <c r="A357" s="34">
        <v>0</v>
      </c>
      <c r="B357" s="57">
        <f t="shared" si="6"/>
        <v>408</v>
      </c>
      <c r="C357" s="57">
        <f t="shared" si="6"/>
        <v>408</v>
      </c>
      <c r="D357" s="57">
        <f t="shared" si="6"/>
        <v>0</v>
      </c>
      <c r="E357" s="57">
        <f t="shared" si="6"/>
        <v>0</v>
      </c>
      <c r="F357" s="57">
        <f t="shared" si="6"/>
        <v>0</v>
      </c>
      <c r="G357" s="57">
        <f t="shared" si="6"/>
        <v>0</v>
      </c>
      <c r="H357" s="57">
        <f t="shared" si="6"/>
        <v>0</v>
      </c>
      <c r="I357" s="57">
        <f t="shared" ref="I357:J388" si="8">L73</f>
        <v>0</v>
      </c>
      <c r="J357" s="57">
        <f t="shared" si="8"/>
        <v>0</v>
      </c>
      <c r="K357" s="57"/>
      <c r="L357" s="57">
        <f t="shared" si="7"/>
        <v>0</v>
      </c>
      <c r="M357" s="57">
        <f t="shared" si="7"/>
        <v>0</v>
      </c>
    </row>
    <row r="358" spans="1:13" x14ac:dyDescent="0.25">
      <c r="A358" s="34">
        <v>0</v>
      </c>
      <c r="B358" s="57">
        <f t="shared" si="6"/>
        <v>408</v>
      </c>
      <c r="C358" s="57">
        <f t="shared" si="6"/>
        <v>408</v>
      </c>
      <c r="D358" s="57">
        <f t="shared" si="6"/>
        <v>0</v>
      </c>
      <c r="E358" s="57">
        <f t="shared" si="6"/>
        <v>0</v>
      </c>
      <c r="F358" s="57">
        <f t="shared" si="6"/>
        <v>0</v>
      </c>
      <c r="G358" s="57">
        <f t="shared" si="6"/>
        <v>0</v>
      </c>
      <c r="H358" s="57">
        <f t="shared" si="6"/>
        <v>0</v>
      </c>
      <c r="I358" s="57">
        <f t="shared" si="8"/>
        <v>0</v>
      </c>
      <c r="J358" s="57">
        <f t="shared" si="8"/>
        <v>0</v>
      </c>
      <c r="K358" s="57"/>
      <c r="L358" s="57">
        <f t="shared" si="7"/>
        <v>0</v>
      </c>
      <c r="M358" s="57">
        <f t="shared" si="7"/>
        <v>0</v>
      </c>
    </row>
    <row r="359" spans="1:13" x14ac:dyDescent="0.25">
      <c r="A359" s="34">
        <v>0</v>
      </c>
      <c r="B359" s="57">
        <f t="shared" si="6"/>
        <v>409</v>
      </c>
      <c r="C359" s="57">
        <f t="shared" si="6"/>
        <v>409</v>
      </c>
      <c r="D359" s="57">
        <f t="shared" si="6"/>
        <v>0</v>
      </c>
      <c r="E359" s="57">
        <f t="shared" si="6"/>
        <v>0</v>
      </c>
      <c r="F359" s="57">
        <f t="shared" si="6"/>
        <v>0</v>
      </c>
      <c r="G359" s="57">
        <f t="shared" si="6"/>
        <v>0</v>
      </c>
      <c r="H359" s="57">
        <f t="shared" si="6"/>
        <v>0</v>
      </c>
      <c r="I359" s="57">
        <f t="shared" si="8"/>
        <v>0</v>
      </c>
      <c r="J359" s="57">
        <f t="shared" si="8"/>
        <v>0</v>
      </c>
      <c r="K359" s="57"/>
      <c r="L359" s="57">
        <f t="shared" si="7"/>
        <v>0</v>
      </c>
      <c r="M359" s="57">
        <f t="shared" si="7"/>
        <v>0</v>
      </c>
    </row>
    <row r="360" spans="1:13" x14ac:dyDescent="0.25">
      <c r="A360" s="34">
        <v>0</v>
      </c>
      <c r="B360" s="57">
        <f t="shared" ref="B360:H388" si="9">D76</f>
        <v>409</v>
      </c>
      <c r="C360" s="57">
        <f t="shared" si="9"/>
        <v>409</v>
      </c>
      <c r="D360" s="57">
        <f t="shared" si="9"/>
        <v>0</v>
      </c>
      <c r="E360" s="57">
        <f t="shared" si="9"/>
        <v>0</v>
      </c>
      <c r="F360" s="57">
        <f t="shared" si="9"/>
        <v>0</v>
      </c>
      <c r="G360" s="57">
        <f t="shared" si="9"/>
        <v>0</v>
      </c>
      <c r="H360" s="57">
        <f t="shared" si="9"/>
        <v>0</v>
      </c>
      <c r="I360" s="57">
        <f t="shared" si="8"/>
        <v>0</v>
      </c>
      <c r="J360" s="57">
        <f t="shared" si="8"/>
        <v>0</v>
      </c>
      <c r="K360" s="57"/>
      <c r="L360" s="57">
        <f t="shared" si="7"/>
        <v>0</v>
      </c>
      <c r="M360" s="57">
        <f t="shared" si="7"/>
        <v>0</v>
      </c>
    </row>
    <row r="361" spans="1:13" x14ac:dyDescent="0.25">
      <c r="A361" s="34">
        <v>0</v>
      </c>
      <c r="B361" s="57">
        <f t="shared" si="9"/>
        <v>409</v>
      </c>
      <c r="C361" s="57">
        <f t="shared" si="9"/>
        <v>409</v>
      </c>
      <c r="D361" s="57">
        <f t="shared" si="9"/>
        <v>0</v>
      </c>
      <c r="E361" s="57">
        <f t="shared" si="9"/>
        <v>0</v>
      </c>
      <c r="F361" s="57">
        <f t="shared" si="9"/>
        <v>0</v>
      </c>
      <c r="G361" s="57">
        <f t="shared" si="9"/>
        <v>0</v>
      </c>
      <c r="H361" s="57">
        <f t="shared" si="9"/>
        <v>0</v>
      </c>
      <c r="I361" s="57">
        <f t="shared" si="8"/>
        <v>0</v>
      </c>
      <c r="J361" s="57">
        <f t="shared" si="8"/>
        <v>0</v>
      </c>
      <c r="K361" s="57"/>
      <c r="L361" s="57">
        <f t="shared" si="7"/>
        <v>0</v>
      </c>
      <c r="M361" s="57">
        <f t="shared" si="7"/>
        <v>0</v>
      </c>
    </row>
    <row r="362" spans="1:13" x14ac:dyDescent="0.25">
      <c r="A362" s="34">
        <v>0</v>
      </c>
      <c r="B362" s="57">
        <f t="shared" si="9"/>
        <v>409</v>
      </c>
      <c r="C362" s="57">
        <f t="shared" si="9"/>
        <v>409</v>
      </c>
      <c r="D362" s="57">
        <f t="shared" si="9"/>
        <v>0</v>
      </c>
      <c r="E362" s="57">
        <f t="shared" si="9"/>
        <v>0</v>
      </c>
      <c r="F362" s="57">
        <f t="shared" si="9"/>
        <v>0</v>
      </c>
      <c r="G362" s="57">
        <f t="shared" si="9"/>
        <v>0</v>
      </c>
      <c r="H362" s="57">
        <f t="shared" si="9"/>
        <v>0</v>
      </c>
      <c r="I362" s="57">
        <f t="shared" si="8"/>
        <v>0</v>
      </c>
      <c r="J362" s="57">
        <f t="shared" si="8"/>
        <v>0</v>
      </c>
      <c r="K362" s="57"/>
      <c r="L362" s="57">
        <f t="shared" si="7"/>
        <v>0</v>
      </c>
      <c r="M362" s="57">
        <f t="shared" si="7"/>
        <v>0</v>
      </c>
    </row>
    <row r="363" spans="1:13" x14ac:dyDescent="0.25">
      <c r="A363" s="34">
        <v>0</v>
      </c>
      <c r="B363" s="57">
        <f t="shared" si="9"/>
        <v>409</v>
      </c>
      <c r="C363" s="57">
        <f t="shared" si="9"/>
        <v>409</v>
      </c>
      <c r="D363" s="57">
        <f t="shared" si="9"/>
        <v>0</v>
      </c>
      <c r="E363" s="57">
        <f t="shared" si="9"/>
        <v>0</v>
      </c>
      <c r="F363" s="57">
        <f t="shared" si="9"/>
        <v>0</v>
      </c>
      <c r="G363" s="57">
        <f t="shared" si="9"/>
        <v>0</v>
      </c>
      <c r="H363" s="57">
        <f t="shared" si="9"/>
        <v>0</v>
      </c>
      <c r="I363" s="57">
        <f t="shared" si="8"/>
        <v>0</v>
      </c>
      <c r="J363" s="57">
        <f t="shared" si="8"/>
        <v>0</v>
      </c>
      <c r="K363" s="57"/>
      <c r="L363" s="57">
        <f t="shared" si="7"/>
        <v>0</v>
      </c>
      <c r="M363" s="57">
        <f t="shared" si="7"/>
        <v>0</v>
      </c>
    </row>
    <row r="364" spans="1:13" x14ac:dyDescent="0.25">
      <c r="A364" s="34">
        <v>0</v>
      </c>
      <c r="B364" s="57">
        <f t="shared" si="9"/>
        <v>409</v>
      </c>
      <c r="C364" s="57">
        <f t="shared" si="9"/>
        <v>409</v>
      </c>
      <c r="D364" s="57">
        <f t="shared" si="9"/>
        <v>0</v>
      </c>
      <c r="E364" s="57">
        <f t="shared" si="9"/>
        <v>0</v>
      </c>
      <c r="F364" s="57">
        <f t="shared" si="9"/>
        <v>0</v>
      </c>
      <c r="G364" s="57">
        <f t="shared" si="9"/>
        <v>0</v>
      </c>
      <c r="H364" s="57">
        <f t="shared" si="9"/>
        <v>0</v>
      </c>
      <c r="I364" s="57">
        <f t="shared" si="8"/>
        <v>0</v>
      </c>
      <c r="J364" s="57">
        <f t="shared" si="8"/>
        <v>0</v>
      </c>
      <c r="K364" s="57"/>
      <c r="L364" s="57">
        <f t="shared" si="7"/>
        <v>0</v>
      </c>
      <c r="M364" s="57">
        <f t="shared" si="7"/>
        <v>0</v>
      </c>
    </row>
    <row r="365" spans="1:13" x14ac:dyDescent="0.25">
      <c r="A365" s="34">
        <v>0</v>
      </c>
      <c r="B365" s="57">
        <f t="shared" si="9"/>
        <v>459</v>
      </c>
      <c r="C365" s="57">
        <f t="shared" si="9"/>
        <v>459</v>
      </c>
      <c r="D365" s="57">
        <f t="shared" si="9"/>
        <v>0</v>
      </c>
      <c r="E365" s="57">
        <f t="shared" si="9"/>
        <v>0</v>
      </c>
      <c r="F365" s="57">
        <f t="shared" si="9"/>
        <v>0</v>
      </c>
      <c r="G365" s="57">
        <f t="shared" si="9"/>
        <v>0</v>
      </c>
      <c r="H365" s="57">
        <f t="shared" si="9"/>
        <v>0</v>
      </c>
      <c r="I365" s="57">
        <f t="shared" si="8"/>
        <v>0</v>
      </c>
      <c r="J365" s="57">
        <f t="shared" si="8"/>
        <v>0</v>
      </c>
      <c r="K365" s="57"/>
      <c r="L365" s="57">
        <f t="shared" si="7"/>
        <v>0</v>
      </c>
      <c r="M365" s="57">
        <f t="shared" si="7"/>
        <v>0</v>
      </c>
    </row>
    <row r="366" spans="1:13" x14ac:dyDescent="0.25">
      <c r="A366" s="34">
        <v>0</v>
      </c>
      <c r="B366" s="57">
        <f t="shared" si="9"/>
        <v>510</v>
      </c>
      <c r="C366" s="57">
        <f t="shared" si="9"/>
        <v>510</v>
      </c>
      <c r="D366" s="57">
        <f t="shared" si="9"/>
        <v>0</v>
      </c>
      <c r="E366" s="57">
        <f t="shared" si="9"/>
        <v>0</v>
      </c>
      <c r="F366" s="57">
        <f t="shared" si="9"/>
        <v>0</v>
      </c>
      <c r="G366" s="57">
        <f t="shared" si="9"/>
        <v>0</v>
      </c>
      <c r="H366" s="57">
        <f t="shared" si="9"/>
        <v>0</v>
      </c>
      <c r="I366" s="57">
        <f t="shared" si="8"/>
        <v>0</v>
      </c>
      <c r="J366" s="57">
        <f t="shared" si="8"/>
        <v>0</v>
      </c>
      <c r="K366" s="57"/>
      <c r="L366" s="57">
        <f t="shared" si="7"/>
        <v>0</v>
      </c>
      <c r="M366" s="57">
        <f t="shared" si="7"/>
        <v>0</v>
      </c>
    </row>
    <row r="367" spans="1:13" x14ac:dyDescent="0.25">
      <c r="A367" s="34">
        <v>0</v>
      </c>
      <c r="B367" s="57">
        <f t="shared" si="9"/>
        <v>572</v>
      </c>
      <c r="C367" s="57">
        <f t="shared" si="9"/>
        <v>572</v>
      </c>
      <c r="D367" s="57">
        <f t="shared" si="9"/>
        <v>0</v>
      </c>
      <c r="E367" s="57">
        <f t="shared" si="9"/>
        <v>0</v>
      </c>
      <c r="F367" s="57">
        <f t="shared" si="9"/>
        <v>0</v>
      </c>
      <c r="G367" s="57">
        <f t="shared" si="9"/>
        <v>0</v>
      </c>
      <c r="H367" s="57">
        <f t="shared" si="9"/>
        <v>0</v>
      </c>
      <c r="I367" s="57">
        <f t="shared" si="8"/>
        <v>0</v>
      </c>
      <c r="J367" s="57">
        <f t="shared" si="8"/>
        <v>0</v>
      </c>
      <c r="K367" s="57"/>
      <c r="L367" s="57">
        <f t="shared" si="7"/>
        <v>0</v>
      </c>
      <c r="M367" s="57">
        <f t="shared" si="7"/>
        <v>0</v>
      </c>
    </row>
    <row r="368" spans="1:13" x14ac:dyDescent="0.25">
      <c r="A368" s="34">
        <v>0</v>
      </c>
      <c r="B368" s="57">
        <f t="shared" si="9"/>
        <v>617</v>
      </c>
      <c r="C368" s="57">
        <f t="shared" si="9"/>
        <v>617</v>
      </c>
      <c r="D368" s="57">
        <f t="shared" si="9"/>
        <v>0</v>
      </c>
      <c r="E368" s="57">
        <f t="shared" si="9"/>
        <v>0</v>
      </c>
      <c r="F368" s="57">
        <f t="shared" si="9"/>
        <v>0</v>
      </c>
      <c r="G368" s="57">
        <f t="shared" si="9"/>
        <v>0</v>
      </c>
      <c r="H368" s="57">
        <f t="shared" si="9"/>
        <v>0</v>
      </c>
      <c r="I368" s="57">
        <f t="shared" si="8"/>
        <v>0</v>
      </c>
      <c r="J368" s="57">
        <f t="shared" si="8"/>
        <v>0</v>
      </c>
      <c r="K368" s="57"/>
      <c r="L368" s="57">
        <f t="shared" si="7"/>
        <v>0</v>
      </c>
      <c r="M368" s="57">
        <f t="shared" si="7"/>
        <v>0</v>
      </c>
    </row>
    <row r="369" spans="1:13" x14ac:dyDescent="0.25">
      <c r="A369" s="34">
        <v>0</v>
      </c>
      <c r="B369" s="57">
        <f t="shared" si="9"/>
        <v>617</v>
      </c>
      <c r="C369" s="57">
        <f t="shared" si="9"/>
        <v>617</v>
      </c>
      <c r="D369" s="57">
        <f t="shared" si="9"/>
        <v>0</v>
      </c>
      <c r="E369" s="57">
        <f t="shared" si="9"/>
        <v>0</v>
      </c>
      <c r="F369" s="57">
        <f t="shared" si="9"/>
        <v>0</v>
      </c>
      <c r="G369" s="57">
        <f t="shared" si="9"/>
        <v>0</v>
      </c>
      <c r="H369" s="57">
        <f t="shared" si="9"/>
        <v>0</v>
      </c>
      <c r="I369" s="57">
        <f t="shared" si="8"/>
        <v>0</v>
      </c>
      <c r="J369" s="57">
        <f t="shared" si="8"/>
        <v>0</v>
      </c>
      <c r="K369" s="57"/>
      <c r="L369" s="57">
        <f t="shared" si="7"/>
        <v>0</v>
      </c>
      <c r="M369" s="57">
        <f t="shared" si="7"/>
        <v>0</v>
      </c>
    </row>
    <row r="370" spans="1:13" x14ac:dyDescent="0.25">
      <c r="A370" s="34">
        <v>0</v>
      </c>
      <c r="B370" s="57">
        <f t="shared" si="9"/>
        <v>617</v>
      </c>
      <c r="C370" s="57">
        <f t="shared" si="9"/>
        <v>617</v>
      </c>
      <c r="D370" s="57">
        <f t="shared" si="9"/>
        <v>0</v>
      </c>
      <c r="E370" s="57">
        <f t="shared" si="9"/>
        <v>0</v>
      </c>
      <c r="F370" s="57">
        <f t="shared" si="9"/>
        <v>0</v>
      </c>
      <c r="G370" s="57">
        <f t="shared" si="9"/>
        <v>0</v>
      </c>
      <c r="H370" s="57">
        <f t="shared" si="9"/>
        <v>0</v>
      </c>
      <c r="I370" s="57">
        <f t="shared" si="8"/>
        <v>0</v>
      </c>
      <c r="J370" s="57">
        <f t="shared" si="8"/>
        <v>0</v>
      </c>
      <c r="K370" s="57"/>
      <c r="L370" s="57">
        <f t="shared" si="7"/>
        <v>0</v>
      </c>
      <c r="M370" s="57">
        <f t="shared" si="7"/>
        <v>0</v>
      </c>
    </row>
    <row r="371" spans="1:13" x14ac:dyDescent="0.25">
      <c r="A371" s="34">
        <v>0</v>
      </c>
      <c r="B371" s="57">
        <f t="shared" si="9"/>
        <v>617</v>
      </c>
      <c r="C371" s="57">
        <f t="shared" si="9"/>
        <v>617</v>
      </c>
      <c r="D371" s="57">
        <f t="shared" si="9"/>
        <v>0</v>
      </c>
      <c r="E371" s="57">
        <f t="shared" si="9"/>
        <v>0</v>
      </c>
      <c r="F371" s="57">
        <f t="shared" si="9"/>
        <v>0</v>
      </c>
      <c r="G371" s="57">
        <f t="shared" si="9"/>
        <v>0</v>
      </c>
      <c r="H371" s="57">
        <f t="shared" si="9"/>
        <v>0</v>
      </c>
      <c r="I371" s="57">
        <f t="shared" si="8"/>
        <v>0</v>
      </c>
      <c r="J371" s="57">
        <f t="shared" si="8"/>
        <v>0</v>
      </c>
      <c r="K371" s="57"/>
      <c r="L371" s="57">
        <f t="shared" si="7"/>
        <v>0</v>
      </c>
      <c r="M371" s="57">
        <f t="shared" si="7"/>
        <v>0</v>
      </c>
    </row>
    <row r="372" spans="1:13" x14ac:dyDescent="0.25">
      <c r="A372" s="34">
        <v>0</v>
      </c>
      <c r="B372" s="57">
        <f t="shared" si="9"/>
        <v>617</v>
      </c>
      <c r="C372" s="57">
        <f t="shared" si="9"/>
        <v>617</v>
      </c>
      <c r="D372" s="57">
        <f t="shared" si="9"/>
        <v>0</v>
      </c>
      <c r="E372" s="57">
        <f t="shared" si="9"/>
        <v>0</v>
      </c>
      <c r="F372" s="57">
        <f t="shared" si="9"/>
        <v>0</v>
      </c>
      <c r="G372" s="57">
        <f t="shared" si="9"/>
        <v>0</v>
      </c>
      <c r="H372" s="57">
        <f t="shared" si="9"/>
        <v>0</v>
      </c>
      <c r="I372" s="57">
        <f t="shared" si="8"/>
        <v>0</v>
      </c>
      <c r="J372" s="57">
        <f t="shared" si="8"/>
        <v>0</v>
      </c>
      <c r="K372" s="57"/>
      <c r="L372" s="57">
        <f t="shared" si="7"/>
        <v>0</v>
      </c>
      <c r="M372" s="57">
        <f t="shared" si="7"/>
        <v>0</v>
      </c>
    </row>
    <row r="373" spans="1:13" x14ac:dyDescent="0.25">
      <c r="A373" s="34">
        <v>0</v>
      </c>
      <c r="B373" s="57">
        <f t="shared" si="9"/>
        <v>617</v>
      </c>
      <c r="C373" s="57">
        <f t="shared" si="9"/>
        <v>617</v>
      </c>
      <c r="D373" s="57">
        <f t="shared" si="9"/>
        <v>0</v>
      </c>
      <c r="E373" s="57">
        <f t="shared" si="9"/>
        <v>0</v>
      </c>
      <c r="F373" s="57">
        <f t="shared" si="9"/>
        <v>0</v>
      </c>
      <c r="G373" s="57">
        <f t="shared" si="9"/>
        <v>0</v>
      </c>
      <c r="H373" s="57">
        <f t="shared" si="9"/>
        <v>0</v>
      </c>
      <c r="I373" s="57">
        <f t="shared" si="8"/>
        <v>0</v>
      </c>
      <c r="J373" s="57">
        <f t="shared" si="8"/>
        <v>0</v>
      </c>
      <c r="K373" s="57"/>
      <c r="L373" s="57">
        <f t="shared" si="7"/>
        <v>0</v>
      </c>
      <c r="M373" s="57">
        <f t="shared" si="7"/>
        <v>0</v>
      </c>
    </row>
    <row r="374" spans="1:13" x14ac:dyDescent="0.25">
      <c r="A374" s="34">
        <v>0</v>
      </c>
      <c r="B374" s="57">
        <f t="shared" si="9"/>
        <v>617</v>
      </c>
      <c r="C374" s="57">
        <f t="shared" si="9"/>
        <v>617</v>
      </c>
      <c r="D374" s="57">
        <f t="shared" si="9"/>
        <v>0</v>
      </c>
      <c r="E374" s="57">
        <f t="shared" si="9"/>
        <v>0</v>
      </c>
      <c r="F374" s="57">
        <f t="shared" si="9"/>
        <v>0</v>
      </c>
      <c r="G374" s="57">
        <f t="shared" si="9"/>
        <v>0</v>
      </c>
      <c r="H374" s="57">
        <f t="shared" si="9"/>
        <v>0</v>
      </c>
      <c r="I374" s="57">
        <f t="shared" si="8"/>
        <v>0</v>
      </c>
      <c r="J374" s="57">
        <f t="shared" si="8"/>
        <v>0</v>
      </c>
      <c r="K374" s="57"/>
      <c r="L374" s="57">
        <f t="shared" si="7"/>
        <v>0</v>
      </c>
      <c r="M374" s="57">
        <f t="shared" si="7"/>
        <v>0</v>
      </c>
    </row>
    <row r="375" spans="1:13" x14ac:dyDescent="0.25">
      <c r="A375" s="34">
        <v>0</v>
      </c>
      <c r="B375" s="57">
        <f t="shared" si="9"/>
        <v>617</v>
      </c>
      <c r="C375" s="57">
        <f t="shared" si="9"/>
        <v>617</v>
      </c>
      <c r="D375" s="57">
        <f t="shared" si="9"/>
        <v>0</v>
      </c>
      <c r="E375" s="57">
        <f t="shared" si="9"/>
        <v>0</v>
      </c>
      <c r="F375" s="57">
        <f t="shared" si="9"/>
        <v>0</v>
      </c>
      <c r="G375" s="57">
        <f t="shared" si="9"/>
        <v>0</v>
      </c>
      <c r="H375" s="57">
        <f t="shared" si="9"/>
        <v>0</v>
      </c>
      <c r="I375" s="57">
        <f t="shared" si="8"/>
        <v>0</v>
      </c>
      <c r="J375" s="57">
        <f t="shared" si="8"/>
        <v>0</v>
      </c>
      <c r="K375" s="57"/>
      <c r="L375" s="57">
        <f t="shared" si="7"/>
        <v>0</v>
      </c>
      <c r="M375" s="57">
        <f t="shared" si="7"/>
        <v>0</v>
      </c>
    </row>
    <row r="376" spans="1:13" x14ac:dyDescent="0.25">
      <c r="A376" s="34">
        <v>0</v>
      </c>
      <c r="B376" s="57">
        <f t="shared" si="9"/>
        <v>617</v>
      </c>
      <c r="C376" s="57">
        <f t="shared" si="9"/>
        <v>617</v>
      </c>
      <c r="D376" s="57">
        <f t="shared" si="9"/>
        <v>0</v>
      </c>
      <c r="E376" s="57">
        <f t="shared" si="9"/>
        <v>0</v>
      </c>
      <c r="F376" s="57">
        <f t="shared" si="9"/>
        <v>0</v>
      </c>
      <c r="G376" s="57">
        <f t="shared" si="9"/>
        <v>0</v>
      </c>
      <c r="H376" s="57">
        <f t="shared" si="9"/>
        <v>0</v>
      </c>
      <c r="I376" s="57">
        <f t="shared" si="8"/>
        <v>0</v>
      </c>
      <c r="J376" s="57">
        <f t="shared" si="8"/>
        <v>0</v>
      </c>
      <c r="K376" s="57"/>
      <c r="L376" s="57">
        <f t="shared" si="7"/>
        <v>0</v>
      </c>
      <c r="M376" s="57">
        <f t="shared" si="7"/>
        <v>0</v>
      </c>
    </row>
    <row r="377" spans="1:13" x14ac:dyDescent="0.25">
      <c r="A377" s="34">
        <v>0</v>
      </c>
      <c r="B377" s="57">
        <f t="shared" si="9"/>
        <v>617</v>
      </c>
      <c r="C377" s="57">
        <f t="shared" si="9"/>
        <v>617</v>
      </c>
      <c r="D377" s="57">
        <f t="shared" si="9"/>
        <v>0</v>
      </c>
      <c r="E377" s="57">
        <f t="shared" si="9"/>
        <v>0</v>
      </c>
      <c r="F377" s="57">
        <f t="shared" si="9"/>
        <v>0</v>
      </c>
      <c r="G377" s="57">
        <f t="shared" si="9"/>
        <v>0</v>
      </c>
      <c r="H377" s="57">
        <f t="shared" si="9"/>
        <v>0</v>
      </c>
      <c r="I377" s="57">
        <f t="shared" si="8"/>
        <v>0</v>
      </c>
      <c r="J377" s="57">
        <f t="shared" si="8"/>
        <v>0</v>
      </c>
      <c r="K377" s="57"/>
      <c r="L377" s="57">
        <f t="shared" si="7"/>
        <v>0</v>
      </c>
      <c r="M377" s="57">
        <f t="shared" si="7"/>
        <v>0</v>
      </c>
    </row>
    <row r="378" spans="1:13" x14ac:dyDescent="0.25">
      <c r="A378" s="34">
        <v>0</v>
      </c>
      <c r="B378" s="57">
        <f t="shared" si="9"/>
        <v>617</v>
      </c>
      <c r="C378" s="57">
        <f t="shared" si="9"/>
        <v>617</v>
      </c>
      <c r="D378" s="57">
        <f t="shared" si="9"/>
        <v>0</v>
      </c>
      <c r="E378" s="57">
        <f t="shared" si="9"/>
        <v>0</v>
      </c>
      <c r="F378" s="57">
        <f t="shared" si="9"/>
        <v>0</v>
      </c>
      <c r="G378" s="57">
        <f t="shared" si="9"/>
        <v>0</v>
      </c>
      <c r="H378" s="57">
        <f t="shared" si="9"/>
        <v>0</v>
      </c>
      <c r="I378" s="57">
        <f t="shared" si="8"/>
        <v>0</v>
      </c>
      <c r="J378" s="57">
        <f t="shared" si="8"/>
        <v>0</v>
      </c>
      <c r="K378" s="57"/>
      <c r="L378" s="57">
        <f t="shared" si="7"/>
        <v>0</v>
      </c>
      <c r="M378" s="57">
        <f t="shared" si="7"/>
        <v>0</v>
      </c>
    </row>
    <row r="379" spans="1:13" x14ac:dyDescent="0.25">
      <c r="A379" s="34">
        <v>0</v>
      </c>
      <c r="B379" s="57">
        <f t="shared" si="9"/>
        <v>617</v>
      </c>
      <c r="C379" s="57">
        <f t="shared" si="9"/>
        <v>617</v>
      </c>
      <c r="D379" s="57">
        <f t="shared" si="9"/>
        <v>0</v>
      </c>
      <c r="E379" s="57">
        <f t="shared" si="9"/>
        <v>0</v>
      </c>
      <c r="F379" s="57">
        <f t="shared" si="9"/>
        <v>0</v>
      </c>
      <c r="G379" s="57">
        <f t="shared" si="9"/>
        <v>0</v>
      </c>
      <c r="H379" s="57">
        <f t="shared" si="9"/>
        <v>0</v>
      </c>
      <c r="I379" s="57">
        <f t="shared" si="8"/>
        <v>0</v>
      </c>
      <c r="J379" s="57">
        <f t="shared" si="8"/>
        <v>0</v>
      </c>
      <c r="K379" s="57"/>
      <c r="L379" s="57">
        <f t="shared" si="7"/>
        <v>0</v>
      </c>
      <c r="M379" s="57">
        <f t="shared" si="7"/>
        <v>0</v>
      </c>
    </row>
    <row r="380" spans="1:13" x14ac:dyDescent="0.25">
      <c r="A380" s="34">
        <v>0</v>
      </c>
      <c r="B380" s="57">
        <f t="shared" si="9"/>
        <v>617</v>
      </c>
      <c r="C380" s="57">
        <f t="shared" si="9"/>
        <v>617</v>
      </c>
      <c r="D380" s="57">
        <f t="shared" si="9"/>
        <v>0</v>
      </c>
      <c r="E380" s="57">
        <f t="shared" si="9"/>
        <v>0</v>
      </c>
      <c r="F380" s="57">
        <f t="shared" si="9"/>
        <v>0</v>
      </c>
      <c r="G380" s="57">
        <f t="shared" si="9"/>
        <v>0</v>
      </c>
      <c r="H380" s="57">
        <f t="shared" si="9"/>
        <v>0</v>
      </c>
      <c r="I380" s="57">
        <f t="shared" si="8"/>
        <v>0</v>
      </c>
      <c r="J380" s="57">
        <f t="shared" si="8"/>
        <v>0</v>
      </c>
      <c r="K380" s="57"/>
      <c r="L380" s="57">
        <f t="shared" si="7"/>
        <v>0</v>
      </c>
      <c r="M380" s="57">
        <f t="shared" si="7"/>
        <v>0</v>
      </c>
    </row>
    <row r="381" spans="1:13" x14ac:dyDescent="0.25">
      <c r="A381" s="34">
        <v>0</v>
      </c>
      <c r="B381" s="57">
        <f t="shared" si="9"/>
        <v>617</v>
      </c>
      <c r="C381" s="57">
        <f t="shared" si="9"/>
        <v>617</v>
      </c>
      <c r="D381" s="57">
        <f t="shared" si="9"/>
        <v>0</v>
      </c>
      <c r="E381" s="57">
        <f t="shared" si="9"/>
        <v>0</v>
      </c>
      <c r="F381" s="57">
        <f t="shared" si="9"/>
        <v>0</v>
      </c>
      <c r="G381" s="57">
        <f t="shared" si="9"/>
        <v>0</v>
      </c>
      <c r="H381" s="57">
        <f t="shared" si="9"/>
        <v>0</v>
      </c>
      <c r="I381" s="57">
        <f t="shared" si="8"/>
        <v>0</v>
      </c>
      <c r="J381" s="57">
        <f t="shared" si="8"/>
        <v>0</v>
      </c>
      <c r="K381" s="57"/>
      <c r="L381" s="57">
        <f t="shared" si="7"/>
        <v>0</v>
      </c>
      <c r="M381" s="57">
        <f t="shared" si="7"/>
        <v>0</v>
      </c>
    </row>
    <row r="382" spans="1:13" x14ac:dyDescent="0.25">
      <c r="A382" s="34">
        <v>0</v>
      </c>
      <c r="B382" s="57">
        <f t="shared" si="9"/>
        <v>617</v>
      </c>
      <c r="C382" s="57">
        <f t="shared" si="9"/>
        <v>617</v>
      </c>
      <c r="D382" s="57">
        <f t="shared" si="9"/>
        <v>0</v>
      </c>
      <c r="E382" s="57">
        <f t="shared" si="9"/>
        <v>0</v>
      </c>
      <c r="F382" s="57">
        <f t="shared" si="9"/>
        <v>0</v>
      </c>
      <c r="G382" s="57">
        <f t="shared" si="9"/>
        <v>0</v>
      </c>
      <c r="H382" s="57">
        <f t="shared" si="9"/>
        <v>0</v>
      </c>
      <c r="I382" s="57">
        <f t="shared" si="8"/>
        <v>0</v>
      </c>
      <c r="J382" s="57">
        <f t="shared" si="8"/>
        <v>0</v>
      </c>
      <c r="K382" s="57"/>
      <c r="L382" s="57">
        <f t="shared" si="7"/>
        <v>0</v>
      </c>
      <c r="M382" s="57">
        <f t="shared" si="7"/>
        <v>0</v>
      </c>
    </row>
    <row r="383" spans="1:13" x14ac:dyDescent="0.25">
      <c r="A383" s="34">
        <v>0</v>
      </c>
      <c r="B383" s="57">
        <f t="shared" si="9"/>
        <v>617</v>
      </c>
      <c r="C383" s="57">
        <f t="shared" si="9"/>
        <v>617</v>
      </c>
      <c r="D383" s="57">
        <f t="shared" si="9"/>
        <v>0</v>
      </c>
      <c r="E383" s="57">
        <f t="shared" si="9"/>
        <v>0</v>
      </c>
      <c r="F383" s="57">
        <f t="shared" si="9"/>
        <v>0</v>
      </c>
      <c r="G383" s="57">
        <f t="shared" si="9"/>
        <v>0</v>
      </c>
      <c r="H383" s="57">
        <f t="shared" si="9"/>
        <v>0</v>
      </c>
      <c r="I383" s="57">
        <f t="shared" si="8"/>
        <v>0</v>
      </c>
      <c r="J383" s="57">
        <f t="shared" si="8"/>
        <v>0</v>
      </c>
      <c r="K383" s="57"/>
      <c r="L383" s="57">
        <f t="shared" si="7"/>
        <v>0</v>
      </c>
      <c r="M383" s="57">
        <f t="shared" si="7"/>
        <v>0</v>
      </c>
    </row>
    <row r="384" spans="1:13" x14ac:dyDescent="0.25">
      <c r="A384" s="34">
        <v>0</v>
      </c>
      <c r="B384" s="57">
        <f t="shared" si="9"/>
        <v>617</v>
      </c>
      <c r="C384" s="57">
        <f t="shared" si="9"/>
        <v>617</v>
      </c>
      <c r="D384" s="57">
        <f t="shared" si="9"/>
        <v>0</v>
      </c>
      <c r="E384" s="57">
        <f t="shared" si="9"/>
        <v>0</v>
      </c>
      <c r="F384" s="57">
        <f t="shared" si="9"/>
        <v>0</v>
      </c>
      <c r="G384" s="57">
        <f t="shared" si="9"/>
        <v>0</v>
      </c>
      <c r="H384" s="57">
        <f t="shared" si="9"/>
        <v>0</v>
      </c>
      <c r="I384" s="57">
        <f t="shared" si="8"/>
        <v>0</v>
      </c>
      <c r="J384" s="57">
        <f t="shared" si="8"/>
        <v>0</v>
      </c>
      <c r="K384" s="57"/>
      <c r="L384" s="57">
        <f t="shared" si="7"/>
        <v>0</v>
      </c>
      <c r="M384" s="57">
        <f t="shared" si="7"/>
        <v>0</v>
      </c>
    </row>
    <row r="385" spans="1:13" x14ac:dyDescent="0.25">
      <c r="A385" s="34">
        <v>0</v>
      </c>
      <c r="B385" s="57">
        <f t="shared" si="9"/>
        <v>617</v>
      </c>
      <c r="C385" s="57">
        <f t="shared" si="9"/>
        <v>617</v>
      </c>
      <c r="D385" s="57">
        <f t="shared" si="9"/>
        <v>0</v>
      </c>
      <c r="E385" s="57">
        <f t="shared" si="9"/>
        <v>0</v>
      </c>
      <c r="F385" s="57">
        <f t="shared" si="9"/>
        <v>0</v>
      </c>
      <c r="G385" s="57">
        <f t="shared" si="9"/>
        <v>0</v>
      </c>
      <c r="H385" s="57">
        <f t="shared" si="9"/>
        <v>0</v>
      </c>
      <c r="I385" s="57">
        <f t="shared" si="8"/>
        <v>0</v>
      </c>
      <c r="J385" s="57">
        <f t="shared" si="8"/>
        <v>0</v>
      </c>
      <c r="K385" s="57"/>
      <c r="L385" s="57">
        <f t="shared" si="7"/>
        <v>0</v>
      </c>
      <c r="M385" s="57">
        <f t="shared" si="7"/>
        <v>0</v>
      </c>
    </row>
    <row r="386" spans="1:13" x14ac:dyDescent="0.25">
      <c r="A386" s="34">
        <v>0</v>
      </c>
      <c r="B386" s="57">
        <f t="shared" si="9"/>
        <v>617</v>
      </c>
      <c r="C386" s="57">
        <f t="shared" si="9"/>
        <v>617</v>
      </c>
      <c r="D386" s="57">
        <f t="shared" si="9"/>
        <v>0</v>
      </c>
      <c r="E386" s="57">
        <f t="shared" si="9"/>
        <v>0</v>
      </c>
      <c r="F386" s="57">
        <f t="shared" si="9"/>
        <v>0</v>
      </c>
      <c r="G386" s="57">
        <f t="shared" si="9"/>
        <v>0</v>
      </c>
      <c r="H386" s="57">
        <f t="shared" si="9"/>
        <v>0</v>
      </c>
      <c r="I386" s="57">
        <f t="shared" si="8"/>
        <v>0</v>
      </c>
      <c r="J386" s="57">
        <f t="shared" si="8"/>
        <v>0</v>
      </c>
      <c r="K386" s="57"/>
      <c r="L386" s="57">
        <f t="shared" si="7"/>
        <v>0</v>
      </c>
      <c r="M386" s="57">
        <f t="shared" si="7"/>
        <v>0</v>
      </c>
    </row>
    <row r="387" spans="1:13" x14ac:dyDescent="0.25">
      <c r="A387" s="34">
        <v>0</v>
      </c>
      <c r="B387" s="57">
        <f t="shared" si="9"/>
        <v>617</v>
      </c>
      <c r="C387" s="57">
        <f t="shared" si="9"/>
        <v>617</v>
      </c>
      <c r="D387" s="57">
        <f t="shared" si="9"/>
        <v>0</v>
      </c>
      <c r="E387" s="57">
        <f t="shared" si="9"/>
        <v>0</v>
      </c>
      <c r="F387" s="57">
        <f t="shared" si="9"/>
        <v>0</v>
      </c>
      <c r="G387" s="57">
        <f t="shared" si="9"/>
        <v>0</v>
      </c>
      <c r="H387" s="57">
        <f t="shared" si="9"/>
        <v>0</v>
      </c>
      <c r="I387" s="57">
        <f t="shared" si="8"/>
        <v>0</v>
      </c>
      <c r="J387" s="57">
        <f t="shared" si="8"/>
        <v>0</v>
      </c>
      <c r="K387" s="57"/>
      <c r="L387" s="57">
        <f t="shared" si="7"/>
        <v>0</v>
      </c>
      <c r="M387" s="57">
        <f t="shared" si="7"/>
        <v>0</v>
      </c>
    </row>
    <row r="388" spans="1:13" x14ac:dyDescent="0.25">
      <c r="A388" s="34">
        <v>0</v>
      </c>
      <c r="B388" s="57">
        <f t="shared" si="9"/>
        <v>617</v>
      </c>
      <c r="C388" s="57">
        <f t="shared" si="9"/>
        <v>617</v>
      </c>
      <c r="D388" s="57">
        <f t="shared" si="9"/>
        <v>0</v>
      </c>
      <c r="E388" s="57">
        <f t="shared" si="9"/>
        <v>0</v>
      </c>
      <c r="F388" s="57">
        <f t="shared" si="9"/>
        <v>0</v>
      </c>
      <c r="G388" s="57">
        <f t="shared" si="9"/>
        <v>0</v>
      </c>
      <c r="H388" s="57">
        <f t="shared" si="9"/>
        <v>0</v>
      </c>
      <c r="I388" s="57">
        <f t="shared" si="8"/>
        <v>0</v>
      </c>
      <c r="J388" s="57">
        <f t="shared" si="8"/>
        <v>0</v>
      </c>
      <c r="K388" s="57"/>
      <c r="L388" s="57">
        <f t="shared" si="7"/>
        <v>0</v>
      </c>
      <c r="M388" s="57">
        <f t="shared" si="7"/>
        <v>0</v>
      </c>
    </row>
    <row r="492" spans="1:1" x14ac:dyDescent="0.25">
      <c r="A492" s="34" t="s">
        <v>36</v>
      </c>
    </row>
    <row r="493" spans="1:1" x14ac:dyDescent="0.25">
      <c r="A493" s="34" t="s">
        <v>37</v>
      </c>
    </row>
    <row r="494" spans="1:1" x14ac:dyDescent="0.25">
      <c r="A494" s="34" t="s">
        <v>38</v>
      </c>
    </row>
    <row r="495" spans="1:1" x14ac:dyDescent="0.25">
      <c r="A495" s="34" t="s">
        <v>39</v>
      </c>
    </row>
    <row r="496" spans="1:1" x14ac:dyDescent="0.25">
      <c r="A496" s="34" t="s">
        <v>40</v>
      </c>
    </row>
    <row r="497" spans="1:1" x14ac:dyDescent="0.25">
      <c r="A497" s="34" t="s">
        <v>41</v>
      </c>
    </row>
    <row r="498" spans="1:1" x14ac:dyDescent="0.25">
      <c r="A498" s="34" t="s">
        <v>42</v>
      </c>
    </row>
    <row r="499" spans="1:1" x14ac:dyDescent="0.25">
      <c r="A499" s="34" t="s">
        <v>43</v>
      </c>
    </row>
    <row r="500" spans="1:1" x14ac:dyDescent="0.25">
      <c r="A500" s="34" t="s">
        <v>44</v>
      </c>
    </row>
    <row r="501" spans="1:1" x14ac:dyDescent="0.25">
      <c r="A501" s="34" t="s">
        <v>45</v>
      </c>
    </row>
    <row r="953" spans="9:9" x14ac:dyDescent="0.25">
      <c r="I953" s="34" t="s">
        <v>46</v>
      </c>
    </row>
    <row r="954" spans="9:9" x14ac:dyDescent="0.25">
      <c r="I954" s="34" t="s">
        <v>47</v>
      </c>
    </row>
    <row r="955" spans="9:9" x14ac:dyDescent="0.25">
      <c r="I955" s="34" t="s">
        <v>48</v>
      </c>
    </row>
    <row r="956" spans="9:9" x14ac:dyDescent="0.25">
      <c r="I956" s="34" t="s">
        <v>49</v>
      </c>
    </row>
    <row r="957" spans="9:9" x14ac:dyDescent="0.25">
      <c r="I957" s="34" t="s">
        <v>50</v>
      </c>
    </row>
    <row r="958" spans="9:9" x14ac:dyDescent="0.25">
      <c r="I958" s="34" t="s">
        <v>51</v>
      </c>
    </row>
    <row r="959" spans="9:9" x14ac:dyDescent="0.25">
      <c r="I959" s="34" t="s">
        <v>52</v>
      </c>
    </row>
    <row r="960" spans="9:9" x14ac:dyDescent="0.25">
      <c r="I960" s="34" t="s">
        <v>53</v>
      </c>
    </row>
    <row r="961" spans="9:9" x14ac:dyDescent="0.25">
      <c r="I961" s="34" t="s">
        <v>54</v>
      </c>
    </row>
    <row r="962" spans="9:9" x14ac:dyDescent="0.25">
      <c r="I962" s="34" t="s">
        <v>55</v>
      </c>
    </row>
    <row r="963" spans="9:9" x14ac:dyDescent="0.25">
      <c r="I963" s="34" t="s">
        <v>56</v>
      </c>
    </row>
    <row r="964" spans="9:9" x14ac:dyDescent="0.25">
      <c r="I964" s="34" t="s">
        <v>57</v>
      </c>
    </row>
    <row r="965" spans="9:9" x14ac:dyDescent="0.25">
      <c r="I965" s="34" t="s">
        <v>58</v>
      </c>
    </row>
    <row r="966" spans="9:9" x14ac:dyDescent="0.25">
      <c r="I966" s="34" t="s">
        <v>59</v>
      </c>
    </row>
    <row r="967" spans="9:9" x14ac:dyDescent="0.25">
      <c r="I967" s="34" t="s">
        <v>60</v>
      </c>
    </row>
    <row r="968" spans="9:9" x14ac:dyDescent="0.25">
      <c r="I968" s="34" t="s">
        <v>61</v>
      </c>
    </row>
    <row r="969" spans="9:9" x14ac:dyDescent="0.25">
      <c r="I969" s="34" t="s">
        <v>62</v>
      </c>
    </row>
    <row r="970" spans="9:9" x14ac:dyDescent="0.25">
      <c r="I970" s="34" t="s">
        <v>63</v>
      </c>
    </row>
    <row r="971" spans="9:9" x14ac:dyDescent="0.25">
      <c r="I971" s="34" t="s">
        <v>64</v>
      </c>
    </row>
    <row r="972" spans="9:9" x14ac:dyDescent="0.25">
      <c r="I972" s="34" t="s">
        <v>65</v>
      </c>
    </row>
    <row r="973" spans="9:9" x14ac:dyDescent="0.25">
      <c r="I973" s="34" t="s">
        <v>66</v>
      </c>
    </row>
    <row r="974" spans="9:9" x14ac:dyDescent="0.25">
      <c r="I974" s="34" t="s">
        <v>67</v>
      </c>
    </row>
    <row r="975" spans="9:9" x14ac:dyDescent="0.25">
      <c r="I975" s="34" t="s">
        <v>68</v>
      </c>
    </row>
    <row r="976" spans="9:9" x14ac:dyDescent="0.25">
      <c r="I976" s="34" t="s">
        <v>69</v>
      </c>
    </row>
    <row r="977" spans="9:9" x14ac:dyDescent="0.25">
      <c r="I977" s="34" t="s">
        <v>70</v>
      </c>
    </row>
    <row r="978" spans="9:9" x14ac:dyDescent="0.25">
      <c r="I978" s="34" t="s">
        <v>71</v>
      </c>
    </row>
  </sheetData>
  <protectedRanges>
    <protectedRange algorithmName="SHA-512" hashValue="cDIo2LrqoPmS/Kh2At9MnaHAHA5kYGg9e11lV7QqGfxHLrFTlNDdnUvlCXNuNhamJ7UlO6mys9ROXNPQjlLckQ==" saltValue="jv8XDoX7NiJhOUXNYQ7+FA==" spinCount="100000" sqref="Q9:AI104" name="Range3"/>
    <protectedRange algorithmName="SHA-512" hashValue="39JY9U8Zrm4UzOd+E8f9Qd3UHT1iovDM1pej7RgFj0JN5ITg1lysY8acMJ9bXfWd5dJFMJbxDwSvqJbqU88A6Q==" saltValue="AuFoNR7BnpO26904NDlOeA==" spinCount="100000" sqref="B6" name="Range1"/>
    <protectedRange algorithmName="SHA-512" hashValue="1jJWfUXWRRT08/cshb+Zq/RAMTya5nSG8yWpGVBg0Dfqhe3vup+3W9p/IBZi/Wrrv1DDhqG9wt/eD6EO1fnNvQ==" saltValue="VWP5arczVApFJ9oxlz3YOA==" spinCount="100000" sqref="V8:AI8" name="Range2"/>
    <protectedRange algorithmName="SHA-512" hashValue="qQYn+m+b4UVdjF94fJY26EWyaL6NXSlMR0hjQ5/xNDkmthaz1VvGWbh/7nGtIdkgRT6aNUF0IIZNQcadTKpO7g==" saltValue="2NnoMCglf5tG+69kK64QMw==" spinCount="100000" sqref="F9:P104" name="Range3_1"/>
    <protectedRange algorithmName="SHA-512" hashValue="1jJWfUXWRRT08/cshb+Zq/RAMTya5nSG8yWpGVBg0Dfqhe3vup+3W9p/IBZi/Wrrv1DDhqG9wt/eD6EO1fnNvQ==" saltValue="VWP5arczVApFJ9oxlz3YOA==" spinCount="100000" sqref="R8:S8 U8" name="Range2_1"/>
    <protectedRange algorithmName="SHA-512" hashValue="1jJWfUXWRRT08/cshb+Zq/RAMTya5nSG8yWpGVBg0Dfqhe3vup+3W9p/IBZi/Wrrv1DDhqG9wt/eD6EO1fnNvQ==" saltValue="VWP5arczVApFJ9oxlz3YOA==" spinCount="100000" sqref="O8:Q8 T8" name="Range2_3"/>
    <protectedRange algorithmName="SHA-512" hashValue="1jJWfUXWRRT08/cshb+Zq/RAMTya5nSG8yWpGVBg0Dfqhe3vup+3W9p/IBZi/Wrrv1DDhqG9wt/eD6EO1fnNvQ==" saltValue="VWP5arczVApFJ9oxlz3YOA==" spinCount="100000" sqref="F8:N8" name="Range2_3_2"/>
    <protectedRange password="CE2A" sqref="E9:E104" name="Range3_3_1"/>
    <protectedRange algorithmName="SHA-512" hashValue="1jJWfUXWRRT08/cshb+Zq/RAMTya5nSG8yWpGVBg0Dfqhe3vup+3W9p/IBZi/Wrrv1DDhqG9wt/eD6EO1fnNvQ==" saltValue="VWP5arczVApFJ9oxlz3YOA==" spinCount="100000" sqref="E8" name="Range2_3_1"/>
  </protectedRanges>
  <mergeCells count="16">
    <mergeCell ref="A1:O1"/>
    <mergeCell ref="A2:O2"/>
    <mergeCell ref="A3:A4"/>
    <mergeCell ref="B3:D4"/>
    <mergeCell ref="E3:E4"/>
    <mergeCell ref="F3:G4"/>
    <mergeCell ref="H3:L4"/>
    <mergeCell ref="AH3:AH4"/>
    <mergeCell ref="AI3:AI4"/>
    <mergeCell ref="A6:C7"/>
    <mergeCell ref="Q3:AB4"/>
    <mergeCell ref="AC3:AC4"/>
    <mergeCell ref="AD3:AD4"/>
    <mergeCell ref="AE3:AE4"/>
    <mergeCell ref="AF3:AF4"/>
    <mergeCell ref="AG3:AG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CustomerData!$B$1:$B$483</xm:f>
          </x14:formula1>
          <xm:sqref>E8:AI8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theme="4" tint="0.39997558519241921"/>
  </sheetPr>
  <dimension ref="A1:U450"/>
  <sheetViews>
    <sheetView showGridLines="0" workbookViewId="0">
      <pane ySplit="1" topLeftCell="A427" activePane="bottomLeft" state="frozen"/>
      <selection pane="bottomLeft" activeCell="B450" sqref="B450"/>
    </sheetView>
  </sheetViews>
  <sheetFormatPr defaultRowHeight="15" x14ac:dyDescent="0.25"/>
  <cols>
    <col min="1" max="1" width="5" style="2" bestFit="1" customWidth="1"/>
    <col min="2" max="2" width="39.140625" style="2" bestFit="1" customWidth="1"/>
    <col min="3" max="3" width="7.85546875" style="2" bestFit="1" customWidth="1"/>
    <col min="4" max="5" width="7.5703125" style="2" bestFit="1" customWidth="1"/>
    <col min="6" max="6" width="54.140625" style="2" hidden="1" customWidth="1"/>
    <col min="7" max="7" width="54" style="2" hidden="1" customWidth="1"/>
    <col min="8" max="8" width="11" style="2" hidden="1" customWidth="1"/>
    <col min="9" max="9" width="16.28515625" style="2" hidden="1" customWidth="1"/>
    <col min="10" max="10" width="8.7109375" style="2" hidden="1" customWidth="1"/>
    <col min="11" max="11" width="13.5703125" style="127" hidden="1" customWidth="1"/>
    <col min="12" max="21" width="8.85546875" style="2" customWidth="1"/>
    <col min="22" max="22" width="8.85546875" customWidth="1"/>
  </cols>
  <sheetData>
    <row r="1" spans="1:21" ht="15.75" thickBot="1" x14ac:dyDescent="0.3">
      <c r="A1" s="130" t="s">
        <v>74</v>
      </c>
      <c r="B1" s="128" t="s">
        <v>3</v>
      </c>
      <c r="C1" s="128" t="s">
        <v>0</v>
      </c>
      <c r="D1" s="128" t="s">
        <v>4</v>
      </c>
      <c r="E1" s="128" t="s">
        <v>5</v>
      </c>
      <c r="F1" s="128" t="s">
        <v>6</v>
      </c>
      <c r="G1" s="128" t="s">
        <v>7</v>
      </c>
      <c r="H1" s="128" t="s">
        <v>8</v>
      </c>
      <c r="I1" s="128" t="s">
        <v>1</v>
      </c>
      <c r="J1" s="128" t="s">
        <v>2</v>
      </c>
      <c r="K1" s="131" t="s">
        <v>78</v>
      </c>
      <c r="U1"/>
    </row>
    <row r="2" spans="1:21" x14ac:dyDescent="0.25">
      <c r="A2">
        <v>1</v>
      </c>
      <c r="B2" t="s">
        <v>119</v>
      </c>
      <c r="C2" t="s">
        <v>118</v>
      </c>
      <c r="D2">
        <v>0</v>
      </c>
      <c r="E2">
        <v>0</v>
      </c>
      <c r="F2" t="s">
        <v>120</v>
      </c>
      <c r="G2"/>
      <c r="H2"/>
      <c r="I2"/>
      <c r="J2" t="s">
        <v>114</v>
      </c>
      <c r="K2" s="73">
        <v>44908.727352465277</v>
      </c>
      <c r="U2" s="73"/>
    </row>
    <row r="3" spans="1:21" x14ac:dyDescent="0.25">
      <c r="A3">
        <v>2</v>
      </c>
      <c r="B3" t="s">
        <v>121</v>
      </c>
      <c r="C3" t="s">
        <v>118</v>
      </c>
      <c r="D3">
        <v>0</v>
      </c>
      <c r="E3">
        <v>0</v>
      </c>
      <c r="F3" t="s">
        <v>122</v>
      </c>
      <c r="G3"/>
      <c r="H3"/>
      <c r="I3"/>
      <c r="J3" t="s">
        <v>114</v>
      </c>
      <c r="K3" s="73">
        <v>44908.727758877314</v>
      </c>
      <c r="U3" s="73"/>
    </row>
    <row r="4" spans="1:21" x14ac:dyDescent="0.25">
      <c r="A4">
        <v>3</v>
      </c>
      <c r="B4" t="s">
        <v>123</v>
      </c>
      <c r="C4" t="s">
        <v>118</v>
      </c>
      <c r="D4">
        <v>0</v>
      </c>
      <c r="E4">
        <v>0</v>
      </c>
      <c r="F4"/>
      <c r="G4" t="s">
        <v>124</v>
      </c>
      <c r="H4"/>
      <c r="I4"/>
      <c r="J4" t="s">
        <v>114</v>
      </c>
      <c r="K4" s="73">
        <v>44908.728081562498</v>
      </c>
      <c r="U4" s="73"/>
    </row>
    <row r="5" spans="1:21" x14ac:dyDescent="0.25">
      <c r="A5">
        <v>5</v>
      </c>
      <c r="B5" t="s">
        <v>113</v>
      </c>
      <c r="C5" t="s">
        <v>118</v>
      </c>
      <c r="D5">
        <v>1</v>
      </c>
      <c r="E5">
        <v>1</v>
      </c>
      <c r="F5" t="s">
        <v>125</v>
      </c>
      <c r="G5" t="s">
        <v>126</v>
      </c>
      <c r="H5"/>
      <c r="I5" t="s">
        <v>1449</v>
      </c>
      <c r="J5" t="s">
        <v>114</v>
      </c>
      <c r="K5" s="73">
        <v>45233.69072496528</v>
      </c>
      <c r="U5" s="73"/>
    </row>
    <row r="6" spans="1:21" x14ac:dyDescent="0.25">
      <c r="A6">
        <v>64</v>
      </c>
      <c r="B6" t="s">
        <v>129</v>
      </c>
      <c r="C6" t="s">
        <v>118</v>
      </c>
      <c r="D6">
        <v>1</v>
      </c>
      <c r="E6">
        <v>2</v>
      </c>
      <c r="F6" t="s">
        <v>130</v>
      </c>
      <c r="G6" t="s">
        <v>131</v>
      </c>
      <c r="H6"/>
      <c r="I6" t="s">
        <v>1449</v>
      </c>
      <c r="J6" t="s">
        <v>114</v>
      </c>
      <c r="K6" s="73">
        <v>45288.741666666669</v>
      </c>
      <c r="U6" s="73"/>
    </row>
    <row r="7" spans="1:21" x14ac:dyDescent="0.25">
      <c r="A7">
        <v>221</v>
      </c>
      <c r="B7" t="s">
        <v>132</v>
      </c>
      <c r="C7" t="s">
        <v>118</v>
      </c>
      <c r="D7">
        <v>3</v>
      </c>
      <c r="E7">
        <v>4</v>
      </c>
      <c r="F7" t="s">
        <v>133</v>
      </c>
      <c r="G7" t="s">
        <v>134</v>
      </c>
      <c r="H7"/>
      <c r="I7" t="s">
        <v>1449</v>
      </c>
      <c r="J7" t="s">
        <v>114</v>
      </c>
      <c r="K7" s="73">
        <v>45288.741666666669</v>
      </c>
      <c r="U7" s="73"/>
    </row>
    <row r="8" spans="1:21" x14ac:dyDescent="0.25">
      <c r="A8">
        <v>222</v>
      </c>
      <c r="B8" t="s">
        <v>135</v>
      </c>
      <c r="C8" t="s">
        <v>118</v>
      </c>
      <c r="D8">
        <v>5</v>
      </c>
      <c r="E8">
        <v>6</v>
      </c>
      <c r="F8" t="s">
        <v>136</v>
      </c>
      <c r="G8" t="s">
        <v>137</v>
      </c>
      <c r="H8"/>
      <c r="I8" t="s">
        <v>1449</v>
      </c>
      <c r="J8" t="s">
        <v>114</v>
      </c>
      <c r="K8" s="73">
        <v>45288.741666666669</v>
      </c>
      <c r="U8" s="73"/>
    </row>
    <row r="9" spans="1:21" x14ac:dyDescent="0.25">
      <c r="A9">
        <v>223</v>
      </c>
      <c r="B9" t="s">
        <v>138</v>
      </c>
      <c r="C9" t="s">
        <v>118</v>
      </c>
      <c r="D9">
        <v>7</v>
      </c>
      <c r="E9">
        <v>8</v>
      </c>
      <c r="F9" t="s">
        <v>139</v>
      </c>
      <c r="G9" t="s">
        <v>140</v>
      </c>
      <c r="H9"/>
      <c r="I9" t="s">
        <v>1449</v>
      </c>
      <c r="J9" t="s">
        <v>114</v>
      </c>
      <c r="K9" s="73">
        <v>45288.741666666669</v>
      </c>
    </row>
    <row r="10" spans="1:21" ht="15.75" thickBot="1" x14ac:dyDescent="0.3">
      <c r="A10">
        <v>224</v>
      </c>
      <c r="B10" t="s">
        <v>141</v>
      </c>
      <c r="C10" t="s">
        <v>118</v>
      </c>
      <c r="D10">
        <v>431</v>
      </c>
      <c r="E10">
        <v>1431</v>
      </c>
      <c r="F10" t="s">
        <v>142</v>
      </c>
      <c r="G10" t="s">
        <v>143</v>
      </c>
      <c r="H10"/>
      <c r="I10" t="s">
        <v>1450</v>
      </c>
      <c r="J10" t="s">
        <v>114</v>
      </c>
      <c r="K10" s="73">
        <v>45288.741666666669</v>
      </c>
    </row>
    <row r="11" spans="1:21" ht="20.25" thickBot="1" x14ac:dyDescent="0.3">
      <c r="A11">
        <v>225</v>
      </c>
      <c r="B11" t="s">
        <v>145</v>
      </c>
      <c r="C11" t="s">
        <v>118</v>
      </c>
      <c r="D11">
        <v>419</v>
      </c>
      <c r="E11">
        <v>1419</v>
      </c>
      <c r="F11" t="s">
        <v>146</v>
      </c>
      <c r="G11" t="s">
        <v>147</v>
      </c>
      <c r="H11"/>
      <c r="I11" t="s">
        <v>1450</v>
      </c>
      <c r="J11" t="s">
        <v>114</v>
      </c>
      <c r="K11" s="73">
        <v>45288.741666666669</v>
      </c>
      <c r="L11"/>
      <c r="M11"/>
      <c r="N11" s="1"/>
      <c r="O11"/>
      <c r="P11"/>
      <c r="Q11"/>
      <c r="R11"/>
      <c r="S11"/>
      <c r="T11"/>
      <c r="U11"/>
    </row>
    <row r="12" spans="1:21" x14ac:dyDescent="0.25">
      <c r="A12">
        <v>226</v>
      </c>
      <c r="B12" t="s">
        <v>148</v>
      </c>
      <c r="C12" t="s">
        <v>118</v>
      </c>
      <c r="D12">
        <v>441</v>
      </c>
      <c r="E12">
        <v>1441</v>
      </c>
      <c r="F12" t="s">
        <v>149</v>
      </c>
      <c r="G12" t="s">
        <v>150</v>
      </c>
      <c r="H12"/>
      <c r="I12" t="s">
        <v>1450</v>
      </c>
      <c r="J12" t="s">
        <v>114</v>
      </c>
      <c r="K12" s="73">
        <v>45288.741666666669</v>
      </c>
      <c r="L12"/>
      <c r="M12"/>
      <c r="N12"/>
      <c r="O12"/>
      <c r="P12"/>
      <c r="Q12"/>
      <c r="R12"/>
      <c r="S12"/>
      <c r="T12"/>
      <c r="U12"/>
    </row>
    <row r="13" spans="1:21" x14ac:dyDescent="0.25">
      <c r="A13">
        <v>227</v>
      </c>
      <c r="B13" t="s">
        <v>151</v>
      </c>
      <c r="C13" t="s">
        <v>118</v>
      </c>
      <c r="D13">
        <v>275</v>
      </c>
      <c r="E13">
        <v>1275</v>
      </c>
      <c r="F13" t="s">
        <v>152</v>
      </c>
      <c r="G13" t="s">
        <v>153</v>
      </c>
      <c r="H13"/>
      <c r="I13" t="s">
        <v>1450</v>
      </c>
      <c r="J13" t="s">
        <v>114</v>
      </c>
      <c r="K13" s="73">
        <v>45288.741666666669</v>
      </c>
      <c r="L13"/>
      <c r="M13"/>
      <c r="N13"/>
      <c r="O13"/>
      <c r="P13"/>
      <c r="Q13"/>
      <c r="R13"/>
      <c r="S13"/>
      <c r="T13"/>
      <c r="U13"/>
    </row>
    <row r="14" spans="1:21" x14ac:dyDescent="0.25">
      <c r="A14">
        <v>228</v>
      </c>
      <c r="B14" t="s">
        <v>154</v>
      </c>
      <c r="C14" t="s">
        <v>118</v>
      </c>
      <c r="D14">
        <v>206</v>
      </c>
      <c r="E14">
        <v>1206</v>
      </c>
      <c r="F14" t="s">
        <v>155</v>
      </c>
      <c r="G14" t="s">
        <v>156</v>
      </c>
      <c r="H14"/>
      <c r="I14" t="s">
        <v>1450</v>
      </c>
      <c r="J14" t="s">
        <v>114</v>
      </c>
      <c r="K14" s="73">
        <v>45288.741666666669</v>
      </c>
      <c r="L14"/>
      <c r="M14"/>
      <c r="N14"/>
      <c r="O14"/>
      <c r="P14"/>
      <c r="Q14"/>
      <c r="R14"/>
      <c r="S14"/>
      <c r="T14"/>
      <c r="U14"/>
    </row>
    <row r="15" spans="1:21" x14ac:dyDescent="0.25">
      <c r="A15">
        <v>229</v>
      </c>
      <c r="B15" t="s">
        <v>157</v>
      </c>
      <c r="C15" t="s">
        <v>118</v>
      </c>
      <c r="D15">
        <v>82</v>
      </c>
      <c r="E15">
        <v>1082</v>
      </c>
      <c r="F15" t="s">
        <v>158</v>
      </c>
      <c r="G15" t="s">
        <v>159</v>
      </c>
      <c r="H15"/>
      <c r="I15" t="s">
        <v>1450</v>
      </c>
      <c r="J15" t="s">
        <v>114</v>
      </c>
      <c r="K15" s="73">
        <v>45288.741666666669</v>
      </c>
      <c r="L15"/>
      <c r="M15"/>
      <c r="N15"/>
      <c r="O15"/>
      <c r="P15"/>
      <c r="Q15"/>
      <c r="R15"/>
      <c r="S15"/>
      <c r="T15"/>
      <c r="U15"/>
    </row>
    <row r="16" spans="1:21" x14ac:dyDescent="0.25">
      <c r="A16">
        <v>230</v>
      </c>
      <c r="B16" t="s">
        <v>160</v>
      </c>
      <c r="C16" t="s">
        <v>118</v>
      </c>
      <c r="D16">
        <v>390</v>
      </c>
      <c r="E16">
        <v>1390</v>
      </c>
      <c r="F16" t="s">
        <v>161</v>
      </c>
      <c r="G16" t="s">
        <v>162</v>
      </c>
      <c r="H16"/>
      <c r="I16" t="s">
        <v>1450</v>
      </c>
      <c r="J16" t="s">
        <v>114</v>
      </c>
      <c r="K16" s="73">
        <v>45288.741666666669</v>
      </c>
      <c r="L16"/>
      <c r="M16"/>
      <c r="N16"/>
      <c r="O16"/>
      <c r="P16"/>
      <c r="Q16"/>
      <c r="R16"/>
      <c r="S16"/>
      <c r="T16"/>
      <c r="U16"/>
    </row>
    <row r="17" spans="1:21" x14ac:dyDescent="0.25">
      <c r="A17">
        <v>231</v>
      </c>
      <c r="B17" t="s">
        <v>163</v>
      </c>
      <c r="C17" t="s">
        <v>118</v>
      </c>
      <c r="D17">
        <v>300</v>
      </c>
      <c r="E17">
        <v>1300</v>
      </c>
      <c r="F17" t="s">
        <v>164</v>
      </c>
      <c r="G17" t="s">
        <v>165</v>
      </c>
      <c r="H17"/>
      <c r="I17" t="s">
        <v>1450</v>
      </c>
      <c r="J17" t="s">
        <v>114</v>
      </c>
      <c r="K17" s="73">
        <v>45288.741666666669</v>
      </c>
      <c r="L17"/>
      <c r="M17"/>
      <c r="N17"/>
      <c r="O17"/>
      <c r="P17"/>
      <c r="Q17"/>
      <c r="R17"/>
      <c r="S17"/>
      <c r="T17"/>
      <c r="U17"/>
    </row>
    <row r="18" spans="1:21" x14ac:dyDescent="0.25">
      <c r="A18">
        <v>232</v>
      </c>
      <c r="B18" t="s">
        <v>166</v>
      </c>
      <c r="C18" t="s">
        <v>118</v>
      </c>
      <c r="D18">
        <v>338</v>
      </c>
      <c r="E18">
        <v>1338</v>
      </c>
      <c r="F18" t="s">
        <v>167</v>
      </c>
      <c r="G18" t="s">
        <v>168</v>
      </c>
      <c r="H18"/>
      <c r="I18" t="s">
        <v>1450</v>
      </c>
      <c r="J18" t="s">
        <v>114</v>
      </c>
      <c r="K18" s="73">
        <v>45288.741666666669</v>
      </c>
      <c r="L18"/>
      <c r="M18"/>
      <c r="N18"/>
      <c r="O18"/>
      <c r="P18"/>
      <c r="Q18"/>
      <c r="R18"/>
      <c r="S18"/>
      <c r="T18"/>
      <c r="U18"/>
    </row>
    <row r="19" spans="1:21" x14ac:dyDescent="0.25">
      <c r="A19">
        <v>233</v>
      </c>
      <c r="B19" t="s">
        <v>169</v>
      </c>
      <c r="C19" t="s">
        <v>118</v>
      </c>
      <c r="D19">
        <v>360</v>
      </c>
      <c r="E19">
        <v>1360</v>
      </c>
      <c r="F19" t="s">
        <v>170</v>
      </c>
      <c r="G19" t="s">
        <v>171</v>
      </c>
      <c r="H19"/>
      <c r="I19" t="s">
        <v>1450</v>
      </c>
      <c r="J19" t="s">
        <v>114</v>
      </c>
      <c r="K19" s="73">
        <v>45288.741666666669</v>
      </c>
      <c r="L19"/>
      <c r="M19"/>
      <c r="N19"/>
      <c r="O19"/>
      <c r="P19"/>
      <c r="Q19"/>
      <c r="R19"/>
      <c r="S19"/>
      <c r="T19"/>
      <c r="U19"/>
    </row>
    <row r="20" spans="1:21" x14ac:dyDescent="0.25">
      <c r="A20">
        <v>234</v>
      </c>
      <c r="B20" t="s">
        <v>172</v>
      </c>
      <c r="C20" t="s">
        <v>118</v>
      </c>
      <c r="D20">
        <v>352</v>
      </c>
      <c r="E20">
        <v>1352</v>
      </c>
      <c r="F20" t="s">
        <v>173</v>
      </c>
      <c r="G20" t="s">
        <v>174</v>
      </c>
      <c r="H20"/>
      <c r="I20" t="s">
        <v>1450</v>
      </c>
      <c r="J20" t="s">
        <v>114</v>
      </c>
      <c r="K20" s="73">
        <v>45288.741666666669</v>
      </c>
      <c r="L20"/>
      <c r="M20"/>
      <c r="N20"/>
      <c r="O20"/>
      <c r="P20"/>
      <c r="Q20"/>
      <c r="R20"/>
      <c r="S20"/>
      <c r="T20"/>
      <c r="U20"/>
    </row>
    <row r="21" spans="1:21" x14ac:dyDescent="0.25">
      <c r="A21">
        <v>235</v>
      </c>
      <c r="B21" t="s">
        <v>175</v>
      </c>
      <c r="C21" t="s">
        <v>118</v>
      </c>
      <c r="D21">
        <v>197</v>
      </c>
      <c r="E21">
        <v>1197</v>
      </c>
      <c r="F21" t="s">
        <v>176</v>
      </c>
      <c r="G21" t="s">
        <v>177</v>
      </c>
      <c r="H21"/>
      <c r="I21" t="s">
        <v>1450</v>
      </c>
      <c r="J21" t="s">
        <v>114</v>
      </c>
      <c r="K21" s="73">
        <v>45288.741666666669</v>
      </c>
      <c r="L21"/>
      <c r="M21"/>
      <c r="N21"/>
      <c r="O21"/>
      <c r="P21"/>
      <c r="Q21"/>
      <c r="R21"/>
      <c r="S21"/>
      <c r="T21"/>
      <c r="U21"/>
    </row>
    <row r="22" spans="1:21" x14ac:dyDescent="0.25">
      <c r="A22">
        <v>236</v>
      </c>
      <c r="B22" t="s">
        <v>178</v>
      </c>
      <c r="C22" t="s">
        <v>118</v>
      </c>
      <c r="D22">
        <v>349</v>
      </c>
      <c r="E22">
        <v>1349</v>
      </c>
      <c r="F22" t="s">
        <v>179</v>
      </c>
      <c r="G22" t="s">
        <v>180</v>
      </c>
      <c r="H22"/>
      <c r="I22" t="s">
        <v>1450</v>
      </c>
      <c r="J22" t="s">
        <v>114</v>
      </c>
      <c r="K22" s="73">
        <v>45288.741666666669</v>
      </c>
      <c r="L22"/>
      <c r="M22"/>
      <c r="N22"/>
      <c r="O22"/>
      <c r="P22"/>
      <c r="Q22"/>
      <c r="R22"/>
      <c r="S22"/>
      <c r="T22"/>
      <c r="U22"/>
    </row>
    <row r="23" spans="1:21" x14ac:dyDescent="0.25">
      <c r="A23">
        <v>237</v>
      </c>
      <c r="B23" t="s">
        <v>181</v>
      </c>
      <c r="C23" t="s">
        <v>118</v>
      </c>
      <c r="D23">
        <v>83</v>
      </c>
      <c r="E23">
        <v>1083</v>
      </c>
      <c r="F23" t="s">
        <v>182</v>
      </c>
      <c r="G23" t="s">
        <v>183</v>
      </c>
      <c r="H23"/>
      <c r="I23" t="s">
        <v>1450</v>
      </c>
      <c r="J23" t="s">
        <v>114</v>
      </c>
      <c r="K23" s="73">
        <v>45288.741666666669</v>
      </c>
      <c r="L23"/>
      <c r="M23"/>
      <c r="N23"/>
      <c r="O23"/>
      <c r="P23"/>
      <c r="Q23"/>
      <c r="R23"/>
      <c r="S23"/>
      <c r="T23"/>
      <c r="U23"/>
    </row>
    <row r="24" spans="1:21" x14ac:dyDescent="0.25">
      <c r="A24">
        <v>238</v>
      </c>
      <c r="B24" t="s">
        <v>184</v>
      </c>
      <c r="C24" t="s">
        <v>118</v>
      </c>
      <c r="D24">
        <v>348</v>
      </c>
      <c r="E24">
        <v>1348</v>
      </c>
      <c r="F24" t="s">
        <v>185</v>
      </c>
      <c r="G24" t="s">
        <v>186</v>
      </c>
      <c r="H24"/>
      <c r="I24" t="s">
        <v>1450</v>
      </c>
      <c r="J24" t="s">
        <v>114</v>
      </c>
      <c r="K24" s="73">
        <v>45288.741666666669</v>
      </c>
      <c r="L24"/>
      <c r="M24"/>
      <c r="N24"/>
      <c r="O24"/>
      <c r="P24"/>
      <c r="Q24"/>
      <c r="R24"/>
      <c r="S24"/>
      <c r="T24"/>
      <c r="U24"/>
    </row>
    <row r="25" spans="1:21" x14ac:dyDescent="0.25">
      <c r="A25">
        <v>239</v>
      </c>
      <c r="B25" t="s">
        <v>187</v>
      </c>
      <c r="C25" t="s">
        <v>118</v>
      </c>
      <c r="D25">
        <v>192</v>
      </c>
      <c r="E25">
        <v>1192</v>
      </c>
      <c r="F25" t="s">
        <v>188</v>
      </c>
      <c r="G25" t="s">
        <v>189</v>
      </c>
      <c r="H25"/>
      <c r="I25" t="s">
        <v>1450</v>
      </c>
      <c r="J25" t="s">
        <v>114</v>
      </c>
      <c r="K25" s="73">
        <v>45288.741666666669</v>
      </c>
      <c r="L25"/>
      <c r="M25"/>
      <c r="N25"/>
      <c r="O25"/>
      <c r="P25"/>
      <c r="Q25"/>
      <c r="R25"/>
      <c r="S25"/>
      <c r="T25"/>
      <c r="U25"/>
    </row>
    <row r="26" spans="1:21" x14ac:dyDescent="0.25">
      <c r="A26">
        <v>240</v>
      </c>
      <c r="B26" t="s">
        <v>190</v>
      </c>
      <c r="C26" t="s">
        <v>118</v>
      </c>
      <c r="D26">
        <v>354</v>
      </c>
      <c r="E26">
        <v>1354</v>
      </c>
      <c r="F26" t="s">
        <v>191</v>
      </c>
      <c r="G26" t="s">
        <v>192</v>
      </c>
      <c r="H26"/>
      <c r="I26" t="s">
        <v>1450</v>
      </c>
      <c r="J26" t="s">
        <v>114</v>
      </c>
      <c r="K26" s="73">
        <v>45288.741666666669</v>
      </c>
      <c r="L26"/>
      <c r="M26"/>
      <c r="N26"/>
      <c r="O26"/>
      <c r="P26"/>
      <c r="Q26"/>
      <c r="R26"/>
      <c r="S26"/>
      <c r="T26"/>
      <c r="U26"/>
    </row>
    <row r="27" spans="1:21" x14ac:dyDescent="0.25">
      <c r="A27">
        <v>241</v>
      </c>
      <c r="B27" t="s">
        <v>193</v>
      </c>
      <c r="C27" t="s">
        <v>118</v>
      </c>
      <c r="D27">
        <v>127</v>
      </c>
      <c r="E27">
        <v>1127</v>
      </c>
      <c r="F27" t="s">
        <v>194</v>
      </c>
      <c r="G27" t="s">
        <v>195</v>
      </c>
      <c r="H27"/>
      <c r="I27" t="s">
        <v>1450</v>
      </c>
      <c r="J27" t="s">
        <v>114</v>
      </c>
      <c r="K27" s="73">
        <v>45288.741666666669</v>
      </c>
      <c r="L27"/>
      <c r="M27"/>
      <c r="N27"/>
      <c r="O27"/>
      <c r="P27"/>
      <c r="Q27"/>
      <c r="R27"/>
      <c r="S27"/>
      <c r="T27"/>
      <c r="U27"/>
    </row>
    <row r="28" spans="1:21" x14ac:dyDescent="0.25">
      <c r="A28">
        <v>242</v>
      </c>
      <c r="B28" t="s">
        <v>196</v>
      </c>
      <c r="C28" t="s">
        <v>118</v>
      </c>
      <c r="D28">
        <v>420</v>
      </c>
      <c r="E28">
        <v>1420</v>
      </c>
      <c r="F28" t="s">
        <v>197</v>
      </c>
      <c r="G28" t="s">
        <v>198</v>
      </c>
      <c r="H28"/>
      <c r="I28" t="s">
        <v>1450</v>
      </c>
      <c r="J28" t="s">
        <v>114</v>
      </c>
      <c r="K28" s="73">
        <v>45288.741666666669</v>
      </c>
      <c r="L28"/>
      <c r="M28"/>
      <c r="N28"/>
      <c r="O28"/>
      <c r="P28"/>
      <c r="Q28"/>
      <c r="R28"/>
      <c r="S28"/>
      <c r="T28"/>
      <c r="U28"/>
    </row>
    <row r="29" spans="1:21" x14ac:dyDescent="0.25">
      <c r="A29">
        <v>243</v>
      </c>
      <c r="B29" t="s">
        <v>199</v>
      </c>
      <c r="C29" t="s">
        <v>118</v>
      </c>
      <c r="D29">
        <v>240</v>
      </c>
      <c r="E29">
        <v>1240</v>
      </c>
      <c r="F29" t="s">
        <v>200</v>
      </c>
      <c r="G29" t="s">
        <v>201</v>
      </c>
      <c r="H29"/>
      <c r="I29" t="s">
        <v>1450</v>
      </c>
      <c r="J29" t="s">
        <v>114</v>
      </c>
      <c r="K29" s="73">
        <v>45288.741666666669</v>
      </c>
      <c r="L29"/>
      <c r="M29"/>
      <c r="N29"/>
      <c r="O29"/>
      <c r="P29"/>
      <c r="Q29"/>
      <c r="R29"/>
      <c r="S29"/>
      <c r="T29"/>
      <c r="U29"/>
    </row>
    <row r="30" spans="1:21" x14ac:dyDescent="0.25">
      <c r="A30">
        <v>244</v>
      </c>
      <c r="B30" t="s">
        <v>202</v>
      </c>
      <c r="C30" t="s">
        <v>118</v>
      </c>
      <c r="D30">
        <v>20</v>
      </c>
      <c r="E30">
        <v>1020</v>
      </c>
      <c r="F30" t="s">
        <v>203</v>
      </c>
      <c r="G30" t="s">
        <v>204</v>
      </c>
      <c r="H30"/>
      <c r="I30" t="s">
        <v>1450</v>
      </c>
      <c r="J30" t="s">
        <v>114</v>
      </c>
      <c r="K30" s="73">
        <v>45288.741666666669</v>
      </c>
      <c r="L30"/>
      <c r="M30"/>
      <c r="N30"/>
      <c r="O30"/>
      <c r="P30"/>
      <c r="Q30"/>
      <c r="R30"/>
      <c r="S30"/>
      <c r="T30"/>
      <c r="U30"/>
    </row>
    <row r="31" spans="1:21" x14ac:dyDescent="0.25">
      <c r="A31">
        <v>245</v>
      </c>
      <c r="B31" t="s">
        <v>205</v>
      </c>
      <c r="C31" t="s">
        <v>118</v>
      </c>
      <c r="D31">
        <v>252</v>
      </c>
      <c r="E31">
        <v>1252</v>
      </c>
      <c r="F31" t="s">
        <v>206</v>
      </c>
      <c r="G31" t="s">
        <v>207</v>
      </c>
      <c r="H31"/>
      <c r="I31" t="s">
        <v>1450</v>
      </c>
      <c r="J31" t="s">
        <v>114</v>
      </c>
      <c r="K31" s="73">
        <v>45288.741666666669</v>
      </c>
      <c r="L31"/>
      <c r="M31"/>
      <c r="N31"/>
      <c r="O31"/>
      <c r="P31"/>
      <c r="Q31"/>
      <c r="R31"/>
      <c r="S31"/>
      <c r="T31"/>
      <c r="U31"/>
    </row>
    <row r="32" spans="1:21" x14ac:dyDescent="0.25">
      <c r="A32">
        <v>246</v>
      </c>
      <c r="B32" t="s">
        <v>208</v>
      </c>
      <c r="C32" t="s">
        <v>118</v>
      </c>
      <c r="D32">
        <v>264</v>
      </c>
      <c r="E32">
        <v>1264</v>
      </c>
      <c r="F32" t="s">
        <v>209</v>
      </c>
      <c r="G32" t="s">
        <v>210</v>
      </c>
      <c r="H32"/>
      <c r="I32" t="s">
        <v>1450</v>
      </c>
      <c r="J32" t="s">
        <v>114</v>
      </c>
      <c r="K32" s="73">
        <v>45288.741666666669</v>
      </c>
      <c r="L32"/>
      <c r="M32"/>
      <c r="N32"/>
      <c r="O32"/>
      <c r="P32"/>
      <c r="Q32"/>
      <c r="R32"/>
      <c r="S32"/>
      <c r="T32"/>
      <c r="U32"/>
    </row>
    <row r="33" spans="1:21" x14ac:dyDescent="0.25">
      <c r="A33">
        <v>247</v>
      </c>
      <c r="B33" t="s">
        <v>211</v>
      </c>
      <c r="C33" t="s">
        <v>118</v>
      </c>
      <c r="D33">
        <v>265</v>
      </c>
      <c r="E33">
        <v>1265</v>
      </c>
      <c r="F33" t="s">
        <v>212</v>
      </c>
      <c r="G33" t="s">
        <v>213</v>
      </c>
      <c r="H33"/>
      <c r="I33" t="s">
        <v>1450</v>
      </c>
      <c r="J33" t="s">
        <v>114</v>
      </c>
      <c r="K33" s="73">
        <v>45288.741666666669</v>
      </c>
      <c r="L33"/>
      <c r="M33"/>
      <c r="N33"/>
      <c r="O33"/>
      <c r="P33"/>
      <c r="Q33"/>
      <c r="R33"/>
      <c r="S33"/>
      <c r="T33"/>
      <c r="U33"/>
    </row>
    <row r="34" spans="1:21" x14ac:dyDescent="0.25">
      <c r="A34">
        <v>248</v>
      </c>
      <c r="B34" t="s">
        <v>214</v>
      </c>
      <c r="C34" t="s">
        <v>118</v>
      </c>
      <c r="D34">
        <v>353</v>
      </c>
      <c r="E34">
        <v>1353</v>
      </c>
      <c r="F34" t="s">
        <v>215</v>
      </c>
      <c r="G34" t="s">
        <v>216</v>
      </c>
      <c r="H34"/>
      <c r="I34" t="s">
        <v>1450</v>
      </c>
      <c r="J34" t="s">
        <v>114</v>
      </c>
      <c r="K34" s="73">
        <v>45288.741666666669</v>
      </c>
      <c r="L34"/>
      <c r="M34"/>
      <c r="N34"/>
      <c r="O34"/>
      <c r="P34"/>
      <c r="Q34"/>
      <c r="R34"/>
      <c r="S34"/>
      <c r="T34"/>
      <c r="U34"/>
    </row>
    <row r="35" spans="1:21" x14ac:dyDescent="0.25">
      <c r="A35">
        <v>249</v>
      </c>
      <c r="B35" t="s">
        <v>217</v>
      </c>
      <c r="C35" t="s">
        <v>118</v>
      </c>
      <c r="D35">
        <v>254</v>
      </c>
      <c r="E35">
        <v>1254</v>
      </c>
      <c r="F35" t="s">
        <v>218</v>
      </c>
      <c r="G35" t="s">
        <v>219</v>
      </c>
      <c r="H35"/>
      <c r="I35" t="s">
        <v>1450</v>
      </c>
      <c r="J35" t="s">
        <v>114</v>
      </c>
      <c r="K35" s="73">
        <v>45288.741666666669</v>
      </c>
      <c r="L35"/>
      <c r="M35"/>
      <c r="N35"/>
      <c r="O35"/>
      <c r="P35"/>
      <c r="Q35"/>
      <c r="R35"/>
      <c r="S35"/>
      <c r="T35"/>
      <c r="U35"/>
    </row>
    <row r="36" spans="1:21" x14ac:dyDescent="0.25">
      <c r="A36">
        <v>250</v>
      </c>
      <c r="B36" t="s">
        <v>220</v>
      </c>
      <c r="C36" t="s">
        <v>118</v>
      </c>
      <c r="D36">
        <v>241</v>
      </c>
      <c r="E36">
        <v>1241</v>
      </c>
      <c r="F36" t="s">
        <v>221</v>
      </c>
      <c r="G36" t="s">
        <v>222</v>
      </c>
      <c r="H36"/>
      <c r="I36" t="s">
        <v>1450</v>
      </c>
      <c r="J36" t="s">
        <v>114</v>
      </c>
      <c r="K36" s="73">
        <v>45288.741666666669</v>
      </c>
      <c r="L36"/>
      <c r="M36"/>
      <c r="N36"/>
      <c r="O36"/>
      <c r="P36"/>
      <c r="Q36"/>
      <c r="R36"/>
      <c r="S36"/>
      <c r="T36"/>
      <c r="U36"/>
    </row>
    <row r="37" spans="1:21" x14ac:dyDescent="0.25">
      <c r="A37">
        <v>251</v>
      </c>
      <c r="B37" t="s">
        <v>223</v>
      </c>
      <c r="C37" t="s">
        <v>118</v>
      </c>
      <c r="D37">
        <v>250</v>
      </c>
      <c r="E37">
        <v>1250</v>
      </c>
      <c r="F37" t="s">
        <v>224</v>
      </c>
      <c r="G37" t="s">
        <v>225</v>
      </c>
      <c r="H37"/>
      <c r="I37" t="s">
        <v>1450</v>
      </c>
      <c r="J37" t="s">
        <v>114</v>
      </c>
      <c r="K37" s="73">
        <v>45288.741666666669</v>
      </c>
      <c r="L37"/>
      <c r="M37"/>
      <c r="N37"/>
      <c r="O37"/>
      <c r="P37"/>
      <c r="Q37"/>
      <c r="R37"/>
      <c r="S37"/>
      <c r="T37"/>
      <c r="U37"/>
    </row>
    <row r="38" spans="1:21" x14ac:dyDescent="0.25">
      <c r="A38">
        <v>252</v>
      </c>
      <c r="B38" t="s">
        <v>226</v>
      </c>
      <c r="C38" t="s">
        <v>118</v>
      </c>
      <c r="D38">
        <v>251</v>
      </c>
      <c r="E38">
        <v>1251</v>
      </c>
      <c r="F38" t="s">
        <v>227</v>
      </c>
      <c r="G38" t="s">
        <v>228</v>
      </c>
      <c r="H38"/>
      <c r="I38" t="s">
        <v>1450</v>
      </c>
      <c r="J38" t="s">
        <v>114</v>
      </c>
      <c r="K38" s="73">
        <v>45288.741666666669</v>
      </c>
      <c r="L38"/>
      <c r="M38"/>
      <c r="N38"/>
      <c r="O38"/>
      <c r="P38"/>
      <c r="Q38"/>
      <c r="R38"/>
      <c r="S38"/>
      <c r="T38"/>
      <c r="U38"/>
    </row>
    <row r="39" spans="1:21" x14ac:dyDescent="0.25">
      <c r="A39">
        <v>253</v>
      </c>
      <c r="B39" t="s">
        <v>229</v>
      </c>
      <c r="C39" t="s">
        <v>118</v>
      </c>
      <c r="D39">
        <v>247</v>
      </c>
      <c r="E39">
        <v>1247</v>
      </c>
      <c r="F39" t="s">
        <v>230</v>
      </c>
      <c r="G39" t="s">
        <v>231</v>
      </c>
      <c r="H39"/>
      <c r="I39" t="s">
        <v>1450</v>
      </c>
      <c r="J39" t="s">
        <v>114</v>
      </c>
      <c r="K39" s="73">
        <v>45288.741666666669</v>
      </c>
      <c r="L39"/>
      <c r="M39"/>
      <c r="N39"/>
      <c r="O39"/>
      <c r="P39"/>
      <c r="Q39"/>
      <c r="R39"/>
      <c r="S39"/>
      <c r="T39"/>
      <c r="U39"/>
    </row>
    <row r="40" spans="1:21" x14ac:dyDescent="0.25">
      <c r="A40">
        <v>254</v>
      </c>
      <c r="B40" t="s">
        <v>232</v>
      </c>
      <c r="C40" t="s">
        <v>118</v>
      </c>
      <c r="D40">
        <v>242</v>
      </c>
      <c r="E40">
        <v>1242</v>
      </c>
      <c r="F40" t="s">
        <v>233</v>
      </c>
      <c r="G40" t="s">
        <v>234</v>
      </c>
      <c r="H40"/>
      <c r="I40" t="s">
        <v>1450</v>
      </c>
      <c r="J40" t="s">
        <v>114</v>
      </c>
      <c r="K40" s="73">
        <v>45288.741666666669</v>
      </c>
      <c r="L40"/>
      <c r="M40"/>
      <c r="N40"/>
      <c r="O40"/>
      <c r="P40"/>
      <c r="Q40"/>
      <c r="R40"/>
      <c r="S40"/>
      <c r="T40"/>
      <c r="U40"/>
    </row>
    <row r="41" spans="1:21" x14ac:dyDescent="0.25">
      <c r="A41">
        <v>255</v>
      </c>
      <c r="B41" t="s">
        <v>235</v>
      </c>
      <c r="C41" t="s">
        <v>118</v>
      </c>
      <c r="D41">
        <v>408</v>
      </c>
      <c r="E41">
        <v>1408</v>
      </c>
      <c r="F41" t="s">
        <v>236</v>
      </c>
      <c r="G41" t="s">
        <v>237</v>
      </c>
      <c r="H41"/>
      <c r="I41" t="s">
        <v>1449</v>
      </c>
      <c r="J41" t="s">
        <v>114</v>
      </c>
      <c r="K41" s="73">
        <v>45288.741666666669</v>
      </c>
      <c r="L41"/>
      <c r="M41"/>
      <c r="N41"/>
      <c r="O41"/>
      <c r="P41"/>
      <c r="Q41"/>
      <c r="R41"/>
      <c r="S41"/>
      <c r="T41"/>
      <c r="U41"/>
    </row>
    <row r="42" spans="1:21" x14ac:dyDescent="0.25">
      <c r="A42">
        <v>256</v>
      </c>
      <c r="B42" t="s">
        <v>238</v>
      </c>
      <c r="C42" t="s">
        <v>118</v>
      </c>
      <c r="D42">
        <v>342</v>
      </c>
      <c r="E42">
        <v>1342</v>
      </c>
      <c r="F42" t="s">
        <v>239</v>
      </c>
      <c r="G42" t="s">
        <v>240</v>
      </c>
      <c r="H42"/>
      <c r="I42" t="s">
        <v>1450</v>
      </c>
      <c r="J42" t="s">
        <v>114</v>
      </c>
      <c r="K42" s="73">
        <v>45288.741666666669</v>
      </c>
      <c r="L42"/>
      <c r="M42"/>
      <c r="N42"/>
      <c r="O42"/>
      <c r="P42"/>
      <c r="Q42"/>
      <c r="R42"/>
      <c r="S42"/>
      <c r="T42"/>
      <c r="U42"/>
    </row>
    <row r="43" spans="1:21" x14ac:dyDescent="0.25">
      <c r="A43">
        <v>257</v>
      </c>
      <c r="B43" t="s">
        <v>241</v>
      </c>
      <c r="C43" t="s">
        <v>118</v>
      </c>
      <c r="D43">
        <v>149</v>
      </c>
      <c r="E43">
        <v>1149</v>
      </c>
      <c r="F43" t="s">
        <v>242</v>
      </c>
      <c r="G43" t="s">
        <v>243</v>
      </c>
      <c r="H43"/>
      <c r="I43" t="s">
        <v>1450</v>
      </c>
      <c r="J43" t="s">
        <v>114</v>
      </c>
      <c r="K43" s="73">
        <v>45288.741666666669</v>
      </c>
      <c r="L43"/>
      <c r="M43"/>
      <c r="N43"/>
      <c r="O43"/>
      <c r="P43"/>
      <c r="Q43"/>
      <c r="R43"/>
      <c r="S43"/>
      <c r="T43"/>
      <c r="U43"/>
    </row>
    <row r="44" spans="1:21" x14ac:dyDescent="0.25">
      <c r="A44">
        <v>258</v>
      </c>
      <c r="B44" t="s">
        <v>244</v>
      </c>
      <c r="C44" t="s">
        <v>118</v>
      </c>
      <c r="D44">
        <v>243</v>
      </c>
      <c r="E44">
        <v>1243</v>
      </c>
      <c r="F44" t="s">
        <v>245</v>
      </c>
      <c r="G44" t="s">
        <v>246</v>
      </c>
      <c r="H44"/>
      <c r="I44" t="s">
        <v>1450</v>
      </c>
      <c r="J44" t="s">
        <v>114</v>
      </c>
      <c r="K44" s="73">
        <v>45288.741666666669</v>
      </c>
      <c r="L44"/>
      <c r="M44"/>
      <c r="N44"/>
      <c r="O44"/>
      <c r="P44"/>
      <c r="Q44"/>
      <c r="R44"/>
      <c r="S44"/>
      <c r="T44"/>
      <c r="U44"/>
    </row>
    <row r="45" spans="1:21" x14ac:dyDescent="0.25">
      <c r="A45">
        <v>259</v>
      </c>
      <c r="B45" t="s">
        <v>247</v>
      </c>
      <c r="C45" t="s">
        <v>118</v>
      </c>
      <c r="D45">
        <v>179</v>
      </c>
      <c r="E45">
        <v>1179</v>
      </c>
      <c r="F45" t="s">
        <v>248</v>
      </c>
      <c r="G45" t="s">
        <v>249</v>
      </c>
      <c r="H45"/>
      <c r="I45" t="s">
        <v>1450</v>
      </c>
      <c r="J45" t="s">
        <v>114</v>
      </c>
      <c r="K45" s="73">
        <v>45288.741666666669</v>
      </c>
      <c r="L45"/>
      <c r="M45"/>
      <c r="N45"/>
      <c r="O45"/>
      <c r="P45"/>
      <c r="Q45"/>
      <c r="R45"/>
      <c r="S45"/>
      <c r="T45"/>
      <c r="U45"/>
    </row>
    <row r="46" spans="1:21" x14ac:dyDescent="0.25">
      <c r="A46">
        <v>260</v>
      </c>
      <c r="B46" t="s">
        <v>250</v>
      </c>
      <c r="C46" t="s">
        <v>118</v>
      </c>
      <c r="D46">
        <v>199</v>
      </c>
      <c r="E46">
        <v>1199</v>
      </c>
      <c r="F46" t="s">
        <v>251</v>
      </c>
      <c r="G46" t="s">
        <v>252</v>
      </c>
      <c r="H46"/>
      <c r="I46" t="s">
        <v>1450</v>
      </c>
      <c r="J46" t="s">
        <v>114</v>
      </c>
      <c r="K46" s="73">
        <v>45288.741666666669</v>
      </c>
      <c r="L46"/>
      <c r="M46"/>
      <c r="N46"/>
      <c r="O46"/>
      <c r="P46"/>
      <c r="Q46"/>
      <c r="R46"/>
      <c r="S46"/>
      <c r="T46"/>
      <c r="U46"/>
    </row>
    <row r="47" spans="1:21" x14ac:dyDescent="0.25">
      <c r="A47">
        <v>261</v>
      </c>
      <c r="B47" t="s">
        <v>253</v>
      </c>
      <c r="C47" t="s">
        <v>118</v>
      </c>
      <c r="D47">
        <v>201</v>
      </c>
      <c r="E47">
        <v>1201</v>
      </c>
      <c r="F47" t="s">
        <v>254</v>
      </c>
      <c r="G47" t="s">
        <v>255</v>
      </c>
      <c r="H47"/>
      <c r="I47" t="s">
        <v>1450</v>
      </c>
      <c r="J47" t="s">
        <v>114</v>
      </c>
      <c r="K47" s="73">
        <v>45288.741666666669</v>
      </c>
      <c r="L47"/>
      <c r="M47"/>
      <c r="N47"/>
      <c r="O47"/>
      <c r="P47"/>
      <c r="Q47"/>
      <c r="R47"/>
      <c r="S47"/>
      <c r="T47"/>
      <c r="U47"/>
    </row>
    <row r="48" spans="1:21" x14ac:dyDescent="0.25">
      <c r="A48">
        <v>262</v>
      </c>
      <c r="B48" t="s">
        <v>256</v>
      </c>
      <c r="C48" t="s">
        <v>118</v>
      </c>
      <c r="D48">
        <v>370</v>
      </c>
      <c r="E48">
        <v>1370</v>
      </c>
      <c r="F48" t="s">
        <v>257</v>
      </c>
      <c r="G48" t="s">
        <v>258</v>
      </c>
      <c r="H48"/>
      <c r="I48" t="s">
        <v>1450</v>
      </c>
      <c r="J48" t="s">
        <v>114</v>
      </c>
      <c r="K48" s="73">
        <v>45288.741666666669</v>
      </c>
      <c r="L48"/>
      <c r="M48"/>
      <c r="N48"/>
      <c r="O48"/>
      <c r="P48"/>
      <c r="Q48"/>
      <c r="R48"/>
      <c r="S48"/>
      <c r="T48"/>
      <c r="U48"/>
    </row>
    <row r="49" spans="1:21" x14ac:dyDescent="0.25">
      <c r="A49">
        <v>263</v>
      </c>
      <c r="B49" t="s">
        <v>259</v>
      </c>
      <c r="C49" t="s">
        <v>118</v>
      </c>
      <c r="D49">
        <v>171</v>
      </c>
      <c r="E49">
        <v>1171</v>
      </c>
      <c r="F49" t="s">
        <v>260</v>
      </c>
      <c r="G49" t="s">
        <v>261</v>
      </c>
      <c r="H49"/>
      <c r="I49" t="s">
        <v>1450</v>
      </c>
      <c r="J49" t="s">
        <v>114</v>
      </c>
      <c r="K49" s="73">
        <v>45288.741666666669</v>
      </c>
      <c r="L49"/>
      <c r="M49"/>
      <c r="N49"/>
      <c r="O49"/>
      <c r="P49"/>
      <c r="Q49"/>
      <c r="R49"/>
      <c r="S49"/>
      <c r="T49"/>
      <c r="U49"/>
    </row>
    <row r="50" spans="1:21" x14ac:dyDescent="0.25">
      <c r="A50">
        <v>264</v>
      </c>
      <c r="B50" t="s">
        <v>262</v>
      </c>
      <c r="C50" t="s">
        <v>118</v>
      </c>
      <c r="D50">
        <v>200</v>
      </c>
      <c r="E50">
        <v>1200</v>
      </c>
      <c r="F50" t="s">
        <v>263</v>
      </c>
      <c r="G50" t="s">
        <v>264</v>
      </c>
      <c r="H50"/>
      <c r="I50" t="s">
        <v>1450</v>
      </c>
      <c r="J50" t="s">
        <v>114</v>
      </c>
      <c r="K50" s="73">
        <v>45288.741666666669</v>
      </c>
      <c r="L50"/>
      <c r="M50"/>
      <c r="N50"/>
      <c r="O50"/>
      <c r="P50"/>
      <c r="Q50"/>
      <c r="R50"/>
      <c r="S50"/>
      <c r="T50"/>
      <c r="U50"/>
    </row>
    <row r="51" spans="1:21" x14ac:dyDescent="0.25">
      <c r="A51">
        <v>265</v>
      </c>
      <c r="B51" t="s">
        <v>265</v>
      </c>
      <c r="C51" t="s">
        <v>118</v>
      </c>
      <c r="D51">
        <v>432</v>
      </c>
      <c r="E51">
        <v>1432</v>
      </c>
      <c r="F51" t="s">
        <v>266</v>
      </c>
      <c r="G51" t="s">
        <v>267</v>
      </c>
      <c r="H51"/>
      <c r="I51" t="s">
        <v>1450</v>
      </c>
      <c r="J51" t="s">
        <v>114</v>
      </c>
      <c r="K51" s="73">
        <v>45288.741666666669</v>
      </c>
      <c r="L51"/>
      <c r="M51"/>
      <c r="N51"/>
      <c r="O51"/>
      <c r="P51"/>
      <c r="Q51"/>
      <c r="R51"/>
      <c r="S51"/>
      <c r="T51"/>
      <c r="U51"/>
    </row>
    <row r="52" spans="1:21" x14ac:dyDescent="0.25">
      <c r="A52">
        <v>266</v>
      </c>
      <c r="B52" t="s">
        <v>268</v>
      </c>
      <c r="C52" t="s">
        <v>118</v>
      </c>
      <c r="D52">
        <v>128</v>
      </c>
      <c r="E52">
        <v>1128</v>
      </c>
      <c r="F52" t="s">
        <v>269</v>
      </c>
      <c r="G52" t="s">
        <v>270</v>
      </c>
      <c r="H52"/>
      <c r="I52" t="s">
        <v>1450</v>
      </c>
      <c r="J52" t="s">
        <v>114</v>
      </c>
      <c r="K52" s="73">
        <v>45288.741666666669</v>
      </c>
      <c r="L52"/>
      <c r="M52"/>
      <c r="N52"/>
      <c r="O52"/>
      <c r="P52"/>
      <c r="Q52"/>
      <c r="R52"/>
      <c r="S52"/>
      <c r="T52"/>
      <c r="U52"/>
    </row>
    <row r="53" spans="1:21" x14ac:dyDescent="0.25">
      <c r="A53">
        <v>267</v>
      </c>
      <c r="B53" t="s">
        <v>271</v>
      </c>
      <c r="C53" t="s">
        <v>118</v>
      </c>
      <c r="D53">
        <v>424</v>
      </c>
      <c r="E53">
        <v>1424</v>
      </c>
      <c r="F53" t="s">
        <v>272</v>
      </c>
      <c r="G53" t="s">
        <v>273</v>
      </c>
      <c r="H53"/>
      <c r="I53" t="s">
        <v>1450</v>
      </c>
      <c r="J53" t="s">
        <v>114</v>
      </c>
      <c r="K53" s="73">
        <v>45288.741666666669</v>
      </c>
      <c r="L53"/>
      <c r="M53"/>
      <c r="N53"/>
      <c r="O53"/>
      <c r="P53"/>
      <c r="Q53"/>
      <c r="R53"/>
      <c r="S53"/>
      <c r="T53"/>
      <c r="U53"/>
    </row>
    <row r="54" spans="1:21" x14ac:dyDescent="0.25">
      <c r="A54">
        <v>268</v>
      </c>
      <c r="B54" t="s">
        <v>274</v>
      </c>
      <c r="C54" t="s">
        <v>118</v>
      </c>
      <c r="D54">
        <v>29</v>
      </c>
      <c r="E54">
        <v>1029</v>
      </c>
      <c r="F54" t="s">
        <v>275</v>
      </c>
      <c r="G54" t="s">
        <v>276</v>
      </c>
      <c r="H54"/>
      <c r="I54" t="s">
        <v>1450</v>
      </c>
      <c r="J54" t="s">
        <v>114</v>
      </c>
      <c r="K54" s="73">
        <v>45288.741666666669</v>
      </c>
      <c r="L54"/>
      <c r="M54"/>
      <c r="N54"/>
      <c r="O54"/>
      <c r="P54"/>
      <c r="Q54"/>
      <c r="R54"/>
      <c r="S54"/>
      <c r="T54"/>
      <c r="U54"/>
    </row>
    <row r="55" spans="1:21" x14ac:dyDescent="0.25">
      <c r="A55">
        <v>269</v>
      </c>
      <c r="B55" t="s">
        <v>277</v>
      </c>
      <c r="C55" t="s">
        <v>118</v>
      </c>
      <c r="D55">
        <v>427</v>
      </c>
      <c r="E55">
        <v>1427</v>
      </c>
      <c r="F55" t="s">
        <v>278</v>
      </c>
      <c r="G55" t="s">
        <v>279</v>
      </c>
      <c r="H55"/>
      <c r="I55" t="s">
        <v>1450</v>
      </c>
      <c r="J55" t="s">
        <v>114</v>
      </c>
      <c r="K55" s="73">
        <v>45288.741666666669</v>
      </c>
      <c r="L55"/>
      <c r="M55"/>
      <c r="N55"/>
      <c r="O55"/>
      <c r="P55"/>
      <c r="Q55"/>
      <c r="R55"/>
      <c r="S55"/>
      <c r="T55"/>
      <c r="U55"/>
    </row>
    <row r="56" spans="1:21" x14ac:dyDescent="0.25">
      <c r="A56">
        <v>270</v>
      </c>
      <c r="B56" t="s">
        <v>280</v>
      </c>
      <c r="C56" t="s">
        <v>118</v>
      </c>
      <c r="D56">
        <v>428</v>
      </c>
      <c r="E56">
        <v>1428</v>
      </c>
      <c r="F56" t="s">
        <v>281</v>
      </c>
      <c r="G56" t="s">
        <v>282</v>
      </c>
      <c r="H56"/>
      <c r="I56" t="s">
        <v>1450</v>
      </c>
      <c r="J56" t="s">
        <v>114</v>
      </c>
      <c r="K56" s="73">
        <v>45288.741666666669</v>
      </c>
      <c r="L56"/>
      <c r="M56"/>
      <c r="N56"/>
      <c r="O56"/>
      <c r="P56"/>
      <c r="Q56"/>
      <c r="R56"/>
      <c r="S56"/>
      <c r="T56"/>
      <c r="U56"/>
    </row>
    <row r="57" spans="1:21" x14ac:dyDescent="0.25">
      <c r="A57">
        <v>271</v>
      </c>
      <c r="B57" t="s">
        <v>283</v>
      </c>
      <c r="C57" t="s">
        <v>118</v>
      </c>
      <c r="D57">
        <v>306</v>
      </c>
      <c r="E57">
        <v>1306</v>
      </c>
      <c r="F57" t="s">
        <v>284</v>
      </c>
      <c r="G57" t="s">
        <v>285</v>
      </c>
      <c r="H57"/>
      <c r="I57" t="s">
        <v>1449</v>
      </c>
      <c r="J57" t="s">
        <v>114</v>
      </c>
      <c r="K57" s="73">
        <v>45288.741666666669</v>
      </c>
      <c r="L57"/>
      <c r="M57"/>
      <c r="N57"/>
      <c r="O57"/>
      <c r="P57"/>
      <c r="Q57"/>
      <c r="R57"/>
      <c r="S57"/>
      <c r="T57"/>
      <c r="U57"/>
    </row>
    <row r="58" spans="1:21" x14ac:dyDescent="0.25">
      <c r="A58">
        <v>272</v>
      </c>
      <c r="B58" t="s">
        <v>286</v>
      </c>
      <c r="C58" t="s">
        <v>118</v>
      </c>
      <c r="D58">
        <v>395</v>
      </c>
      <c r="E58">
        <v>1395</v>
      </c>
      <c r="F58" t="s">
        <v>287</v>
      </c>
      <c r="G58" t="s">
        <v>288</v>
      </c>
      <c r="H58"/>
      <c r="I58" t="s">
        <v>1449</v>
      </c>
      <c r="J58" t="s">
        <v>114</v>
      </c>
      <c r="K58" s="73">
        <v>45288.741666666669</v>
      </c>
      <c r="L58"/>
      <c r="M58"/>
      <c r="N58"/>
      <c r="O58"/>
      <c r="P58"/>
      <c r="Q58"/>
      <c r="R58"/>
      <c r="S58"/>
      <c r="T58"/>
      <c r="U58"/>
    </row>
    <row r="59" spans="1:21" x14ac:dyDescent="0.25">
      <c r="A59">
        <v>273</v>
      </c>
      <c r="B59" t="s">
        <v>289</v>
      </c>
      <c r="C59" t="s">
        <v>118</v>
      </c>
      <c r="D59">
        <v>84</v>
      </c>
      <c r="E59">
        <v>1084</v>
      </c>
      <c r="F59" t="s">
        <v>290</v>
      </c>
      <c r="G59" t="s">
        <v>291</v>
      </c>
      <c r="H59"/>
      <c r="I59" t="s">
        <v>1450</v>
      </c>
      <c r="J59" t="s">
        <v>114</v>
      </c>
      <c r="K59" s="73">
        <v>45288.741666666669</v>
      </c>
      <c r="L59"/>
      <c r="M59"/>
      <c r="N59"/>
      <c r="O59"/>
      <c r="P59"/>
      <c r="Q59"/>
      <c r="R59"/>
      <c r="S59"/>
      <c r="T59"/>
      <c r="U59"/>
    </row>
    <row r="60" spans="1:21" x14ac:dyDescent="0.25">
      <c r="A60">
        <v>274</v>
      </c>
      <c r="B60" t="s">
        <v>292</v>
      </c>
      <c r="C60" t="s">
        <v>118</v>
      </c>
      <c r="D60">
        <v>414</v>
      </c>
      <c r="E60">
        <v>1414</v>
      </c>
      <c r="F60" t="s">
        <v>293</v>
      </c>
      <c r="G60" t="s">
        <v>294</v>
      </c>
      <c r="H60"/>
      <c r="I60" t="s">
        <v>1450</v>
      </c>
      <c r="J60" t="s">
        <v>114</v>
      </c>
      <c r="K60" s="73">
        <v>45288.741666666669</v>
      </c>
      <c r="L60"/>
      <c r="M60"/>
      <c r="N60"/>
      <c r="O60"/>
      <c r="P60"/>
      <c r="Q60"/>
      <c r="R60"/>
      <c r="S60"/>
      <c r="T60"/>
      <c r="U60"/>
    </row>
    <row r="61" spans="1:21" x14ac:dyDescent="0.25">
      <c r="A61">
        <v>275</v>
      </c>
      <c r="B61" t="s">
        <v>295</v>
      </c>
      <c r="C61" t="s">
        <v>118</v>
      </c>
      <c r="D61">
        <v>80</v>
      </c>
      <c r="E61">
        <v>1080</v>
      </c>
      <c r="F61" t="s">
        <v>296</v>
      </c>
      <c r="G61" t="s">
        <v>297</v>
      </c>
      <c r="H61"/>
      <c r="I61" t="s">
        <v>1450</v>
      </c>
      <c r="J61" t="s">
        <v>114</v>
      </c>
      <c r="K61" s="73">
        <v>45288.741666666669</v>
      </c>
      <c r="L61"/>
      <c r="M61"/>
      <c r="N61"/>
      <c r="O61"/>
      <c r="P61"/>
      <c r="Q61"/>
      <c r="R61"/>
      <c r="S61"/>
      <c r="T61"/>
      <c r="U61"/>
    </row>
    <row r="62" spans="1:21" x14ac:dyDescent="0.25">
      <c r="A62">
        <v>276</v>
      </c>
      <c r="B62" t="s">
        <v>298</v>
      </c>
      <c r="C62" t="s">
        <v>118</v>
      </c>
      <c r="D62">
        <v>163</v>
      </c>
      <c r="E62">
        <v>1163</v>
      </c>
      <c r="F62" t="s">
        <v>299</v>
      </c>
      <c r="G62" t="s">
        <v>300</v>
      </c>
      <c r="H62"/>
      <c r="I62" t="s">
        <v>1450</v>
      </c>
      <c r="J62" t="s">
        <v>114</v>
      </c>
      <c r="K62" s="73">
        <v>45288.741666666669</v>
      </c>
      <c r="L62"/>
      <c r="M62"/>
      <c r="N62"/>
      <c r="O62"/>
      <c r="P62"/>
      <c r="Q62"/>
      <c r="R62"/>
      <c r="S62"/>
      <c r="T62"/>
      <c r="U62"/>
    </row>
    <row r="63" spans="1:21" x14ac:dyDescent="0.25">
      <c r="A63">
        <v>277</v>
      </c>
      <c r="B63" t="s">
        <v>301</v>
      </c>
      <c r="C63" t="s">
        <v>118</v>
      </c>
      <c r="D63">
        <v>97</v>
      </c>
      <c r="E63">
        <v>1097</v>
      </c>
      <c r="F63" t="s">
        <v>302</v>
      </c>
      <c r="G63" t="s">
        <v>303</v>
      </c>
      <c r="H63"/>
      <c r="I63" t="s">
        <v>1450</v>
      </c>
      <c r="J63" t="s">
        <v>114</v>
      </c>
      <c r="K63" s="73">
        <v>45288.741666666669</v>
      </c>
      <c r="L63"/>
      <c r="M63"/>
      <c r="N63"/>
      <c r="O63"/>
      <c r="P63"/>
      <c r="Q63"/>
      <c r="R63"/>
      <c r="S63"/>
      <c r="T63"/>
      <c r="U63"/>
    </row>
    <row r="64" spans="1:21" x14ac:dyDescent="0.25">
      <c r="A64">
        <v>278</v>
      </c>
      <c r="B64" t="s">
        <v>304</v>
      </c>
      <c r="C64" t="s">
        <v>118</v>
      </c>
      <c r="D64">
        <v>195</v>
      </c>
      <c r="E64">
        <v>1195</v>
      </c>
      <c r="F64" t="s">
        <v>305</v>
      </c>
      <c r="G64" t="s">
        <v>306</v>
      </c>
      <c r="H64"/>
      <c r="I64" t="s">
        <v>1450</v>
      </c>
      <c r="J64" t="s">
        <v>114</v>
      </c>
      <c r="K64" s="73">
        <v>45288.741666666669</v>
      </c>
      <c r="L64"/>
      <c r="M64"/>
      <c r="N64"/>
      <c r="O64"/>
      <c r="P64"/>
      <c r="Q64"/>
      <c r="R64"/>
      <c r="S64"/>
      <c r="T64"/>
      <c r="U64"/>
    </row>
    <row r="65" spans="1:21" x14ac:dyDescent="0.25">
      <c r="A65">
        <v>279</v>
      </c>
      <c r="B65" t="s">
        <v>307</v>
      </c>
      <c r="C65" t="s">
        <v>118</v>
      </c>
      <c r="D65">
        <v>116</v>
      </c>
      <c r="E65">
        <v>1116</v>
      </c>
      <c r="F65" t="s">
        <v>308</v>
      </c>
      <c r="G65" t="s">
        <v>309</v>
      </c>
      <c r="H65"/>
      <c r="I65" t="s">
        <v>1450</v>
      </c>
      <c r="J65" t="s">
        <v>114</v>
      </c>
      <c r="K65" s="73">
        <v>45288.741666666669</v>
      </c>
      <c r="L65"/>
      <c r="M65"/>
      <c r="N65"/>
      <c r="O65"/>
      <c r="P65"/>
      <c r="Q65"/>
      <c r="R65"/>
      <c r="S65"/>
      <c r="T65"/>
      <c r="U65"/>
    </row>
    <row r="66" spans="1:21" x14ac:dyDescent="0.25">
      <c r="A66">
        <v>280</v>
      </c>
      <c r="B66" t="s">
        <v>310</v>
      </c>
      <c r="C66" t="s">
        <v>118</v>
      </c>
      <c r="D66">
        <v>156</v>
      </c>
      <c r="E66">
        <v>1156</v>
      </c>
      <c r="F66" t="s">
        <v>311</v>
      </c>
      <c r="G66" t="s">
        <v>312</v>
      </c>
      <c r="H66"/>
      <c r="I66" t="s">
        <v>1450</v>
      </c>
      <c r="J66" t="s">
        <v>114</v>
      </c>
      <c r="K66" s="73">
        <v>45288.741666666669</v>
      </c>
      <c r="L66"/>
      <c r="M66"/>
      <c r="N66"/>
      <c r="O66"/>
      <c r="P66"/>
      <c r="Q66"/>
      <c r="R66"/>
      <c r="S66"/>
      <c r="T66"/>
      <c r="U66"/>
    </row>
    <row r="67" spans="1:21" x14ac:dyDescent="0.25">
      <c r="A67">
        <v>281</v>
      </c>
      <c r="B67" t="s">
        <v>313</v>
      </c>
      <c r="C67" t="s">
        <v>118</v>
      </c>
      <c r="D67">
        <v>129</v>
      </c>
      <c r="E67">
        <v>1129</v>
      </c>
      <c r="F67" t="s">
        <v>314</v>
      </c>
      <c r="G67" t="s">
        <v>315</v>
      </c>
      <c r="H67"/>
      <c r="I67" t="s">
        <v>1450</v>
      </c>
      <c r="J67" t="s">
        <v>114</v>
      </c>
      <c r="K67" s="73">
        <v>45288.741666666669</v>
      </c>
      <c r="L67"/>
      <c r="M67"/>
      <c r="N67"/>
      <c r="O67"/>
      <c r="P67"/>
      <c r="Q67"/>
      <c r="R67"/>
      <c r="S67"/>
      <c r="T67"/>
      <c r="U67"/>
    </row>
    <row r="68" spans="1:21" x14ac:dyDescent="0.25">
      <c r="A68">
        <v>282</v>
      </c>
      <c r="B68" t="s">
        <v>316</v>
      </c>
      <c r="C68" t="s">
        <v>118</v>
      </c>
      <c r="D68">
        <v>447</v>
      </c>
      <c r="E68">
        <v>1447</v>
      </c>
      <c r="F68" t="s">
        <v>317</v>
      </c>
      <c r="G68" t="s">
        <v>318</v>
      </c>
      <c r="H68"/>
      <c r="I68" t="s">
        <v>1450</v>
      </c>
      <c r="J68" t="s">
        <v>114</v>
      </c>
      <c r="K68" s="73">
        <v>45288.741666666669</v>
      </c>
      <c r="L68"/>
      <c r="M68"/>
      <c r="N68"/>
      <c r="O68"/>
      <c r="P68"/>
      <c r="Q68"/>
      <c r="R68"/>
      <c r="S68"/>
      <c r="T68"/>
      <c r="U68"/>
    </row>
    <row r="69" spans="1:21" x14ac:dyDescent="0.25">
      <c r="A69">
        <v>283</v>
      </c>
      <c r="B69" t="s">
        <v>319</v>
      </c>
      <c r="C69" t="s">
        <v>118</v>
      </c>
      <c r="D69">
        <v>450</v>
      </c>
      <c r="E69">
        <v>1450</v>
      </c>
      <c r="F69" t="s">
        <v>320</v>
      </c>
      <c r="G69" t="s">
        <v>321</v>
      </c>
      <c r="H69"/>
      <c r="I69" t="s">
        <v>1450</v>
      </c>
      <c r="J69" t="s">
        <v>114</v>
      </c>
      <c r="K69" s="73">
        <v>45288.741666666669</v>
      </c>
      <c r="L69"/>
      <c r="M69"/>
      <c r="N69"/>
      <c r="O69"/>
      <c r="P69"/>
      <c r="Q69"/>
      <c r="R69"/>
      <c r="S69"/>
      <c r="T69"/>
      <c r="U69"/>
    </row>
    <row r="70" spans="1:21" x14ac:dyDescent="0.25">
      <c r="A70">
        <v>284</v>
      </c>
      <c r="B70" t="s">
        <v>322</v>
      </c>
      <c r="C70" t="s">
        <v>118</v>
      </c>
      <c r="D70">
        <v>105</v>
      </c>
      <c r="E70">
        <v>1105</v>
      </c>
      <c r="F70" t="s">
        <v>323</v>
      </c>
      <c r="G70" t="s">
        <v>324</v>
      </c>
      <c r="H70"/>
      <c r="I70" t="s">
        <v>1450</v>
      </c>
      <c r="J70" t="s">
        <v>114</v>
      </c>
      <c r="K70" s="73">
        <v>45288.741666666669</v>
      </c>
      <c r="L70"/>
      <c r="M70"/>
      <c r="N70"/>
      <c r="O70"/>
      <c r="P70"/>
      <c r="Q70"/>
      <c r="R70"/>
      <c r="S70"/>
      <c r="T70"/>
      <c r="U70"/>
    </row>
    <row r="71" spans="1:21" x14ac:dyDescent="0.25">
      <c r="A71">
        <v>285</v>
      </c>
      <c r="B71" t="s">
        <v>325</v>
      </c>
      <c r="C71" t="s">
        <v>118</v>
      </c>
      <c r="D71">
        <v>184</v>
      </c>
      <c r="E71">
        <v>1184</v>
      </c>
      <c r="F71" t="s">
        <v>326</v>
      </c>
      <c r="G71" t="s">
        <v>327</v>
      </c>
      <c r="H71"/>
      <c r="I71" t="s">
        <v>1450</v>
      </c>
      <c r="J71" t="s">
        <v>114</v>
      </c>
      <c r="K71" s="73">
        <v>45288.741666666669</v>
      </c>
      <c r="L71"/>
      <c r="M71"/>
      <c r="N71"/>
      <c r="O71"/>
      <c r="P71"/>
      <c r="Q71"/>
      <c r="R71"/>
      <c r="S71"/>
      <c r="T71"/>
      <c r="U71"/>
    </row>
    <row r="72" spans="1:21" x14ac:dyDescent="0.25">
      <c r="A72">
        <v>286</v>
      </c>
      <c r="B72" t="s">
        <v>328</v>
      </c>
      <c r="C72" t="s">
        <v>118</v>
      </c>
      <c r="D72">
        <v>158</v>
      </c>
      <c r="E72">
        <v>1158</v>
      </c>
      <c r="F72" t="s">
        <v>329</v>
      </c>
      <c r="G72" t="s">
        <v>330</v>
      </c>
      <c r="H72"/>
      <c r="I72" t="s">
        <v>1450</v>
      </c>
      <c r="J72" t="s">
        <v>114</v>
      </c>
      <c r="K72" s="73">
        <v>45288.741666666669</v>
      </c>
      <c r="L72"/>
      <c r="M72"/>
      <c r="N72"/>
      <c r="O72"/>
      <c r="P72"/>
      <c r="Q72"/>
      <c r="R72"/>
      <c r="S72"/>
      <c r="T72"/>
      <c r="U72"/>
    </row>
    <row r="73" spans="1:21" x14ac:dyDescent="0.25">
      <c r="A73">
        <v>287</v>
      </c>
      <c r="B73" t="s">
        <v>331</v>
      </c>
      <c r="C73" t="s">
        <v>118</v>
      </c>
      <c r="D73">
        <v>361</v>
      </c>
      <c r="E73">
        <v>1361</v>
      </c>
      <c r="F73" t="s">
        <v>332</v>
      </c>
      <c r="G73" t="s">
        <v>333</v>
      </c>
      <c r="H73"/>
      <c r="I73" t="s">
        <v>1450</v>
      </c>
      <c r="J73" t="s">
        <v>114</v>
      </c>
      <c r="K73" s="73">
        <v>45288.741666666669</v>
      </c>
      <c r="L73"/>
      <c r="M73"/>
      <c r="N73"/>
      <c r="O73"/>
      <c r="P73"/>
      <c r="Q73"/>
      <c r="R73"/>
      <c r="S73"/>
      <c r="T73"/>
      <c r="U73"/>
    </row>
    <row r="74" spans="1:21" x14ac:dyDescent="0.25">
      <c r="A74">
        <v>288</v>
      </c>
      <c r="B74" t="s">
        <v>334</v>
      </c>
      <c r="C74" t="s">
        <v>118</v>
      </c>
      <c r="D74">
        <v>180</v>
      </c>
      <c r="E74">
        <v>1180</v>
      </c>
      <c r="F74" t="s">
        <v>335</v>
      </c>
      <c r="G74" t="s">
        <v>336</v>
      </c>
      <c r="H74"/>
      <c r="I74" t="s">
        <v>1450</v>
      </c>
      <c r="J74" t="s">
        <v>114</v>
      </c>
      <c r="K74" s="73">
        <v>45288.741666666669</v>
      </c>
      <c r="L74"/>
      <c r="M74"/>
      <c r="N74"/>
      <c r="O74"/>
      <c r="P74"/>
      <c r="Q74"/>
      <c r="R74"/>
      <c r="S74"/>
      <c r="T74"/>
      <c r="U74"/>
    </row>
    <row r="75" spans="1:21" x14ac:dyDescent="0.25">
      <c r="A75">
        <v>289</v>
      </c>
      <c r="B75" t="s">
        <v>337</v>
      </c>
      <c r="C75" t="s">
        <v>118</v>
      </c>
      <c r="D75">
        <v>438</v>
      </c>
      <c r="E75">
        <v>1438</v>
      </c>
      <c r="F75" t="s">
        <v>338</v>
      </c>
      <c r="G75" t="s">
        <v>339</v>
      </c>
      <c r="H75"/>
      <c r="I75" t="s">
        <v>1450</v>
      </c>
      <c r="J75" t="s">
        <v>114</v>
      </c>
      <c r="K75" s="73">
        <v>45288.741666666669</v>
      </c>
      <c r="L75"/>
      <c r="M75"/>
      <c r="N75"/>
      <c r="O75"/>
      <c r="P75"/>
      <c r="Q75"/>
      <c r="R75"/>
      <c r="S75"/>
      <c r="T75"/>
      <c r="U75"/>
    </row>
    <row r="76" spans="1:21" x14ac:dyDescent="0.25">
      <c r="A76">
        <v>290</v>
      </c>
      <c r="B76" t="s">
        <v>340</v>
      </c>
      <c r="C76" t="s">
        <v>118</v>
      </c>
      <c r="D76">
        <v>77</v>
      </c>
      <c r="E76">
        <v>1077</v>
      </c>
      <c r="F76" t="s">
        <v>341</v>
      </c>
      <c r="G76" t="s">
        <v>342</v>
      </c>
      <c r="H76"/>
      <c r="I76" t="s">
        <v>1450</v>
      </c>
      <c r="J76" t="s">
        <v>114</v>
      </c>
      <c r="K76" s="73">
        <v>45288.741666666669</v>
      </c>
      <c r="L76"/>
      <c r="M76"/>
      <c r="N76"/>
      <c r="O76"/>
      <c r="P76"/>
      <c r="Q76"/>
      <c r="R76"/>
      <c r="S76"/>
      <c r="T76"/>
      <c r="U76"/>
    </row>
    <row r="77" spans="1:21" x14ac:dyDescent="0.25">
      <c r="A77">
        <v>291</v>
      </c>
      <c r="B77" t="s">
        <v>343</v>
      </c>
      <c r="C77" t="s">
        <v>118</v>
      </c>
      <c r="D77">
        <v>13</v>
      </c>
      <c r="E77">
        <v>1013</v>
      </c>
      <c r="F77" t="s">
        <v>344</v>
      </c>
      <c r="G77" t="s">
        <v>345</v>
      </c>
      <c r="H77"/>
      <c r="I77" t="s">
        <v>1451</v>
      </c>
      <c r="J77" t="s">
        <v>114</v>
      </c>
      <c r="K77" s="73">
        <v>45288.741666666669</v>
      </c>
      <c r="L77"/>
      <c r="M77"/>
      <c r="N77"/>
      <c r="O77"/>
      <c r="P77"/>
      <c r="Q77"/>
      <c r="R77"/>
      <c r="S77"/>
      <c r="T77"/>
      <c r="U77"/>
    </row>
    <row r="78" spans="1:21" x14ac:dyDescent="0.25">
      <c r="A78">
        <v>292</v>
      </c>
      <c r="B78" t="s">
        <v>346</v>
      </c>
      <c r="C78" t="s">
        <v>118</v>
      </c>
      <c r="D78">
        <v>39</v>
      </c>
      <c r="E78">
        <v>1039</v>
      </c>
      <c r="F78" t="s">
        <v>347</v>
      </c>
      <c r="G78" t="s">
        <v>348</v>
      </c>
      <c r="H78"/>
      <c r="I78" t="s">
        <v>1450</v>
      </c>
      <c r="J78" t="s">
        <v>114</v>
      </c>
      <c r="K78" s="73">
        <v>45288.741666666669</v>
      </c>
      <c r="L78"/>
      <c r="M78"/>
      <c r="N78"/>
      <c r="O78"/>
      <c r="P78"/>
      <c r="Q78"/>
      <c r="R78"/>
      <c r="S78"/>
      <c r="T78"/>
      <c r="U78"/>
    </row>
    <row r="79" spans="1:21" x14ac:dyDescent="0.25">
      <c r="A79">
        <v>293</v>
      </c>
      <c r="B79" t="s">
        <v>349</v>
      </c>
      <c r="C79" t="s">
        <v>118</v>
      </c>
      <c r="D79">
        <v>32</v>
      </c>
      <c r="E79">
        <v>1032</v>
      </c>
      <c r="F79" t="s">
        <v>350</v>
      </c>
      <c r="G79" t="s">
        <v>351</v>
      </c>
      <c r="H79"/>
      <c r="I79" t="s">
        <v>1450</v>
      </c>
      <c r="J79" t="s">
        <v>114</v>
      </c>
      <c r="K79" s="73">
        <v>45288.741666666669</v>
      </c>
      <c r="L79"/>
      <c r="M79"/>
      <c r="N79"/>
      <c r="O79"/>
      <c r="P79"/>
      <c r="Q79"/>
      <c r="R79"/>
      <c r="S79"/>
      <c r="T79"/>
      <c r="U79"/>
    </row>
    <row r="80" spans="1:21" x14ac:dyDescent="0.25">
      <c r="A80">
        <v>294</v>
      </c>
      <c r="B80" t="s">
        <v>352</v>
      </c>
      <c r="C80" t="s">
        <v>118</v>
      </c>
      <c r="D80">
        <v>46</v>
      </c>
      <c r="E80">
        <v>1046</v>
      </c>
      <c r="F80" t="s">
        <v>353</v>
      </c>
      <c r="G80" t="s">
        <v>354</v>
      </c>
      <c r="H80"/>
      <c r="I80" t="s">
        <v>1450</v>
      </c>
      <c r="J80" t="s">
        <v>114</v>
      </c>
      <c r="K80" s="73">
        <v>45288.741666666669</v>
      </c>
      <c r="L80"/>
      <c r="M80"/>
      <c r="N80"/>
      <c r="O80"/>
      <c r="P80"/>
      <c r="Q80"/>
      <c r="R80"/>
      <c r="S80"/>
      <c r="T80"/>
      <c r="U80"/>
    </row>
    <row r="81" spans="1:21" x14ac:dyDescent="0.25">
      <c r="A81">
        <v>295</v>
      </c>
      <c r="B81" t="s">
        <v>355</v>
      </c>
      <c r="C81" t="s">
        <v>118</v>
      </c>
      <c r="D81">
        <v>376</v>
      </c>
      <c r="E81">
        <v>1376</v>
      </c>
      <c r="F81" t="s">
        <v>356</v>
      </c>
      <c r="G81" t="s">
        <v>357</v>
      </c>
      <c r="H81"/>
      <c r="I81" t="s">
        <v>1449</v>
      </c>
      <c r="J81" t="s">
        <v>114</v>
      </c>
      <c r="K81" s="73">
        <v>45288.741666666669</v>
      </c>
      <c r="L81"/>
      <c r="M81"/>
      <c r="N81"/>
      <c r="O81"/>
      <c r="P81"/>
      <c r="Q81"/>
      <c r="R81"/>
      <c r="S81"/>
      <c r="T81"/>
      <c r="U81"/>
    </row>
    <row r="82" spans="1:21" x14ac:dyDescent="0.25">
      <c r="A82">
        <v>296</v>
      </c>
      <c r="B82" t="s">
        <v>358</v>
      </c>
      <c r="C82" t="s">
        <v>118</v>
      </c>
      <c r="D82">
        <v>372</v>
      </c>
      <c r="E82">
        <v>1372</v>
      </c>
      <c r="F82" t="s">
        <v>359</v>
      </c>
      <c r="G82" t="s">
        <v>360</v>
      </c>
      <c r="H82"/>
      <c r="I82" t="s">
        <v>1449</v>
      </c>
      <c r="J82" t="s">
        <v>114</v>
      </c>
      <c r="K82" s="73">
        <v>45288.741666666669</v>
      </c>
      <c r="L82"/>
      <c r="M82"/>
      <c r="N82"/>
      <c r="O82"/>
      <c r="P82"/>
      <c r="Q82"/>
      <c r="R82"/>
      <c r="S82"/>
      <c r="T82"/>
      <c r="U82"/>
    </row>
    <row r="83" spans="1:21" x14ac:dyDescent="0.25">
      <c r="A83">
        <v>297</v>
      </c>
      <c r="B83" t="s">
        <v>361</v>
      </c>
      <c r="C83" t="s">
        <v>118</v>
      </c>
      <c r="D83">
        <v>169</v>
      </c>
      <c r="E83">
        <v>1169</v>
      </c>
      <c r="F83" t="s">
        <v>362</v>
      </c>
      <c r="G83" t="s">
        <v>363</v>
      </c>
      <c r="H83"/>
      <c r="I83" t="s">
        <v>1450</v>
      </c>
      <c r="J83" t="s">
        <v>114</v>
      </c>
      <c r="K83" s="73">
        <v>45288.741666666669</v>
      </c>
      <c r="L83"/>
      <c r="M83"/>
      <c r="N83"/>
      <c r="O83"/>
      <c r="P83"/>
      <c r="Q83"/>
      <c r="R83"/>
      <c r="S83"/>
      <c r="T83"/>
      <c r="U83"/>
    </row>
    <row r="84" spans="1:21" x14ac:dyDescent="0.25">
      <c r="A84">
        <v>298</v>
      </c>
      <c r="B84" t="s">
        <v>364</v>
      </c>
      <c r="C84" t="s">
        <v>118</v>
      </c>
      <c r="D84">
        <v>287</v>
      </c>
      <c r="E84">
        <v>1287</v>
      </c>
      <c r="F84" t="s">
        <v>365</v>
      </c>
      <c r="G84" t="s">
        <v>366</v>
      </c>
      <c r="H84"/>
      <c r="I84" t="s">
        <v>1450</v>
      </c>
      <c r="J84" t="s">
        <v>114</v>
      </c>
      <c r="K84" s="73">
        <v>45288.741666666669</v>
      </c>
      <c r="L84"/>
      <c r="M84"/>
      <c r="N84"/>
      <c r="O84"/>
      <c r="P84"/>
      <c r="Q84"/>
      <c r="R84"/>
      <c r="S84"/>
      <c r="T84"/>
      <c r="U84"/>
    </row>
    <row r="85" spans="1:21" x14ac:dyDescent="0.25">
      <c r="A85">
        <v>299</v>
      </c>
      <c r="B85" t="s">
        <v>367</v>
      </c>
      <c r="C85" t="s">
        <v>118</v>
      </c>
      <c r="D85">
        <v>139</v>
      </c>
      <c r="E85">
        <v>1139</v>
      </c>
      <c r="F85" t="s">
        <v>368</v>
      </c>
      <c r="G85" t="s">
        <v>369</v>
      </c>
      <c r="H85"/>
      <c r="I85" t="s">
        <v>1450</v>
      </c>
      <c r="J85" t="s">
        <v>114</v>
      </c>
      <c r="K85" s="73">
        <v>45288.741666666669</v>
      </c>
      <c r="L85"/>
      <c r="M85"/>
      <c r="N85"/>
      <c r="O85"/>
      <c r="P85"/>
      <c r="Q85"/>
      <c r="R85"/>
      <c r="S85"/>
      <c r="T85"/>
      <c r="U85"/>
    </row>
    <row r="86" spans="1:21" x14ac:dyDescent="0.25">
      <c r="A86">
        <v>300</v>
      </c>
      <c r="B86" t="s">
        <v>370</v>
      </c>
      <c r="C86" t="s">
        <v>118</v>
      </c>
      <c r="D86">
        <v>140</v>
      </c>
      <c r="E86">
        <v>1140</v>
      </c>
      <c r="F86" t="s">
        <v>371</v>
      </c>
      <c r="G86" t="s">
        <v>372</v>
      </c>
      <c r="H86"/>
      <c r="I86" t="s">
        <v>1450</v>
      </c>
      <c r="J86" t="s">
        <v>114</v>
      </c>
      <c r="K86" s="73">
        <v>45288.741666666669</v>
      </c>
      <c r="L86"/>
      <c r="M86"/>
      <c r="N86"/>
      <c r="O86"/>
      <c r="P86"/>
      <c r="Q86"/>
      <c r="R86"/>
      <c r="S86"/>
      <c r="T86"/>
      <c r="U86"/>
    </row>
    <row r="87" spans="1:21" x14ac:dyDescent="0.25">
      <c r="A87">
        <v>301</v>
      </c>
      <c r="B87" t="s">
        <v>373</v>
      </c>
      <c r="C87" t="s">
        <v>118</v>
      </c>
      <c r="D87">
        <v>162</v>
      </c>
      <c r="E87">
        <v>1162</v>
      </c>
      <c r="F87" t="s">
        <v>374</v>
      </c>
      <c r="G87" t="s">
        <v>375</v>
      </c>
      <c r="H87"/>
      <c r="I87" t="s">
        <v>1450</v>
      </c>
      <c r="J87" t="s">
        <v>114</v>
      </c>
      <c r="K87" s="73">
        <v>45288.741666666669</v>
      </c>
      <c r="L87"/>
      <c r="M87"/>
      <c r="N87"/>
      <c r="O87"/>
      <c r="P87"/>
      <c r="Q87"/>
      <c r="R87"/>
      <c r="S87"/>
      <c r="T87"/>
      <c r="U87"/>
    </row>
    <row r="88" spans="1:21" x14ac:dyDescent="0.25">
      <c r="A88">
        <v>302</v>
      </c>
      <c r="B88" t="s">
        <v>376</v>
      </c>
      <c r="C88" t="s">
        <v>118</v>
      </c>
      <c r="D88">
        <v>449</v>
      </c>
      <c r="E88">
        <v>1449</v>
      </c>
      <c r="F88" t="s">
        <v>377</v>
      </c>
      <c r="G88" t="s">
        <v>378</v>
      </c>
      <c r="H88"/>
      <c r="I88" t="s">
        <v>1450</v>
      </c>
      <c r="J88" t="s">
        <v>114</v>
      </c>
      <c r="K88" s="73">
        <v>45288.741666666669</v>
      </c>
      <c r="L88"/>
      <c r="M88"/>
      <c r="N88"/>
      <c r="O88"/>
      <c r="P88"/>
      <c r="Q88"/>
      <c r="R88"/>
      <c r="S88"/>
      <c r="T88"/>
      <c r="U88"/>
    </row>
    <row r="89" spans="1:21" x14ac:dyDescent="0.25">
      <c r="A89">
        <v>303</v>
      </c>
      <c r="B89" t="s">
        <v>379</v>
      </c>
      <c r="C89" t="s">
        <v>118</v>
      </c>
      <c r="D89">
        <v>146</v>
      </c>
      <c r="E89">
        <v>1146</v>
      </c>
      <c r="F89" t="s">
        <v>380</v>
      </c>
      <c r="G89" t="s">
        <v>381</v>
      </c>
      <c r="H89"/>
      <c r="I89" t="s">
        <v>1450</v>
      </c>
      <c r="J89" t="s">
        <v>114</v>
      </c>
      <c r="K89" s="73">
        <v>45288.741666666669</v>
      </c>
      <c r="L89"/>
      <c r="M89"/>
      <c r="N89"/>
      <c r="O89"/>
      <c r="P89"/>
      <c r="Q89"/>
      <c r="R89"/>
      <c r="S89"/>
      <c r="T89"/>
      <c r="U89"/>
    </row>
    <row r="90" spans="1:21" x14ac:dyDescent="0.25">
      <c r="A90">
        <v>304</v>
      </c>
      <c r="B90" t="s">
        <v>382</v>
      </c>
      <c r="C90" t="s">
        <v>118</v>
      </c>
      <c r="D90">
        <v>325</v>
      </c>
      <c r="E90">
        <v>1325</v>
      </c>
      <c r="F90" t="s">
        <v>383</v>
      </c>
      <c r="G90" t="s">
        <v>384</v>
      </c>
      <c r="H90"/>
      <c r="I90" t="s">
        <v>1450</v>
      </c>
      <c r="J90" t="s">
        <v>114</v>
      </c>
      <c r="K90" s="73">
        <v>45288.741666666669</v>
      </c>
      <c r="L90"/>
      <c r="M90"/>
      <c r="N90"/>
      <c r="O90"/>
      <c r="P90"/>
      <c r="Q90"/>
      <c r="R90"/>
      <c r="S90"/>
      <c r="T90"/>
      <c r="U90"/>
    </row>
    <row r="91" spans="1:21" x14ac:dyDescent="0.25">
      <c r="A91">
        <v>305</v>
      </c>
      <c r="B91" t="s">
        <v>385</v>
      </c>
      <c r="C91" t="s">
        <v>118</v>
      </c>
      <c r="D91">
        <v>422</v>
      </c>
      <c r="E91">
        <v>1422</v>
      </c>
      <c r="F91" t="s">
        <v>386</v>
      </c>
      <c r="G91" t="s">
        <v>387</v>
      </c>
      <c r="H91"/>
      <c r="I91" t="s">
        <v>1450</v>
      </c>
      <c r="J91" t="s">
        <v>114</v>
      </c>
      <c r="K91" s="73">
        <v>45288.741666666669</v>
      </c>
      <c r="L91"/>
      <c r="M91"/>
      <c r="N91"/>
      <c r="O91"/>
      <c r="P91"/>
      <c r="Q91"/>
      <c r="R91"/>
      <c r="S91"/>
      <c r="T91"/>
      <c r="U91"/>
    </row>
    <row r="92" spans="1:21" x14ac:dyDescent="0.25">
      <c r="A92">
        <v>306</v>
      </c>
      <c r="B92" t="s">
        <v>388</v>
      </c>
      <c r="C92" t="s">
        <v>118</v>
      </c>
      <c r="D92">
        <v>86</v>
      </c>
      <c r="E92">
        <v>1086</v>
      </c>
      <c r="F92" t="s">
        <v>389</v>
      </c>
      <c r="G92" t="s">
        <v>390</v>
      </c>
      <c r="H92"/>
      <c r="I92" t="s">
        <v>1450</v>
      </c>
      <c r="J92" t="s">
        <v>114</v>
      </c>
      <c r="K92" s="73">
        <v>45288.741666666669</v>
      </c>
      <c r="L92"/>
      <c r="M92"/>
      <c r="N92"/>
      <c r="O92"/>
      <c r="P92"/>
      <c r="Q92"/>
      <c r="R92"/>
      <c r="S92"/>
      <c r="T92"/>
      <c r="U92"/>
    </row>
    <row r="93" spans="1:21" x14ac:dyDescent="0.25">
      <c r="A93">
        <v>307</v>
      </c>
      <c r="B93" t="s">
        <v>391</v>
      </c>
      <c r="C93" t="s">
        <v>118</v>
      </c>
      <c r="D93">
        <v>103</v>
      </c>
      <c r="E93">
        <v>1103</v>
      </c>
      <c r="F93" t="s">
        <v>392</v>
      </c>
      <c r="G93" t="s">
        <v>393</v>
      </c>
      <c r="H93"/>
      <c r="I93" t="s">
        <v>1450</v>
      </c>
      <c r="J93" t="s">
        <v>114</v>
      </c>
      <c r="K93" s="73">
        <v>45288.741666666669</v>
      </c>
      <c r="L93"/>
      <c r="M93"/>
      <c r="N93"/>
      <c r="O93"/>
      <c r="P93"/>
      <c r="Q93"/>
      <c r="R93"/>
      <c r="S93"/>
      <c r="T93"/>
      <c r="U93"/>
    </row>
    <row r="94" spans="1:21" x14ac:dyDescent="0.25">
      <c r="A94">
        <v>308</v>
      </c>
      <c r="B94" t="s">
        <v>394</v>
      </c>
      <c r="C94" t="s">
        <v>118</v>
      </c>
      <c r="D94">
        <v>104</v>
      </c>
      <c r="E94">
        <v>1104</v>
      </c>
      <c r="F94" t="s">
        <v>395</v>
      </c>
      <c r="G94" t="s">
        <v>396</v>
      </c>
      <c r="H94"/>
      <c r="I94" t="s">
        <v>1450</v>
      </c>
      <c r="J94" t="s">
        <v>114</v>
      </c>
      <c r="K94" s="73">
        <v>45288.741666666669</v>
      </c>
      <c r="L94"/>
      <c r="M94"/>
      <c r="N94"/>
      <c r="O94"/>
      <c r="P94"/>
      <c r="Q94"/>
      <c r="R94"/>
      <c r="S94"/>
      <c r="T94"/>
      <c r="U94"/>
    </row>
    <row r="95" spans="1:21" x14ac:dyDescent="0.25">
      <c r="A95">
        <v>309</v>
      </c>
      <c r="B95" t="s">
        <v>397</v>
      </c>
      <c r="C95" t="s">
        <v>118</v>
      </c>
      <c r="D95">
        <v>295</v>
      </c>
      <c r="E95">
        <v>1295</v>
      </c>
      <c r="F95" t="s">
        <v>398</v>
      </c>
      <c r="G95" t="s">
        <v>399</v>
      </c>
      <c r="H95"/>
      <c r="I95" t="s">
        <v>1450</v>
      </c>
      <c r="J95" t="s">
        <v>114</v>
      </c>
      <c r="K95" s="73">
        <v>45288.741666666669</v>
      </c>
      <c r="L95"/>
      <c r="M95"/>
      <c r="N95"/>
      <c r="O95"/>
      <c r="P95"/>
      <c r="Q95"/>
      <c r="R95"/>
      <c r="S95"/>
      <c r="T95"/>
      <c r="U95"/>
    </row>
    <row r="96" spans="1:21" x14ac:dyDescent="0.25">
      <c r="A96">
        <v>310</v>
      </c>
      <c r="B96" t="s">
        <v>400</v>
      </c>
      <c r="C96" t="s">
        <v>118</v>
      </c>
      <c r="D96">
        <v>107</v>
      </c>
      <c r="E96">
        <v>1107</v>
      </c>
      <c r="F96" t="s">
        <v>401</v>
      </c>
      <c r="G96" t="s">
        <v>402</v>
      </c>
      <c r="H96"/>
      <c r="I96" t="s">
        <v>1450</v>
      </c>
      <c r="J96" t="s">
        <v>114</v>
      </c>
      <c r="K96" s="73">
        <v>45288.741666666669</v>
      </c>
      <c r="L96"/>
      <c r="M96"/>
      <c r="N96"/>
      <c r="O96"/>
      <c r="P96"/>
      <c r="Q96"/>
      <c r="R96"/>
      <c r="S96"/>
      <c r="T96"/>
      <c r="U96"/>
    </row>
    <row r="97" spans="1:21" x14ac:dyDescent="0.25">
      <c r="A97">
        <v>311</v>
      </c>
      <c r="B97" t="s">
        <v>403</v>
      </c>
      <c r="C97" t="s">
        <v>118</v>
      </c>
      <c r="D97">
        <v>332</v>
      </c>
      <c r="E97">
        <v>1332</v>
      </c>
      <c r="F97" t="s">
        <v>404</v>
      </c>
      <c r="G97" t="s">
        <v>405</v>
      </c>
      <c r="H97"/>
      <c r="I97" t="s">
        <v>1450</v>
      </c>
      <c r="J97" t="s">
        <v>114</v>
      </c>
      <c r="K97" s="73">
        <v>45288.741666666669</v>
      </c>
      <c r="L97"/>
      <c r="M97"/>
      <c r="N97"/>
      <c r="O97"/>
      <c r="P97"/>
      <c r="Q97"/>
      <c r="R97"/>
      <c r="S97"/>
      <c r="T97"/>
      <c r="U97"/>
    </row>
    <row r="98" spans="1:21" x14ac:dyDescent="0.25">
      <c r="A98">
        <v>312</v>
      </c>
      <c r="B98" t="s">
        <v>406</v>
      </c>
      <c r="C98" t="s">
        <v>118</v>
      </c>
      <c r="D98">
        <v>93</v>
      </c>
      <c r="E98">
        <v>1093</v>
      </c>
      <c r="F98" t="s">
        <v>407</v>
      </c>
      <c r="G98" t="s">
        <v>408</v>
      </c>
      <c r="H98"/>
      <c r="I98" t="s">
        <v>1450</v>
      </c>
      <c r="J98" t="s">
        <v>114</v>
      </c>
      <c r="K98" s="73">
        <v>45288.741666666669</v>
      </c>
      <c r="L98"/>
      <c r="M98"/>
      <c r="N98"/>
      <c r="O98"/>
      <c r="P98"/>
      <c r="Q98"/>
      <c r="R98"/>
      <c r="S98"/>
      <c r="T98"/>
      <c r="U98"/>
    </row>
    <row r="99" spans="1:21" x14ac:dyDescent="0.25">
      <c r="A99">
        <v>313</v>
      </c>
      <c r="B99" t="s">
        <v>409</v>
      </c>
      <c r="C99" t="s">
        <v>118</v>
      </c>
      <c r="D99">
        <v>302</v>
      </c>
      <c r="E99">
        <v>1302</v>
      </c>
      <c r="F99" t="s">
        <v>410</v>
      </c>
      <c r="G99" t="s">
        <v>411</v>
      </c>
      <c r="H99"/>
      <c r="I99" t="s">
        <v>1450</v>
      </c>
      <c r="J99" t="s">
        <v>114</v>
      </c>
      <c r="K99" s="73">
        <v>45288.741666666669</v>
      </c>
      <c r="L99"/>
      <c r="M99"/>
      <c r="N99"/>
      <c r="O99"/>
      <c r="P99"/>
      <c r="Q99"/>
      <c r="R99"/>
      <c r="S99"/>
      <c r="T99"/>
      <c r="U99"/>
    </row>
    <row r="100" spans="1:21" x14ac:dyDescent="0.25">
      <c r="A100">
        <v>314</v>
      </c>
      <c r="B100" t="s">
        <v>412</v>
      </c>
      <c r="C100" t="s">
        <v>118</v>
      </c>
      <c r="D100">
        <v>164</v>
      </c>
      <c r="E100">
        <v>1164</v>
      </c>
      <c r="F100" t="s">
        <v>413</v>
      </c>
      <c r="G100" t="s">
        <v>414</v>
      </c>
      <c r="H100"/>
      <c r="I100" t="s">
        <v>1450</v>
      </c>
      <c r="J100" t="s">
        <v>114</v>
      </c>
      <c r="K100" s="73">
        <v>45288.741666666669</v>
      </c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>
        <v>315</v>
      </c>
      <c r="B101" t="s">
        <v>415</v>
      </c>
      <c r="C101" t="s">
        <v>118</v>
      </c>
      <c r="D101">
        <v>364</v>
      </c>
      <c r="E101">
        <v>1364</v>
      </c>
      <c r="F101" t="s">
        <v>416</v>
      </c>
      <c r="G101" t="s">
        <v>417</v>
      </c>
      <c r="H101"/>
      <c r="I101" t="s">
        <v>1450</v>
      </c>
      <c r="J101" t="s">
        <v>114</v>
      </c>
      <c r="K101" s="73">
        <v>45288.741666666669</v>
      </c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>
        <v>316</v>
      </c>
      <c r="B102" t="s">
        <v>418</v>
      </c>
      <c r="C102" t="s">
        <v>118</v>
      </c>
      <c r="D102">
        <v>365</v>
      </c>
      <c r="E102">
        <v>1365</v>
      </c>
      <c r="F102" t="s">
        <v>419</v>
      </c>
      <c r="G102" t="s">
        <v>420</v>
      </c>
      <c r="H102"/>
      <c r="I102" t="s">
        <v>1450</v>
      </c>
      <c r="J102" t="s">
        <v>114</v>
      </c>
      <c r="K102" s="73">
        <v>45288.741666666669</v>
      </c>
      <c r="M102"/>
      <c r="N102"/>
      <c r="O102"/>
      <c r="P102"/>
      <c r="Q102"/>
      <c r="R102"/>
      <c r="S102"/>
      <c r="T102"/>
      <c r="U102"/>
    </row>
    <row r="103" spans="1:21" x14ac:dyDescent="0.25">
      <c r="A103">
        <v>317</v>
      </c>
      <c r="B103" t="s">
        <v>421</v>
      </c>
      <c r="C103" t="s">
        <v>118</v>
      </c>
      <c r="D103">
        <v>337</v>
      </c>
      <c r="E103">
        <v>1337</v>
      </c>
      <c r="F103" t="s">
        <v>422</v>
      </c>
      <c r="G103" t="s">
        <v>423</v>
      </c>
      <c r="H103"/>
      <c r="I103" t="s">
        <v>1450</v>
      </c>
      <c r="J103" t="s">
        <v>114</v>
      </c>
      <c r="K103" s="73">
        <v>45288.741666666669</v>
      </c>
      <c r="M103"/>
      <c r="N103"/>
      <c r="O103"/>
      <c r="P103"/>
      <c r="Q103"/>
      <c r="R103"/>
      <c r="S103"/>
      <c r="T103"/>
      <c r="U103"/>
    </row>
    <row r="104" spans="1:21" x14ac:dyDescent="0.25">
      <c r="A104">
        <v>318</v>
      </c>
      <c r="B104" t="s">
        <v>424</v>
      </c>
      <c r="C104" t="s">
        <v>118</v>
      </c>
      <c r="D104">
        <v>363</v>
      </c>
      <c r="E104">
        <v>1363</v>
      </c>
      <c r="F104" t="s">
        <v>425</v>
      </c>
      <c r="G104" t="s">
        <v>426</v>
      </c>
      <c r="H104"/>
      <c r="I104" t="s">
        <v>1450</v>
      </c>
      <c r="J104" t="s">
        <v>114</v>
      </c>
      <c r="K104" s="73">
        <v>45288.741666666669</v>
      </c>
      <c r="M104"/>
      <c r="N104"/>
      <c r="O104"/>
      <c r="P104"/>
      <c r="Q104"/>
      <c r="R104"/>
      <c r="S104"/>
      <c r="T104"/>
      <c r="U104"/>
    </row>
    <row r="105" spans="1:21" x14ac:dyDescent="0.25">
      <c r="A105">
        <v>319</v>
      </c>
      <c r="B105" t="s">
        <v>427</v>
      </c>
      <c r="C105" t="s">
        <v>118</v>
      </c>
      <c r="D105">
        <v>430</v>
      </c>
      <c r="E105">
        <v>1430</v>
      </c>
      <c r="F105" t="s">
        <v>428</v>
      </c>
      <c r="G105" t="s">
        <v>429</v>
      </c>
      <c r="H105"/>
      <c r="I105" t="s">
        <v>1450</v>
      </c>
      <c r="J105" t="s">
        <v>114</v>
      </c>
      <c r="K105" s="73">
        <v>45288.741666666669</v>
      </c>
      <c r="M105"/>
      <c r="N105"/>
      <c r="O105"/>
      <c r="P105"/>
      <c r="Q105"/>
      <c r="R105"/>
      <c r="S105"/>
      <c r="T105"/>
      <c r="U105"/>
    </row>
    <row r="106" spans="1:21" x14ac:dyDescent="0.25">
      <c r="A106">
        <v>320</v>
      </c>
      <c r="B106" t="s">
        <v>430</v>
      </c>
      <c r="C106" t="s">
        <v>118</v>
      </c>
      <c r="D106">
        <v>340</v>
      </c>
      <c r="E106">
        <v>1340</v>
      </c>
      <c r="F106" t="s">
        <v>431</v>
      </c>
      <c r="G106" t="s">
        <v>432</v>
      </c>
      <c r="H106"/>
      <c r="I106" t="s">
        <v>1450</v>
      </c>
      <c r="J106" t="s">
        <v>114</v>
      </c>
      <c r="K106" s="73">
        <v>45288.741666666669</v>
      </c>
      <c r="M106"/>
      <c r="N106"/>
      <c r="O106"/>
      <c r="P106"/>
      <c r="Q106"/>
      <c r="R106"/>
      <c r="S106"/>
      <c r="T106"/>
      <c r="U106"/>
    </row>
    <row r="107" spans="1:21" x14ac:dyDescent="0.25">
      <c r="A107">
        <v>321</v>
      </c>
      <c r="B107" t="s">
        <v>433</v>
      </c>
      <c r="C107" t="s">
        <v>118</v>
      </c>
      <c r="D107">
        <v>339</v>
      </c>
      <c r="E107">
        <v>1339</v>
      </c>
      <c r="F107" t="s">
        <v>434</v>
      </c>
      <c r="G107" t="s">
        <v>435</v>
      </c>
      <c r="H107"/>
      <c r="I107" t="s">
        <v>1450</v>
      </c>
      <c r="J107" t="s">
        <v>114</v>
      </c>
      <c r="K107" s="73">
        <v>45288.741666666669</v>
      </c>
    </row>
    <row r="108" spans="1:21" x14ac:dyDescent="0.25">
      <c r="A108">
        <v>322</v>
      </c>
      <c r="B108" t="s">
        <v>436</v>
      </c>
      <c r="C108" t="s">
        <v>118</v>
      </c>
      <c r="D108">
        <v>159</v>
      </c>
      <c r="E108">
        <v>1159</v>
      </c>
      <c r="F108" t="s">
        <v>437</v>
      </c>
      <c r="G108" t="s">
        <v>438</v>
      </c>
      <c r="H108"/>
      <c r="I108" t="s">
        <v>1450</v>
      </c>
      <c r="J108" t="s">
        <v>114</v>
      </c>
      <c r="K108" s="73">
        <v>45288.741666666669</v>
      </c>
    </row>
    <row r="109" spans="1:21" x14ac:dyDescent="0.25">
      <c r="A109">
        <v>323</v>
      </c>
      <c r="B109" t="s">
        <v>439</v>
      </c>
      <c r="C109" t="s">
        <v>118</v>
      </c>
      <c r="D109">
        <v>165</v>
      </c>
      <c r="E109">
        <v>1165</v>
      </c>
      <c r="F109" t="s">
        <v>440</v>
      </c>
      <c r="G109" t="s">
        <v>441</v>
      </c>
      <c r="H109"/>
      <c r="I109" t="s">
        <v>1450</v>
      </c>
      <c r="J109" t="s">
        <v>114</v>
      </c>
      <c r="K109" s="73">
        <v>45288.741666666669</v>
      </c>
    </row>
    <row r="110" spans="1:21" x14ac:dyDescent="0.25">
      <c r="A110">
        <v>324</v>
      </c>
      <c r="B110" t="s">
        <v>141</v>
      </c>
      <c r="C110" t="s">
        <v>118</v>
      </c>
      <c r="D110">
        <v>440</v>
      </c>
      <c r="E110">
        <v>1440</v>
      </c>
      <c r="F110" t="s">
        <v>142</v>
      </c>
      <c r="G110" t="s">
        <v>143</v>
      </c>
      <c r="H110"/>
      <c r="I110" t="s">
        <v>1450</v>
      </c>
      <c r="J110" t="s">
        <v>114</v>
      </c>
      <c r="K110" s="73">
        <v>45288.741666666669</v>
      </c>
    </row>
    <row r="111" spans="1:21" x14ac:dyDescent="0.25">
      <c r="A111">
        <v>325</v>
      </c>
      <c r="B111" t="s">
        <v>442</v>
      </c>
      <c r="C111" t="s">
        <v>118</v>
      </c>
      <c r="D111">
        <v>208</v>
      </c>
      <c r="E111">
        <v>1208</v>
      </c>
      <c r="F111" t="s">
        <v>443</v>
      </c>
      <c r="G111" t="s">
        <v>444</v>
      </c>
      <c r="H111"/>
      <c r="I111" t="s">
        <v>1450</v>
      </c>
      <c r="J111" t="s">
        <v>114</v>
      </c>
      <c r="K111" s="73">
        <v>45288.741666666669</v>
      </c>
    </row>
    <row r="112" spans="1:21" x14ac:dyDescent="0.25">
      <c r="A112">
        <v>326</v>
      </c>
      <c r="B112" t="s">
        <v>445</v>
      </c>
      <c r="C112" t="s">
        <v>118</v>
      </c>
      <c r="D112">
        <v>76</v>
      </c>
      <c r="E112">
        <v>1076</v>
      </c>
      <c r="F112" t="s">
        <v>446</v>
      </c>
      <c r="G112" t="s">
        <v>447</v>
      </c>
      <c r="H112"/>
      <c r="I112" t="s">
        <v>1450</v>
      </c>
      <c r="J112" t="s">
        <v>114</v>
      </c>
      <c r="K112" s="73">
        <v>45288.741666666669</v>
      </c>
    </row>
    <row r="113" spans="1:11" x14ac:dyDescent="0.25">
      <c r="A113">
        <v>327</v>
      </c>
      <c r="B113" t="s">
        <v>448</v>
      </c>
      <c r="C113" t="s">
        <v>118</v>
      </c>
      <c r="D113">
        <v>36</v>
      </c>
      <c r="E113">
        <v>1036</v>
      </c>
      <c r="F113" t="s">
        <v>449</v>
      </c>
      <c r="G113" t="s">
        <v>450</v>
      </c>
      <c r="H113"/>
      <c r="I113" t="s">
        <v>1450</v>
      </c>
      <c r="J113" t="s">
        <v>114</v>
      </c>
      <c r="K113" s="73">
        <v>45288.741666666669</v>
      </c>
    </row>
    <row r="114" spans="1:11" x14ac:dyDescent="0.25">
      <c r="A114">
        <v>328</v>
      </c>
      <c r="B114" t="s">
        <v>451</v>
      </c>
      <c r="C114" t="s">
        <v>118</v>
      </c>
      <c r="D114">
        <v>64</v>
      </c>
      <c r="E114">
        <v>1064</v>
      </c>
      <c r="F114" t="s">
        <v>452</v>
      </c>
      <c r="G114" t="s">
        <v>453</v>
      </c>
      <c r="H114"/>
      <c r="I114" t="s">
        <v>1450</v>
      </c>
      <c r="J114" t="s">
        <v>114</v>
      </c>
      <c r="K114" s="73">
        <v>45288.741666666669</v>
      </c>
    </row>
    <row r="115" spans="1:11" x14ac:dyDescent="0.25">
      <c r="A115">
        <v>329</v>
      </c>
      <c r="B115" t="s">
        <v>454</v>
      </c>
      <c r="C115" t="s">
        <v>118</v>
      </c>
      <c r="D115">
        <v>63</v>
      </c>
      <c r="E115">
        <v>1063</v>
      </c>
      <c r="F115" t="s">
        <v>455</v>
      </c>
      <c r="G115" t="s">
        <v>456</v>
      </c>
      <c r="H115"/>
      <c r="I115" t="s">
        <v>1450</v>
      </c>
      <c r="J115" t="s">
        <v>114</v>
      </c>
      <c r="K115" s="73">
        <v>45288.741666666669</v>
      </c>
    </row>
    <row r="116" spans="1:11" x14ac:dyDescent="0.25">
      <c r="A116">
        <v>330</v>
      </c>
      <c r="B116" t="s">
        <v>457</v>
      </c>
      <c r="C116" t="s">
        <v>118</v>
      </c>
      <c r="D116">
        <v>152</v>
      </c>
      <c r="E116">
        <v>1152</v>
      </c>
      <c r="F116" t="s">
        <v>458</v>
      </c>
      <c r="G116" t="s">
        <v>459</v>
      </c>
      <c r="H116"/>
      <c r="I116" t="s">
        <v>1450</v>
      </c>
      <c r="J116" t="s">
        <v>114</v>
      </c>
      <c r="K116" s="73">
        <v>45288.741666666669</v>
      </c>
    </row>
    <row r="117" spans="1:11" x14ac:dyDescent="0.25">
      <c r="A117">
        <v>331</v>
      </c>
      <c r="B117" t="s">
        <v>460</v>
      </c>
      <c r="C117" t="s">
        <v>118</v>
      </c>
      <c r="D117">
        <v>151</v>
      </c>
      <c r="E117">
        <v>1151</v>
      </c>
      <c r="F117" t="s">
        <v>461</v>
      </c>
      <c r="G117" t="s">
        <v>462</v>
      </c>
      <c r="H117"/>
      <c r="I117" t="s">
        <v>1450</v>
      </c>
      <c r="J117" t="s">
        <v>114</v>
      </c>
      <c r="K117" s="73">
        <v>45288.741666666669</v>
      </c>
    </row>
    <row r="118" spans="1:11" x14ac:dyDescent="0.25">
      <c r="A118">
        <v>332</v>
      </c>
      <c r="B118" t="s">
        <v>463</v>
      </c>
      <c r="C118" t="s">
        <v>118</v>
      </c>
      <c r="D118">
        <v>154</v>
      </c>
      <c r="E118">
        <v>1154</v>
      </c>
      <c r="F118" t="s">
        <v>464</v>
      </c>
      <c r="G118" t="s">
        <v>465</v>
      </c>
      <c r="H118"/>
      <c r="I118" t="s">
        <v>1450</v>
      </c>
      <c r="J118" t="s">
        <v>114</v>
      </c>
      <c r="K118" s="73">
        <v>45288.741666666669</v>
      </c>
    </row>
    <row r="119" spans="1:11" x14ac:dyDescent="0.25">
      <c r="A119">
        <v>333</v>
      </c>
      <c r="B119" t="s">
        <v>466</v>
      </c>
      <c r="C119" t="s">
        <v>118</v>
      </c>
      <c r="D119">
        <v>150</v>
      </c>
      <c r="E119">
        <v>1150</v>
      </c>
      <c r="F119" t="s">
        <v>467</v>
      </c>
      <c r="G119" t="s">
        <v>468</v>
      </c>
      <c r="H119"/>
      <c r="I119" t="s">
        <v>1450</v>
      </c>
      <c r="J119" t="s">
        <v>114</v>
      </c>
      <c r="K119" s="73">
        <v>45288.741666666669</v>
      </c>
    </row>
    <row r="120" spans="1:11" x14ac:dyDescent="0.25">
      <c r="A120">
        <v>334</v>
      </c>
      <c r="B120" t="s">
        <v>469</v>
      </c>
      <c r="C120" t="s">
        <v>118</v>
      </c>
      <c r="D120">
        <v>148</v>
      </c>
      <c r="E120">
        <v>1148</v>
      </c>
      <c r="F120" t="s">
        <v>470</v>
      </c>
      <c r="G120" t="s">
        <v>471</v>
      </c>
      <c r="H120"/>
      <c r="I120" t="s">
        <v>1450</v>
      </c>
      <c r="J120" t="s">
        <v>114</v>
      </c>
      <c r="K120" s="73">
        <v>45288.741666666669</v>
      </c>
    </row>
    <row r="121" spans="1:11" x14ac:dyDescent="0.25">
      <c r="A121">
        <v>335</v>
      </c>
      <c r="B121" t="s">
        <v>472</v>
      </c>
      <c r="C121" t="s">
        <v>118</v>
      </c>
      <c r="D121">
        <v>153</v>
      </c>
      <c r="E121">
        <v>1153</v>
      </c>
      <c r="F121" t="s">
        <v>473</v>
      </c>
      <c r="G121" t="s">
        <v>474</v>
      </c>
      <c r="H121"/>
      <c r="I121" t="s">
        <v>1450</v>
      </c>
      <c r="J121" t="s">
        <v>114</v>
      </c>
      <c r="K121" s="73">
        <v>45288.741666666669</v>
      </c>
    </row>
    <row r="122" spans="1:11" x14ac:dyDescent="0.25">
      <c r="A122">
        <v>336</v>
      </c>
      <c r="B122" t="s">
        <v>475</v>
      </c>
      <c r="C122" t="s">
        <v>118</v>
      </c>
      <c r="D122">
        <v>172</v>
      </c>
      <c r="E122">
        <v>1172</v>
      </c>
      <c r="F122" t="s">
        <v>476</v>
      </c>
      <c r="G122" t="s">
        <v>477</v>
      </c>
      <c r="H122"/>
      <c r="I122" t="s">
        <v>1450</v>
      </c>
      <c r="J122" t="s">
        <v>114</v>
      </c>
      <c r="K122" s="73">
        <v>45288.741666666669</v>
      </c>
    </row>
    <row r="123" spans="1:11" x14ac:dyDescent="0.25">
      <c r="A123">
        <v>337</v>
      </c>
      <c r="B123" t="s">
        <v>478</v>
      </c>
      <c r="C123" t="s">
        <v>118</v>
      </c>
      <c r="D123">
        <v>52</v>
      </c>
      <c r="E123">
        <v>1052</v>
      </c>
      <c r="F123" t="s">
        <v>479</v>
      </c>
      <c r="G123" t="s">
        <v>480</v>
      </c>
      <c r="H123"/>
      <c r="I123" t="s">
        <v>1450</v>
      </c>
      <c r="J123" t="s">
        <v>114</v>
      </c>
      <c r="K123" s="73">
        <v>45288.741666666669</v>
      </c>
    </row>
    <row r="124" spans="1:11" x14ac:dyDescent="0.25">
      <c r="A124">
        <v>338</v>
      </c>
      <c r="B124" t="s">
        <v>481</v>
      </c>
      <c r="C124" t="s">
        <v>118</v>
      </c>
      <c r="D124">
        <v>436</v>
      </c>
      <c r="E124">
        <v>1436</v>
      </c>
      <c r="F124" t="s">
        <v>482</v>
      </c>
      <c r="G124" t="s">
        <v>483</v>
      </c>
      <c r="H124"/>
      <c r="I124" t="s">
        <v>1450</v>
      </c>
      <c r="J124" t="s">
        <v>114</v>
      </c>
      <c r="K124" s="73">
        <v>45288.741666666669</v>
      </c>
    </row>
    <row r="125" spans="1:11" x14ac:dyDescent="0.25">
      <c r="A125">
        <v>339</v>
      </c>
      <c r="B125" t="s">
        <v>484</v>
      </c>
      <c r="C125" t="s">
        <v>118</v>
      </c>
      <c r="D125">
        <v>362</v>
      </c>
      <c r="E125">
        <v>1362</v>
      </c>
      <c r="F125" t="s">
        <v>485</v>
      </c>
      <c r="G125" t="s">
        <v>486</v>
      </c>
      <c r="H125"/>
      <c r="I125" t="s">
        <v>1450</v>
      </c>
      <c r="J125" t="s">
        <v>114</v>
      </c>
      <c r="K125" s="73">
        <v>45288.741666666669</v>
      </c>
    </row>
    <row r="126" spans="1:11" x14ac:dyDescent="0.25">
      <c r="A126">
        <v>340</v>
      </c>
      <c r="B126" t="s">
        <v>487</v>
      </c>
      <c r="C126" t="s">
        <v>118</v>
      </c>
      <c r="D126">
        <v>233</v>
      </c>
      <c r="E126">
        <v>1233</v>
      </c>
      <c r="F126" t="s">
        <v>488</v>
      </c>
      <c r="G126" t="s">
        <v>489</v>
      </c>
      <c r="H126"/>
      <c r="I126" t="s">
        <v>1450</v>
      </c>
      <c r="J126" t="s">
        <v>114</v>
      </c>
      <c r="K126" s="73">
        <v>45288.741666666669</v>
      </c>
    </row>
    <row r="127" spans="1:11" x14ac:dyDescent="0.25">
      <c r="A127">
        <v>341</v>
      </c>
      <c r="B127" t="s">
        <v>490</v>
      </c>
      <c r="C127" t="s">
        <v>118</v>
      </c>
      <c r="D127">
        <v>81</v>
      </c>
      <c r="E127">
        <v>1081</v>
      </c>
      <c r="F127" t="s">
        <v>491</v>
      </c>
      <c r="G127" t="s">
        <v>492</v>
      </c>
      <c r="H127"/>
      <c r="I127" t="s">
        <v>1450</v>
      </c>
      <c r="J127" t="s">
        <v>114</v>
      </c>
      <c r="K127" s="73">
        <v>45288.741666666669</v>
      </c>
    </row>
    <row r="128" spans="1:11" x14ac:dyDescent="0.25">
      <c r="A128">
        <v>342</v>
      </c>
      <c r="B128" t="s">
        <v>493</v>
      </c>
      <c r="C128" t="s">
        <v>118</v>
      </c>
      <c r="D128">
        <v>173</v>
      </c>
      <c r="E128">
        <v>1173</v>
      </c>
      <c r="F128" t="s">
        <v>494</v>
      </c>
      <c r="G128" t="s">
        <v>495</v>
      </c>
      <c r="H128"/>
      <c r="I128" t="s">
        <v>1450</v>
      </c>
      <c r="J128" t="s">
        <v>114</v>
      </c>
      <c r="K128" s="73">
        <v>45288.741666666669</v>
      </c>
    </row>
    <row r="129" spans="1:11" x14ac:dyDescent="0.25">
      <c r="A129">
        <v>343</v>
      </c>
      <c r="B129" t="s">
        <v>496</v>
      </c>
      <c r="C129" t="s">
        <v>118</v>
      </c>
      <c r="D129">
        <v>425</v>
      </c>
      <c r="E129">
        <v>1425</v>
      </c>
      <c r="F129" t="s">
        <v>497</v>
      </c>
      <c r="G129" t="s">
        <v>498</v>
      </c>
      <c r="H129"/>
      <c r="I129" t="s">
        <v>1450</v>
      </c>
      <c r="J129" t="s">
        <v>114</v>
      </c>
      <c r="K129" s="73">
        <v>45288.741666666669</v>
      </c>
    </row>
    <row r="130" spans="1:11" x14ac:dyDescent="0.25">
      <c r="A130">
        <v>344</v>
      </c>
      <c r="B130" t="s">
        <v>499</v>
      </c>
      <c r="C130" t="s">
        <v>118</v>
      </c>
      <c r="D130">
        <v>350</v>
      </c>
      <c r="E130">
        <v>1350</v>
      </c>
      <c r="F130" t="s">
        <v>500</v>
      </c>
      <c r="G130" t="s">
        <v>501</v>
      </c>
      <c r="H130"/>
      <c r="I130" t="s">
        <v>1450</v>
      </c>
      <c r="J130" t="s">
        <v>114</v>
      </c>
      <c r="K130" s="73">
        <v>45288.741666666669</v>
      </c>
    </row>
    <row r="131" spans="1:11" x14ac:dyDescent="0.25">
      <c r="A131">
        <v>345</v>
      </c>
      <c r="B131" t="s">
        <v>502</v>
      </c>
      <c r="C131" t="s">
        <v>118</v>
      </c>
      <c r="D131">
        <v>351</v>
      </c>
      <c r="E131">
        <v>1351</v>
      </c>
      <c r="F131" t="s">
        <v>503</v>
      </c>
      <c r="G131" t="s">
        <v>504</v>
      </c>
      <c r="H131"/>
      <c r="I131" t="s">
        <v>1450</v>
      </c>
      <c r="J131" t="s">
        <v>114</v>
      </c>
      <c r="K131" s="73">
        <v>45288.741666666669</v>
      </c>
    </row>
    <row r="132" spans="1:11" x14ac:dyDescent="0.25">
      <c r="A132">
        <v>346</v>
      </c>
      <c r="B132" t="s">
        <v>505</v>
      </c>
      <c r="C132" t="s">
        <v>118</v>
      </c>
      <c r="D132">
        <v>88</v>
      </c>
      <c r="E132">
        <v>1088</v>
      </c>
      <c r="F132" t="s">
        <v>506</v>
      </c>
      <c r="G132" t="s">
        <v>507</v>
      </c>
      <c r="H132"/>
      <c r="I132" t="s">
        <v>1450</v>
      </c>
      <c r="J132" t="s">
        <v>114</v>
      </c>
      <c r="K132" s="73">
        <v>45288.741666666669</v>
      </c>
    </row>
    <row r="133" spans="1:11" x14ac:dyDescent="0.25">
      <c r="A133">
        <v>347</v>
      </c>
      <c r="B133" t="s">
        <v>508</v>
      </c>
      <c r="C133" t="s">
        <v>118</v>
      </c>
      <c r="D133">
        <v>89</v>
      </c>
      <c r="E133">
        <v>1089</v>
      </c>
      <c r="F133" t="s">
        <v>509</v>
      </c>
      <c r="G133" t="s">
        <v>510</v>
      </c>
      <c r="H133"/>
      <c r="I133" t="s">
        <v>1450</v>
      </c>
      <c r="J133" t="s">
        <v>114</v>
      </c>
      <c r="K133" s="73">
        <v>45288.741666666669</v>
      </c>
    </row>
    <row r="134" spans="1:11" x14ac:dyDescent="0.25">
      <c r="A134">
        <v>348</v>
      </c>
      <c r="B134" t="s">
        <v>511</v>
      </c>
      <c r="C134" t="s">
        <v>118</v>
      </c>
      <c r="D134">
        <v>292</v>
      </c>
      <c r="E134">
        <v>1292</v>
      </c>
      <c r="F134" t="s">
        <v>512</v>
      </c>
      <c r="G134" t="s">
        <v>513</v>
      </c>
      <c r="H134"/>
      <c r="I134" t="s">
        <v>1450</v>
      </c>
      <c r="J134" t="s">
        <v>114</v>
      </c>
      <c r="K134" s="73">
        <v>45288.741666666669</v>
      </c>
    </row>
    <row r="135" spans="1:11" x14ac:dyDescent="0.25">
      <c r="A135">
        <v>349</v>
      </c>
      <c r="B135" t="s">
        <v>514</v>
      </c>
      <c r="C135" t="s">
        <v>118</v>
      </c>
      <c r="D135">
        <v>286</v>
      </c>
      <c r="E135">
        <v>1286</v>
      </c>
      <c r="F135" t="s">
        <v>515</v>
      </c>
      <c r="G135" t="s">
        <v>516</v>
      </c>
      <c r="H135"/>
      <c r="I135" t="s">
        <v>1450</v>
      </c>
      <c r="J135" t="s">
        <v>114</v>
      </c>
      <c r="K135" s="73">
        <v>45288.741666666669</v>
      </c>
    </row>
    <row r="136" spans="1:11" x14ac:dyDescent="0.25">
      <c r="A136">
        <v>350</v>
      </c>
      <c r="B136" t="s">
        <v>517</v>
      </c>
      <c r="C136" t="s">
        <v>118</v>
      </c>
      <c r="D136">
        <v>289</v>
      </c>
      <c r="E136">
        <v>1289</v>
      </c>
      <c r="F136" t="s">
        <v>518</v>
      </c>
      <c r="G136" t="s">
        <v>519</v>
      </c>
      <c r="H136"/>
      <c r="I136" t="s">
        <v>1450</v>
      </c>
      <c r="J136" t="s">
        <v>114</v>
      </c>
      <c r="K136" s="73">
        <v>45288.741666666669</v>
      </c>
    </row>
    <row r="137" spans="1:11" x14ac:dyDescent="0.25">
      <c r="A137">
        <v>351</v>
      </c>
      <c r="B137" t="s">
        <v>520</v>
      </c>
      <c r="C137" t="s">
        <v>118</v>
      </c>
      <c r="D137">
        <v>434</v>
      </c>
      <c r="E137">
        <v>1434</v>
      </c>
      <c r="F137" t="s">
        <v>521</v>
      </c>
      <c r="G137" t="s">
        <v>522</v>
      </c>
      <c r="H137"/>
      <c r="I137" t="s">
        <v>1450</v>
      </c>
      <c r="J137" t="s">
        <v>114</v>
      </c>
      <c r="K137" s="73">
        <v>45288.741666666669</v>
      </c>
    </row>
    <row r="138" spans="1:11" x14ac:dyDescent="0.25">
      <c r="A138">
        <v>352</v>
      </c>
      <c r="B138" t="s">
        <v>523</v>
      </c>
      <c r="C138" t="s">
        <v>118</v>
      </c>
      <c r="D138">
        <v>258</v>
      </c>
      <c r="E138">
        <v>1258</v>
      </c>
      <c r="F138" t="s">
        <v>524</v>
      </c>
      <c r="G138" t="s">
        <v>525</v>
      </c>
      <c r="H138"/>
      <c r="I138" t="s">
        <v>1450</v>
      </c>
      <c r="J138" t="s">
        <v>114</v>
      </c>
      <c r="K138" s="73">
        <v>45288.741666666669</v>
      </c>
    </row>
    <row r="139" spans="1:11" x14ac:dyDescent="0.25">
      <c r="A139">
        <v>353</v>
      </c>
      <c r="B139" t="s">
        <v>526</v>
      </c>
      <c r="C139" t="s">
        <v>118</v>
      </c>
      <c r="D139">
        <v>38</v>
      </c>
      <c r="E139">
        <v>1038</v>
      </c>
      <c r="F139" t="s">
        <v>527</v>
      </c>
      <c r="G139" t="s">
        <v>528</v>
      </c>
      <c r="H139"/>
      <c r="I139" t="s">
        <v>1450</v>
      </c>
      <c r="J139" t="s">
        <v>114</v>
      </c>
      <c r="K139" s="73">
        <v>45288.741666666669</v>
      </c>
    </row>
    <row r="140" spans="1:11" x14ac:dyDescent="0.25">
      <c r="A140">
        <v>354</v>
      </c>
      <c r="B140" t="s">
        <v>529</v>
      </c>
      <c r="C140" t="s">
        <v>118</v>
      </c>
      <c r="D140">
        <v>174</v>
      </c>
      <c r="E140">
        <v>1174</v>
      </c>
      <c r="F140" t="s">
        <v>530</v>
      </c>
      <c r="G140" t="s">
        <v>531</v>
      </c>
      <c r="H140"/>
      <c r="I140" t="s">
        <v>1450</v>
      </c>
      <c r="J140" t="s">
        <v>114</v>
      </c>
      <c r="K140" s="73">
        <v>45288.741666666669</v>
      </c>
    </row>
    <row r="141" spans="1:11" x14ac:dyDescent="0.25">
      <c r="A141">
        <v>355</v>
      </c>
      <c r="B141" t="s">
        <v>532</v>
      </c>
      <c r="C141" t="s">
        <v>118</v>
      </c>
      <c r="D141">
        <v>297</v>
      </c>
      <c r="E141">
        <v>1297</v>
      </c>
      <c r="F141" t="s">
        <v>533</v>
      </c>
      <c r="G141" t="s">
        <v>534</v>
      </c>
      <c r="H141"/>
      <c r="I141" t="s">
        <v>1450</v>
      </c>
      <c r="J141" t="s">
        <v>114</v>
      </c>
      <c r="K141" s="73">
        <v>45288.741666666669</v>
      </c>
    </row>
    <row r="142" spans="1:11" x14ac:dyDescent="0.25">
      <c r="A142">
        <v>356</v>
      </c>
      <c r="B142" t="s">
        <v>535</v>
      </c>
      <c r="C142" t="s">
        <v>118</v>
      </c>
      <c r="D142">
        <v>296</v>
      </c>
      <c r="E142">
        <v>1296</v>
      </c>
      <c r="F142" t="s">
        <v>536</v>
      </c>
      <c r="G142" t="s">
        <v>537</v>
      </c>
      <c r="H142"/>
      <c r="I142" t="s">
        <v>1450</v>
      </c>
      <c r="J142" t="s">
        <v>114</v>
      </c>
      <c r="K142" s="73">
        <v>45288.741666666669</v>
      </c>
    </row>
    <row r="143" spans="1:11" x14ac:dyDescent="0.25">
      <c r="A143">
        <v>357</v>
      </c>
      <c r="B143" t="s">
        <v>538</v>
      </c>
      <c r="C143" t="s">
        <v>118</v>
      </c>
      <c r="D143">
        <v>298</v>
      </c>
      <c r="E143">
        <v>1298</v>
      </c>
      <c r="F143" t="s">
        <v>539</v>
      </c>
      <c r="G143" t="s">
        <v>540</v>
      </c>
      <c r="H143"/>
      <c r="I143" t="s">
        <v>1450</v>
      </c>
      <c r="J143" t="s">
        <v>114</v>
      </c>
      <c r="K143" s="73">
        <v>45288.741666666669</v>
      </c>
    </row>
    <row r="144" spans="1:11" x14ac:dyDescent="0.25">
      <c r="A144">
        <v>358</v>
      </c>
      <c r="B144" t="s">
        <v>541</v>
      </c>
      <c r="C144" t="s">
        <v>118</v>
      </c>
      <c r="D144">
        <v>157</v>
      </c>
      <c r="E144">
        <v>1157</v>
      </c>
      <c r="F144" t="s">
        <v>542</v>
      </c>
      <c r="G144" t="s">
        <v>543</v>
      </c>
      <c r="H144"/>
      <c r="I144" t="s">
        <v>1450</v>
      </c>
      <c r="J144" t="s">
        <v>114</v>
      </c>
      <c r="K144" s="73">
        <v>45288.741666666669</v>
      </c>
    </row>
    <row r="145" spans="1:11" x14ac:dyDescent="0.25">
      <c r="A145">
        <v>359</v>
      </c>
      <c r="B145" t="s">
        <v>544</v>
      </c>
      <c r="C145" t="s">
        <v>118</v>
      </c>
      <c r="D145">
        <v>293</v>
      </c>
      <c r="E145">
        <v>1293</v>
      </c>
      <c r="F145" t="s">
        <v>545</v>
      </c>
      <c r="G145" t="s">
        <v>546</v>
      </c>
      <c r="H145"/>
      <c r="I145" t="s">
        <v>1450</v>
      </c>
      <c r="J145" t="s">
        <v>114</v>
      </c>
      <c r="K145" s="73">
        <v>45288.741666666669</v>
      </c>
    </row>
    <row r="146" spans="1:11" x14ac:dyDescent="0.25">
      <c r="A146">
        <v>360</v>
      </c>
      <c r="B146" t="s">
        <v>547</v>
      </c>
      <c r="C146" t="s">
        <v>118</v>
      </c>
      <c r="D146">
        <v>205</v>
      </c>
      <c r="E146">
        <v>1205</v>
      </c>
      <c r="F146" t="s">
        <v>548</v>
      </c>
      <c r="G146" t="s">
        <v>549</v>
      </c>
      <c r="H146"/>
      <c r="I146" t="s">
        <v>1450</v>
      </c>
      <c r="J146" t="s">
        <v>114</v>
      </c>
      <c r="K146" s="73">
        <v>45288.741666666669</v>
      </c>
    </row>
    <row r="147" spans="1:11" x14ac:dyDescent="0.25">
      <c r="A147">
        <v>361</v>
      </c>
      <c r="B147" t="s">
        <v>550</v>
      </c>
      <c r="C147" t="s">
        <v>118</v>
      </c>
      <c r="D147">
        <v>9</v>
      </c>
      <c r="E147">
        <v>1009</v>
      </c>
      <c r="F147" t="s">
        <v>551</v>
      </c>
      <c r="G147" t="s">
        <v>552</v>
      </c>
      <c r="H147"/>
      <c r="I147" t="s">
        <v>1449</v>
      </c>
      <c r="J147" t="s">
        <v>114</v>
      </c>
      <c r="K147" s="73">
        <v>45288.741666666669</v>
      </c>
    </row>
    <row r="148" spans="1:11" x14ac:dyDescent="0.25">
      <c r="A148">
        <v>362</v>
      </c>
      <c r="B148" t="s">
        <v>553</v>
      </c>
      <c r="C148" t="s">
        <v>118</v>
      </c>
      <c r="D148">
        <v>266</v>
      </c>
      <c r="E148">
        <v>1266</v>
      </c>
      <c r="F148" t="s">
        <v>554</v>
      </c>
      <c r="G148" t="s">
        <v>555</v>
      </c>
      <c r="H148"/>
      <c r="I148" t="s">
        <v>1449</v>
      </c>
      <c r="J148" t="s">
        <v>114</v>
      </c>
      <c r="K148" s="73">
        <v>45288.741666666669</v>
      </c>
    </row>
    <row r="149" spans="1:11" x14ac:dyDescent="0.25">
      <c r="A149">
        <v>363</v>
      </c>
      <c r="B149" t="s">
        <v>556</v>
      </c>
      <c r="C149" t="s">
        <v>118</v>
      </c>
      <c r="D149">
        <v>10</v>
      </c>
      <c r="E149">
        <v>1010</v>
      </c>
      <c r="F149" t="s">
        <v>557</v>
      </c>
      <c r="G149" t="s">
        <v>558</v>
      </c>
      <c r="H149"/>
      <c r="I149" t="s">
        <v>1449</v>
      </c>
      <c r="J149" t="s">
        <v>114</v>
      </c>
      <c r="K149" s="73">
        <v>45288.741666666669</v>
      </c>
    </row>
    <row r="150" spans="1:11" x14ac:dyDescent="0.25">
      <c r="A150">
        <v>364</v>
      </c>
      <c r="B150" t="s">
        <v>559</v>
      </c>
      <c r="C150" t="s">
        <v>118</v>
      </c>
      <c r="D150">
        <v>267</v>
      </c>
      <c r="E150">
        <v>1267</v>
      </c>
      <c r="F150" t="s">
        <v>560</v>
      </c>
      <c r="G150" t="s">
        <v>561</v>
      </c>
      <c r="H150"/>
      <c r="I150" t="s">
        <v>1449</v>
      </c>
      <c r="J150" t="s">
        <v>114</v>
      </c>
      <c r="K150" s="73">
        <v>45288.741666666669</v>
      </c>
    </row>
    <row r="151" spans="1:11" x14ac:dyDescent="0.25">
      <c r="A151">
        <v>365</v>
      </c>
      <c r="B151" t="s">
        <v>562</v>
      </c>
      <c r="C151" t="s">
        <v>118</v>
      </c>
      <c r="D151">
        <v>409</v>
      </c>
      <c r="E151">
        <v>1409</v>
      </c>
      <c r="F151" t="s">
        <v>563</v>
      </c>
      <c r="G151" t="s">
        <v>564</v>
      </c>
      <c r="H151"/>
      <c r="I151" t="s">
        <v>1449</v>
      </c>
      <c r="J151" t="s">
        <v>114</v>
      </c>
      <c r="K151" s="73">
        <v>45288.741666666669</v>
      </c>
    </row>
    <row r="152" spans="1:11" x14ac:dyDescent="0.25">
      <c r="A152">
        <v>366</v>
      </c>
      <c r="B152" t="s">
        <v>565</v>
      </c>
      <c r="C152" t="s">
        <v>118</v>
      </c>
      <c r="D152">
        <v>95</v>
      </c>
      <c r="E152">
        <v>1095</v>
      </c>
      <c r="F152" t="s">
        <v>566</v>
      </c>
      <c r="G152" t="s">
        <v>567</v>
      </c>
      <c r="H152"/>
      <c r="I152" t="s">
        <v>1450</v>
      </c>
      <c r="J152" t="s">
        <v>114</v>
      </c>
      <c r="K152" s="73">
        <v>45288.741666666669</v>
      </c>
    </row>
    <row r="153" spans="1:11" x14ac:dyDescent="0.25">
      <c r="A153">
        <v>367</v>
      </c>
      <c r="B153" t="s">
        <v>568</v>
      </c>
      <c r="C153" t="s">
        <v>118</v>
      </c>
      <c r="D153">
        <v>341</v>
      </c>
      <c r="E153">
        <v>1341</v>
      </c>
      <c r="F153" t="s">
        <v>569</v>
      </c>
      <c r="G153" t="s">
        <v>570</v>
      </c>
      <c r="H153"/>
      <c r="I153" t="s">
        <v>1450</v>
      </c>
      <c r="J153" t="s">
        <v>114</v>
      </c>
      <c r="K153" s="73">
        <v>45288.741666666669</v>
      </c>
    </row>
    <row r="154" spans="1:11" x14ac:dyDescent="0.25">
      <c r="A154">
        <v>368</v>
      </c>
      <c r="B154" t="s">
        <v>571</v>
      </c>
      <c r="C154" t="s">
        <v>118</v>
      </c>
      <c r="D154">
        <v>11</v>
      </c>
      <c r="E154">
        <v>1011</v>
      </c>
      <c r="F154" t="s">
        <v>572</v>
      </c>
      <c r="G154" t="s">
        <v>573</v>
      </c>
      <c r="H154"/>
      <c r="I154" t="s">
        <v>1450</v>
      </c>
      <c r="J154" t="s">
        <v>114</v>
      </c>
      <c r="K154" s="73">
        <v>45288.741666666669</v>
      </c>
    </row>
    <row r="155" spans="1:11" x14ac:dyDescent="0.25">
      <c r="A155">
        <v>369</v>
      </c>
      <c r="B155" t="s">
        <v>574</v>
      </c>
      <c r="C155" t="s">
        <v>118</v>
      </c>
      <c r="D155">
        <v>27</v>
      </c>
      <c r="E155">
        <v>1027</v>
      </c>
      <c r="F155" t="s">
        <v>575</v>
      </c>
      <c r="G155" t="s">
        <v>576</v>
      </c>
      <c r="H155"/>
      <c r="I155" t="s">
        <v>1450</v>
      </c>
      <c r="J155" t="s">
        <v>114</v>
      </c>
      <c r="K155" s="73">
        <v>45288.741666666669</v>
      </c>
    </row>
    <row r="156" spans="1:11" x14ac:dyDescent="0.25">
      <c r="A156">
        <v>370</v>
      </c>
      <c r="B156" t="s">
        <v>577</v>
      </c>
      <c r="C156" t="s">
        <v>118</v>
      </c>
      <c r="D156">
        <v>33</v>
      </c>
      <c r="E156">
        <v>1033</v>
      </c>
      <c r="F156" t="s">
        <v>578</v>
      </c>
      <c r="G156" t="s">
        <v>579</v>
      </c>
      <c r="H156"/>
      <c r="I156" t="s">
        <v>1449</v>
      </c>
      <c r="J156" t="s">
        <v>114</v>
      </c>
      <c r="K156" s="73">
        <v>45288.741666666669</v>
      </c>
    </row>
    <row r="157" spans="1:11" x14ac:dyDescent="0.25">
      <c r="A157">
        <v>371</v>
      </c>
      <c r="B157" t="s">
        <v>580</v>
      </c>
      <c r="C157" t="s">
        <v>118</v>
      </c>
      <c r="D157">
        <v>31</v>
      </c>
      <c r="E157">
        <v>1031</v>
      </c>
      <c r="F157" t="s">
        <v>581</v>
      </c>
      <c r="G157" t="s">
        <v>582</v>
      </c>
      <c r="H157"/>
      <c r="I157" t="s">
        <v>1450</v>
      </c>
      <c r="J157" t="s">
        <v>114</v>
      </c>
      <c r="K157" s="73">
        <v>45288.741666666669</v>
      </c>
    </row>
    <row r="158" spans="1:11" x14ac:dyDescent="0.25">
      <c r="A158">
        <v>372</v>
      </c>
      <c r="B158" t="s">
        <v>583</v>
      </c>
      <c r="C158" t="s">
        <v>118</v>
      </c>
      <c r="D158">
        <v>405</v>
      </c>
      <c r="E158">
        <v>1405</v>
      </c>
      <c r="F158" t="s">
        <v>584</v>
      </c>
      <c r="G158" t="s">
        <v>585</v>
      </c>
      <c r="H158"/>
      <c r="I158" t="s">
        <v>1449</v>
      </c>
      <c r="J158" t="s">
        <v>114</v>
      </c>
      <c r="K158" s="73">
        <v>45288.741666666669</v>
      </c>
    </row>
    <row r="159" spans="1:11" x14ac:dyDescent="0.25">
      <c r="A159">
        <v>373</v>
      </c>
      <c r="B159" t="s">
        <v>586</v>
      </c>
      <c r="C159" t="s">
        <v>118</v>
      </c>
      <c r="D159">
        <v>215</v>
      </c>
      <c r="E159">
        <v>1215</v>
      </c>
      <c r="F159" t="s">
        <v>587</v>
      </c>
      <c r="G159" t="s">
        <v>588</v>
      </c>
      <c r="H159"/>
      <c r="I159" t="s">
        <v>1450</v>
      </c>
      <c r="J159" t="s">
        <v>114</v>
      </c>
      <c r="K159" s="73">
        <v>45288.741666666669</v>
      </c>
    </row>
    <row r="160" spans="1:11" x14ac:dyDescent="0.25">
      <c r="A160">
        <v>374</v>
      </c>
      <c r="B160" t="s">
        <v>589</v>
      </c>
      <c r="C160" t="s">
        <v>118</v>
      </c>
      <c r="D160">
        <v>216</v>
      </c>
      <c r="E160">
        <v>1216</v>
      </c>
      <c r="F160" t="s">
        <v>590</v>
      </c>
      <c r="G160" t="s">
        <v>591</v>
      </c>
      <c r="H160"/>
      <c r="I160" t="s">
        <v>1450</v>
      </c>
      <c r="J160" t="s">
        <v>114</v>
      </c>
      <c r="K160" s="73">
        <v>45288.741666666669</v>
      </c>
    </row>
    <row r="161" spans="1:11" x14ac:dyDescent="0.25">
      <c r="A161">
        <v>375</v>
      </c>
      <c r="B161" t="s">
        <v>592</v>
      </c>
      <c r="C161" t="s">
        <v>118</v>
      </c>
      <c r="D161">
        <v>214</v>
      </c>
      <c r="E161">
        <v>1214</v>
      </c>
      <c r="F161" t="s">
        <v>593</v>
      </c>
      <c r="G161" t="s">
        <v>594</v>
      </c>
      <c r="H161"/>
      <c r="I161" t="s">
        <v>1450</v>
      </c>
      <c r="J161" t="s">
        <v>114</v>
      </c>
      <c r="K161" s="73">
        <v>45288.741666666669</v>
      </c>
    </row>
    <row r="162" spans="1:11" x14ac:dyDescent="0.25">
      <c r="A162">
        <v>376</v>
      </c>
      <c r="B162" t="s">
        <v>595</v>
      </c>
      <c r="C162" t="s">
        <v>118</v>
      </c>
      <c r="D162">
        <v>311</v>
      </c>
      <c r="E162">
        <v>1311</v>
      </c>
      <c r="F162" t="s">
        <v>596</v>
      </c>
      <c r="G162" t="s">
        <v>597</v>
      </c>
      <c r="H162"/>
      <c r="I162" t="s">
        <v>1450</v>
      </c>
      <c r="J162" t="s">
        <v>114</v>
      </c>
      <c r="K162" s="73">
        <v>45288.741666666669</v>
      </c>
    </row>
    <row r="163" spans="1:11" x14ac:dyDescent="0.25">
      <c r="A163">
        <v>377</v>
      </c>
      <c r="B163" t="s">
        <v>598</v>
      </c>
      <c r="C163" t="s">
        <v>118</v>
      </c>
      <c r="D163">
        <v>314</v>
      </c>
      <c r="E163">
        <v>1314</v>
      </c>
      <c r="F163" t="s">
        <v>599</v>
      </c>
      <c r="G163" t="s">
        <v>600</v>
      </c>
      <c r="H163"/>
      <c r="I163" t="s">
        <v>1450</v>
      </c>
      <c r="J163" t="s">
        <v>114</v>
      </c>
      <c r="K163" s="73">
        <v>45288.741666666669</v>
      </c>
    </row>
    <row r="164" spans="1:11" x14ac:dyDescent="0.25">
      <c r="A164">
        <v>378</v>
      </c>
      <c r="B164" t="s">
        <v>601</v>
      </c>
      <c r="C164" t="s">
        <v>118</v>
      </c>
      <c r="D164">
        <v>319</v>
      </c>
      <c r="E164">
        <v>1319</v>
      </c>
      <c r="F164" t="s">
        <v>602</v>
      </c>
      <c r="G164" t="s">
        <v>603</v>
      </c>
      <c r="H164"/>
      <c r="I164" t="s">
        <v>1450</v>
      </c>
      <c r="J164" t="s">
        <v>114</v>
      </c>
      <c r="K164" s="73">
        <v>45288.741666666669</v>
      </c>
    </row>
    <row r="165" spans="1:11" x14ac:dyDescent="0.25">
      <c r="A165">
        <v>379</v>
      </c>
      <c r="B165" t="s">
        <v>604</v>
      </c>
      <c r="C165" t="s">
        <v>118</v>
      </c>
      <c r="D165">
        <v>358</v>
      </c>
      <c r="E165">
        <v>1358</v>
      </c>
      <c r="F165" t="s">
        <v>605</v>
      </c>
      <c r="G165" t="s">
        <v>606</v>
      </c>
      <c r="H165"/>
      <c r="I165" t="s">
        <v>1450</v>
      </c>
      <c r="J165" t="s">
        <v>114</v>
      </c>
      <c r="K165" s="73">
        <v>45288.741666666669</v>
      </c>
    </row>
    <row r="166" spans="1:11" x14ac:dyDescent="0.25">
      <c r="A166">
        <v>380</v>
      </c>
      <c r="B166" t="s">
        <v>607</v>
      </c>
      <c r="C166" t="s">
        <v>118</v>
      </c>
      <c r="D166">
        <v>111</v>
      </c>
      <c r="E166">
        <v>1111</v>
      </c>
      <c r="F166" t="s">
        <v>608</v>
      </c>
      <c r="G166" t="s">
        <v>609</v>
      </c>
      <c r="H166"/>
      <c r="I166" t="s">
        <v>1450</v>
      </c>
      <c r="J166" t="s">
        <v>114</v>
      </c>
      <c r="K166" s="73">
        <v>45288.741666666669</v>
      </c>
    </row>
    <row r="167" spans="1:11" x14ac:dyDescent="0.25">
      <c r="A167">
        <v>381</v>
      </c>
      <c r="B167" t="s">
        <v>610</v>
      </c>
      <c r="C167" t="s">
        <v>118</v>
      </c>
      <c r="D167">
        <v>403</v>
      </c>
      <c r="E167">
        <v>1403</v>
      </c>
      <c r="F167" t="s">
        <v>611</v>
      </c>
      <c r="G167" t="s">
        <v>612</v>
      </c>
      <c r="H167"/>
      <c r="I167" t="s">
        <v>1449</v>
      </c>
      <c r="J167" t="s">
        <v>114</v>
      </c>
      <c r="K167" s="73">
        <v>45288.741666666669</v>
      </c>
    </row>
    <row r="168" spans="1:11" x14ac:dyDescent="0.25">
      <c r="A168">
        <v>382</v>
      </c>
      <c r="B168" t="s">
        <v>613</v>
      </c>
      <c r="C168" t="s">
        <v>118</v>
      </c>
      <c r="D168">
        <v>392</v>
      </c>
      <c r="E168">
        <v>1392</v>
      </c>
      <c r="F168" t="s">
        <v>614</v>
      </c>
      <c r="G168" t="s">
        <v>615</v>
      </c>
      <c r="H168"/>
      <c r="I168" t="s">
        <v>1450</v>
      </c>
      <c r="J168" t="s">
        <v>114</v>
      </c>
      <c r="K168" s="73">
        <v>45288.741666666669</v>
      </c>
    </row>
    <row r="169" spans="1:11" x14ac:dyDescent="0.25">
      <c r="A169">
        <v>383</v>
      </c>
      <c r="B169" t="s">
        <v>616</v>
      </c>
      <c r="C169" t="s">
        <v>118</v>
      </c>
      <c r="D169">
        <v>345</v>
      </c>
      <c r="E169">
        <v>1345</v>
      </c>
      <c r="F169" t="s">
        <v>617</v>
      </c>
      <c r="G169" t="s">
        <v>618</v>
      </c>
      <c r="H169"/>
      <c r="I169" t="s">
        <v>1450</v>
      </c>
      <c r="J169" t="s">
        <v>114</v>
      </c>
      <c r="K169" s="73">
        <v>45288.741666666669</v>
      </c>
    </row>
    <row r="170" spans="1:11" x14ac:dyDescent="0.25">
      <c r="A170">
        <v>384</v>
      </c>
      <c r="B170" t="s">
        <v>619</v>
      </c>
      <c r="C170" t="s">
        <v>118</v>
      </c>
      <c r="D170">
        <v>309</v>
      </c>
      <c r="E170">
        <v>1309</v>
      </c>
      <c r="F170" t="s">
        <v>620</v>
      </c>
      <c r="G170" t="s">
        <v>621</v>
      </c>
      <c r="H170"/>
      <c r="I170" t="s">
        <v>1450</v>
      </c>
      <c r="J170" t="s">
        <v>114</v>
      </c>
      <c r="K170" s="73">
        <v>45288.741666666669</v>
      </c>
    </row>
    <row r="171" spans="1:11" x14ac:dyDescent="0.25">
      <c r="A171">
        <v>385</v>
      </c>
      <c r="B171" t="s">
        <v>622</v>
      </c>
      <c r="C171" t="s">
        <v>118</v>
      </c>
      <c r="D171">
        <v>235</v>
      </c>
      <c r="E171">
        <v>1235</v>
      </c>
      <c r="F171" t="s">
        <v>623</v>
      </c>
      <c r="G171" t="s">
        <v>624</v>
      </c>
      <c r="H171"/>
      <c r="I171" t="s">
        <v>1450</v>
      </c>
      <c r="J171" t="s">
        <v>114</v>
      </c>
      <c r="K171" s="73">
        <v>45288.741666666669</v>
      </c>
    </row>
    <row r="172" spans="1:11" x14ac:dyDescent="0.25">
      <c r="A172">
        <v>386</v>
      </c>
      <c r="B172" t="s">
        <v>625</v>
      </c>
      <c r="C172" t="s">
        <v>118</v>
      </c>
      <c r="D172">
        <v>236</v>
      </c>
      <c r="E172">
        <v>1236</v>
      </c>
      <c r="F172" t="s">
        <v>626</v>
      </c>
      <c r="G172" t="s">
        <v>627</v>
      </c>
      <c r="H172"/>
      <c r="I172" t="s">
        <v>1450</v>
      </c>
      <c r="J172" t="s">
        <v>114</v>
      </c>
      <c r="K172" s="73">
        <v>45288.741666666669</v>
      </c>
    </row>
    <row r="173" spans="1:11" x14ac:dyDescent="0.25">
      <c r="A173">
        <v>387</v>
      </c>
      <c r="B173" t="s">
        <v>628</v>
      </c>
      <c r="C173" t="s">
        <v>118</v>
      </c>
      <c r="D173">
        <v>343</v>
      </c>
      <c r="E173">
        <v>1343</v>
      </c>
      <c r="F173" t="s">
        <v>629</v>
      </c>
      <c r="G173" t="s">
        <v>630</v>
      </c>
      <c r="H173"/>
      <c r="I173" t="s">
        <v>1450</v>
      </c>
      <c r="J173" t="s">
        <v>114</v>
      </c>
      <c r="K173" s="73">
        <v>45288.741666666669</v>
      </c>
    </row>
    <row r="174" spans="1:11" x14ac:dyDescent="0.25">
      <c r="A174">
        <v>388</v>
      </c>
      <c r="B174" t="s">
        <v>631</v>
      </c>
      <c r="C174" t="s">
        <v>118</v>
      </c>
      <c r="D174">
        <v>304</v>
      </c>
      <c r="E174">
        <v>1304</v>
      </c>
      <c r="F174" t="s">
        <v>632</v>
      </c>
      <c r="G174" t="s">
        <v>633</v>
      </c>
      <c r="H174"/>
      <c r="I174" t="s">
        <v>1450</v>
      </c>
      <c r="J174" t="s">
        <v>114</v>
      </c>
      <c r="K174" s="73">
        <v>45288.741666666669</v>
      </c>
    </row>
    <row r="175" spans="1:11" x14ac:dyDescent="0.25">
      <c r="A175">
        <v>389</v>
      </c>
      <c r="B175" t="s">
        <v>634</v>
      </c>
      <c r="C175" t="s">
        <v>118</v>
      </c>
      <c r="D175">
        <v>378</v>
      </c>
      <c r="E175">
        <v>1378</v>
      </c>
      <c r="F175" t="s">
        <v>635</v>
      </c>
      <c r="G175" t="s">
        <v>636</v>
      </c>
      <c r="H175"/>
      <c r="I175" t="s">
        <v>1450</v>
      </c>
      <c r="J175" t="s">
        <v>114</v>
      </c>
      <c r="K175" s="73">
        <v>45288.741666666669</v>
      </c>
    </row>
    <row r="176" spans="1:11" x14ac:dyDescent="0.25">
      <c r="A176">
        <v>390</v>
      </c>
      <c r="B176" t="s">
        <v>637</v>
      </c>
      <c r="C176" t="s">
        <v>118</v>
      </c>
      <c r="D176">
        <v>385</v>
      </c>
      <c r="E176">
        <v>1385</v>
      </c>
      <c r="F176" t="s">
        <v>638</v>
      </c>
      <c r="G176" t="s">
        <v>639</v>
      </c>
      <c r="H176"/>
      <c r="I176" t="s">
        <v>1450</v>
      </c>
      <c r="J176" t="s">
        <v>114</v>
      </c>
      <c r="K176" s="73">
        <v>45288.741666666669</v>
      </c>
    </row>
    <row r="177" spans="1:11" x14ac:dyDescent="0.25">
      <c r="A177">
        <v>391</v>
      </c>
      <c r="B177" t="s">
        <v>640</v>
      </c>
      <c r="C177" t="s">
        <v>118</v>
      </c>
      <c r="D177">
        <v>223</v>
      </c>
      <c r="E177">
        <v>1223</v>
      </c>
      <c r="F177" t="s">
        <v>641</v>
      </c>
      <c r="G177" t="s">
        <v>642</v>
      </c>
      <c r="H177"/>
      <c r="I177" t="s">
        <v>1450</v>
      </c>
      <c r="J177" t="s">
        <v>114</v>
      </c>
      <c r="K177" s="73">
        <v>45288.741666666669</v>
      </c>
    </row>
    <row r="178" spans="1:11" x14ac:dyDescent="0.25">
      <c r="A178">
        <v>392</v>
      </c>
      <c r="B178" t="s">
        <v>643</v>
      </c>
      <c r="C178" t="s">
        <v>118</v>
      </c>
      <c r="D178">
        <v>224</v>
      </c>
      <c r="E178">
        <v>1224</v>
      </c>
      <c r="F178" t="s">
        <v>644</v>
      </c>
      <c r="G178" t="s">
        <v>645</v>
      </c>
      <c r="H178"/>
      <c r="I178" t="s">
        <v>1450</v>
      </c>
      <c r="J178" t="s">
        <v>114</v>
      </c>
      <c r="K178" s="73">
        <v>45288.741666666669</v>
      </c>
    </row>
    <row r="179" spans="1:11" x14ac:dyDescent="0.25">
      <c r="A179">
        <v>393</v>
      </c>
      <c r="B179" t="s">
        <v>646</v>
      </c>
      <c r="C179" t="s">
        <v>118</v>
      </c>
      <c r="D179">
        <v>228</v>
      </c>
      <c r="E179">
        <v>1228</v>
      </c>
      <c r="F179" t="s">
        <v>647</v>
      </c>
      <c r="G179" t="s">
        <v>648</v>
      </c>
      <c r="H179"/>
      <c r="I179" t="s">
        <v>1450</v>
      </c>
      <c r="J179" t="s">
        <v>114</v>
      </c>
      <c r="K179" s="73">
        <v>45288.741666666669</v>
      </c>
    </row>
    <row r="180" spans="1:11" x14ac:dyDescent="0.25">
      <c r="A180">
        <v>394</v>
      </c>
      <c r="B180" t="s">
        <v>649</v>
      </c>
      <c r="C180" t="s">
        <v>118</v>
      </c>
      <c r="D180">
        <v>357</v>
      </c>
      <c r="E180">
        <v>1357</v>
      </c>
      <c r="F180" t="s">
        <v>650</v>
      </c>
      <c r="G180" t="s">
        <v>651</v>
      </c>
      <c r="H180"/>
      <c r="I180" t="s">
        <v>1450</v>
      </c>
      <c r="J180" t="s">
        <v>114</v>
      </c>
      <c r="K180" s="73">
        <v>45288.741666666669</v>
      </c>
    </row>
    <row r="181" spans="1:11" x14ac:dyDescent="0.25">
      <c r="A181">
        <v>395</v>
      </c>
      <c r="B181" t="s">
        <v>652</v>
      </c>
      <c r="C181" t="s">
        <v>118</v>
      </c>
      <c r="D181">
        <v>229</v>
      </c>
      <c r="E181">
        <v>1229</v>
      </c>
      <c r="F181" t="s">
        <v>653</v>
      </c>
      <c r="G181" t="s">
        <v>654</v>
      </c>
      <c r="H181"/>
      <c r="I181" t="s">
        <v>1450</v>
      </c>
      <c r="J181" t="s">
        <v>114</v>
      </c>
      <c r="K181" s="73">
        <v>45288.741666666669</v>
      </c>
    </row>
    <row r="182" spans="1:11" x14ac:dyDescent="0.25">
      <c r="A182">
        <v>396</v>
      </c>
      <c r="B182" t="s">
        <v>655</v>
      </c>
      <c r="C182" t="s">
        <v>118</v>
      </c>
      <c r="D182">
        <v>231</v>
      </c>
      <c r="E182">
        <v>1231</v>
      </c>
      <c r="F182" t="s">
        <v>656</v>
      </c>
      <c r="G182" t="s">
        <v>657</v>
      </c>
      <c r="H182"/>
      <c r="I182" t="s">
        <v>1450</v>
      </c>
      <c r="J182" t="s">
        <v>114</v>
      </c>
      <c r="K182" s="73">
        <v>45288.741666666669</v>
      </c>
    </row>
    <row r="183" spans="1:11" x14ac:dyDescent="0.25">
      <c r="A183">
        <v>397</v>
      </c>
      <c r="B183" t="s">
        <v>658</v>
      </c>
      <c r="C183" t="s">
        <v>118</v>
      </c>
      <c r="D183">
        <v>222</v>
      </c>
      <c r="E183">
        <v>1222</v>
      </c>
      <c r="F183" t="s">
        <v>659</v>
      </c>
      <c r="G183" t="s">
        <v>660</v>
      </c>
      <c r="H183"/>
      <c r="I183" t="s">
        <v>1450</v>
      </c>
      <c r="J183" t="s">
        <v>114</v>
      </c>
      <c r="K183" s="73">
        <v>45288.741666666669</v>
      </c>
    </row>
    <row r="184" spans="1:11" x14ac:dyDescent="0.25">
      <c r="A184">
        <v>398</v>
      </c>
      <c r="B184" t="s">
        <v>661</v>
      </c>
      <c r="C184" t="s">
        <v>118</v>
      </c>
      <c r="D184">
        <v>336</v>
      </c>
      <c r="E184">
        <v>1336</v>
      </c>
      <c r="F184" t="s">
        <v>662</v>
      </c>
      <c r="G184" t="s">
        <v>663</v>
      </c>
      <c r="H184"/>
      <c r="I184" t="s">
        <v>1450</v>
      </c>
      <c r="J184" t="s">
        <v>114</v>
      </c>
      <c r="K184" s="73">
        <v>45288.741666666669</v>
      </c>
    </row>
    <row r="185" spans="1:11" x14ac:dyDescent="0.25">
      <c r="A185">
        <v>399</v>
      </c>
      <c r="B185" t="s">
        <v>664</v>
      </c>
      <c r="C185" t="s">
        <v>118</v>
      </c>
      <c r="D185">
        <v>388</v>
      </c>
      <c r="E185">
        <v>1388</v>
      </c>
      <c r="F185" t="s">
        <v>665</v>
      </c>
      <c r="G185" t="s">
        <v>666</v>
      </c>
      <c r="H185"/>
      <c r="I185" t="s">
        <v>1450</v>
      </c>
      <c r="J185" t="s">
        <v>114</v>
      </c>
      <c r="K185" s="73">
        <v>45288.741666666669</v>
      </c>
    </row>
    <row r="186" spans="1:11" x14ac:dyDescent="0.25">
      <c r="A186">
        <v>400</v>
      </c>
      <c r="B186" t="s">
        <v>667</v>
      </c>
      <c r="C186" t="s">
        <v>118</v>
      </c>
      <c r="D186">
        <v>356</v>
      </c>
      <c r="E186">
        <v>1356</v>
      </c>
      <c r="F186" t="s">
        <v>668</v>
      </c>
      <c r="G186" t="s">
        <v>669</v>
      </c>
      <c r="H186"/>
      <c r="I186" t="s">
        <v>1450</v>
      </c>
      <c r="J186" t="s">
        <v>114</v>
      </c>
      <c r="K186" s="73">
        <v>45288.741666666669</v>
      </c>
    </row>
    <row r="187" spans="1:11" x14ac:dyDescent="0.25">
      <c r="A187">
        <v>401</v>
      </c>
      <c r="B187" t="s">
        <v>670</v>
      </c>
      <c r="C187" t="s">
        <v>118</v>
      </c>
      <c r="D187">
        <v>312</v>
      </c>
      <c r="E187">
        <v>1312</v>
      </c>
      <c r="F187" t="s">
        <v>671</v>
      </c>
      <c r="G187" t="s">
        <v>672</v>
      </c>
      <c r="H187"/>
      <c r="I187" t="s">
        <v>1450</v>
      </c>
      <c r="J187" t="s">
        <v>114</v>
      </c>
      <c r="K187" s="73">
        <v>45288.741666666669</v>
      </c>
    </row>
    <row r="188" spans="1:11" x14ac:dyDescent="0.25">
      <c r="A188">
        <v>402</v>
      </c>
      <c r="B188" t="s">
        <v>673</v>
      </c>
      <c r="C188" t="s">
        <v>118</v>
      </c>
      <c r="D188">
        <v>381</v>
      </c>
      <c r="E188">
        <v>1381</v>
      </c>
      <c r="F188" t="s">
        <v>674</v>
      </c>
      <c r="G188" t="s">
        <v>675</v>
      </c>
      <c r="H188"/>
      <c r="I188" t="s">
        <v>1450</v>
      </c>
      <c r="J188" t="s">
        <v>114</v>
      </c>
      <c r="K188" s="73">
        <v>45288.741666666669</v>
      </c>
    </row>
    <row r="189" spans="1:11" x14ac:dyDescent="0.25">
      <c r="A189">
        <v>403</v>
      </c>
      <c r="B189" t="s">
        <v>676</v>
      </c>
      <c r="C189" t="s">
        <v>118</v>
      </c>
      <c r="D189">
        <v>232</v>
      </c>
      <c r="E189">
        <v>1232</v>
      </c>
      <c r="F189" t="s">
        <v>677</v>
      </c>
      <c r="G189" t="s">
        <v>678</v>
      </c>
      <c r="H189"/>
      <c r="I189" t="s">
        <v>1450</v>
      </c>
      <c r="J189" t="s">
        <v>114</v>
      </c>
      <c r="K189" s="73">
        <v>45288.741666666669</v>
      </c>
    </row>
    <row r="190" spans="1:11" x14ac:dyDescent="0.25">
      <c r="A190">
        <v>404</v>
      </c>
      <c r="B190" t="s">
        <v>679</v>
      </c>
      <c r="C190" t="s">
        <v>118</v>
      </c>
      <c r="D190">
        <v>255</v>
      </c>
      <c r="E190">
        <v>1255</v>
      </c>
      <c r="F190" t="s">
        <v>680</v>
      </c>
      <c r="G190" t="s">
        <v>681</v>
      </c>
      <c r="H190"/>
      <c r="I190" t="s">
        <v>1450</v>
      </c>
      <c r="J190" t="s">
        <v>114</v>
      </c>
      <c r="K190" s="73">
        <v>45288.741666666669</v>
      </c>
    </row>
    <row r="191" spans="1:11" x14ac:dyDescent="0.25">
      <c r="A191">
        <v>405</v>
      </c>
      <c r="B191" t="s">
        <v>682</v>
      </c>
      <c r="C191" t="s">
        <v>118</v>
      </c>
      <c r="D191">
        <v>288</v>
      </c>
      <c r="E191">
        <v>1288</v>
      </c>
      <c r="F191" t="s">
        <v>683</v>
      </c>
      <c r="G191" t="s">
        <v>684</v>
      </c>
      <c r="H191"/>
      <c r="I191" t="s">
        <v>1450</v>
      </c>
      <c r="J191" t="s">
        <v>114</v>
      </c>
      <c r="K191" s="73">
        <v>45288.741666666669</v>
      </c>
    </row>
    <row r="192" spans="1:11" x14ac:dyDescent="0.25">
      <c r="A192">
        <v>406</v>
      </c>
      <c r="B192" t="s">
        <v>685</v>
      </c>
      <c r="C192" t="s">
        <v>118</v>
      </c>
      <c r="D192">
        <v>386</v>
      </c>
      <c r="E192">
        <v>1386</v>
      </c>
      <c r="F192" t="s">
        <v>686</v>
      </c>
      <c r="G192" t="s">
        <v>687</v>
      </c>
      <c r="H192"/>
      <c r="I192" t="s">
        <v>1450</v>
      </c>
      <c r="J192" t="s">
        <v>114</v>
      </c>
      <c r="K192" s="73">
        <v>45288.741666666669</v>
      </c>
    </row>
    <row r="193" spans="1:11" x14ac:dyDescent="0.25">
      <c r="A193">
        <v>407</v>
      </c>
      <c r="B193" t="s">
        <v>688</v>
      </c>
      <c r="C193" t="s">
        <v>118</v>
      </c>
      <c r="D193">
        <v>324</v>
      </c>
      <c r="E193">
        <v>1324</v>
      </c>
      <c r="F193" t="s">
        <v>689</v>
      </c>
      <c r="G193" t="s">
        <v>690</v>
      </c>
      <c r="H193"/>
      <c r="I193" t="s">
        <v>1450</v>
      </c>
      <c r="J193" t="s">
        <v>114</v>
      </c>
      <c r="K193" s="73">
        <v>45288.741666666669</v>
      </c>
    </row>
    <row r="194" spans="1:11" x14ac:dyDescent="0.25">
      <c r="A194">
        <v>408</v>
      </c>
      <c r="B194" t="s">
        <v>691</v>
      </c>
      <c r="C194" t="s">
        <v>118</v>
      </c>
      <c r="D194">
        <v>313</v>
      </c>
      <c r="E194">
        <v>1313</v>
      </c>
      <c r="F194" t="s">
        <v>692</v>
      </c>
      <c r="G194" t="s">
        <v>693</v>
      </c>
      <c r="H194"/>
      <c r="I194" t="s">
        <v>1450</v>
      </c>
      <c r="J194" t="s">
        <v>114</v>
      </c>
      <c r="K194" s="73">
        <v>45288.741666666669</v>
      </c>
    </row>
    <row r="195" spans="1:11" x14ac:dyDescent="0.25">
      <c r="A195">
        <v>409</v>
      </c>
      <c r="B195" t="s">
        <v>694</v>
      </c>
      <c r="C195" t="s">
        <v>118</v>
      </c>
      <c r="D195">
        <v>377</v>
      </c>
      <c r="E195">
        <v>1377</v>
      </c>
      <c r="F195" t="s">
        <v>695</v>
      </c>
      <c r="G195" t="s">
        <v>696</v>
      </c>
      <c r="H195"/>
      <c r="I195" t="s">
        <v>1450</v>
      </c>
      <c r="J195" t="s">
        <v>114</v>
      </c>
      <c r="K195" s="73">
        <v>45288.741666666669</v>
      </c>
    </row>
    <row r="196" spans="1:11" x14ac:dyDescent="0.25">
      <c r="A196">
        <v>410</v>
      </c>
      <c r="B196" t="s">
        <v>697</v>
      </c>
      <c r="C196" t="s">
        <v>118</v>
      </c>
      <c r="D196">
        <v>368</v>
      </c>
      <c r="E196">
        <v>1368</v>
      </c>
      <c r="F196" t="s">
        <v>698</v>
      </c>
      <c r="G196" t="s">
        <v>699</v>
      </c>
      <c r="H196"/>
      <c r="I196" t="s">
        <v>1450</v>
      </c>
      <c r="J196" t="s">
        <v>114</v>
      </c>
      <c r="K196" s="73">
        <v>45288.741666666669</v>
      </c>
    </row>
    <row r="197" spans="1:11" x14ac:dyDescent="0.25">
      <c r="A197">
        <v>411</v>
      </c>
      <c r="B197" t="s">
        <v>700</v>
      </c>
      <c r="C197" t="s">
        <v>118</v>
      </c>
      <c r="D197">
        <v>367</v>
      </c>
      <c r="E197">
        <v>1367</v>
      </c>
      <c r="F197" t="s">
        <v>701</v>
      </c>
      <c r="G197" t="s">
        <v>702</v>
      </c>
      <c r="H197"/>
      <c r="I197" t="s">
        <v>1450</v>
      </c>
      <c r="J197" t="s">
        <v>114</v>
      </c>
      <c r="K197" s="73">
        <v>45288.741666666669</v>
      </c>
    </row>
    <row r="198" spans="1:11" x14ac:dyDescent="0.25">
      <c r="A198">
        <v>412</v>
      </c>
      <c r="B198" t="s">
        <v>703</v>
      </c>
      <c r="C198" t="s">
        <v>118</v>
      </c>
      <c r="D198">
        <v>213</v>
      </c>
      <c r="E198">
        <v>1213</v>
      </c>
      <c r="F198" t="s">
        <v>704</v>
      </c>
      <c r="G198" t="s">
        <v>705</v>
      </c>
      <c r="H198"/>
      <c r="I198" t="s">
        <v>1450</v>
      </c>
      <c r="J198" t="s">
        <v>114</v>
      </c>
      <c r="K198" s="73">
        <v>45288.741666666669</v>
      </c>
    </row>
    <row r="199" spans="1:11" x14ac:dyDescent="0.25">
      <c r="A199">
        <v>413</v>
      </c>
      <c r="B199" t="s">
        <v>706</v>
      </c>
      <c r="C199" t="s">
        <v>118</v>
      </c>
      <c r="D199">
        <v>220</v>
      </c>
      <c r="E199">
        <v>1220</v>
      </c>
      <c r="F199" t="s">
        <v>707</v>
      </c>
      <c r="G199" t="s">
        <v>708</v>
      </c>
      <c r="H199"/>
      <c r="I199" t="s">
        <v>1450</v>
      </c>
      <c r="J199" t="s">
        <v>114</v>
      </c>
      <c r="K199" s="73">
        <v>45288.741666666669</v>
      </c>
    </row>
    <row r="200" spans="1:11" x14ac:dyDescent="0.25">
      <c r="A200">
        <v>414</v>
      </c>
      <c r="B200" t="s">
        <v>709</v>
      </c>
      <c r="C200" t="s">
        <v>118</v>
      </c>
      <c r="D200">
        <v>221</v>
      </c>
      <c r="E200">
        <v>1221</v>
      </c>
      <c r="F200" t="s">
        <v>710</v>
      </c>
      <c r="G200" t="s">
        <v>711</v>
      </c>
      <c r="H200"/>
      <c r="I200" t="s">
        <v>1450</v>
      </c>
      <c r="J200" t="s">
        <v>114</v>
      </c>
      <c r="K200" s="73">
        <v>45288.741666666669</v>
      </c>
    </row>
    <row r="201" spans="1:11" x14ac:dyDescent="0.25">
      <c r="A201">
        <v>415</v>
      </c>
      <c r="B201" t="s">
        <v>712</v>
      </c>
      <c r="C201" t="s">
        <v>118</v>
      </c>
      <c r="D201">
        <v>237</v>
      </c>
      <c r="E201">
        <v>1237</v>
      </c>
      <c r="F201" t="s">
        <v>713</v>
      </c>
      <c r="G201" t="s">
        <v>714</v>
      </c>
      <c r="H201"/>
      <c r="I201" t="s">
        <v>1450</v>
      </c>
      <c r="J201" t="s">
        <v>114</v>
      </c>
      <c r="K201" s="73">
        <v>45288.741666666669</v>
      </c>
    </row>
    <row r="202" spans="1:11" x14ac:dyDescent="0.25">
      <c r="A202">
        <v>416</v>
      </c>
      <c r="B202" t="s">
        <v>715</v>
      </c>
      <c r="C202" t="s">
        <v>118</v>
      </c>
      <c r="D202">
        <v>234</v>
      </c>
      <c r="E202">
        <v>1234</v>
      </c>
      <c r="F202" t="s">
        <v>716</v>
      </c>
      <c r="G202" t="s">
        <v>717</v>
      </c>
      <c r="H202"/>
      <c r="I202" t="s">
        <v>1450</v>
      </c>
      <c r="J202" t="s">
        <v>114</v>
      </c>
      <c r="K202" s="73">
        <v>45288.741666666669</v>
      </c>
    </row>
    <row r="203" spans="1:11" x14ac:dyDescent="0.25">
      <c r="A203">
        <v>417</v>
      </c>
      <c r="B203" t="s">
        <v>718</v>
      </c>
      <c r="C203" t="s">
        <v>118</v>
      </c>
      <c r="D203">
        <v>212</v>
      </c>
      <c r="E203">
        <v>1212</v>
      </c>
      <c r="F203" t="s">
        <v>719</v>
      </c>
      <c r="G203" t="s">
        <v>720</v>
      </c>
      <c r="H203"/>
      <c r="I203" t="s">
        <v>1450</v>
      </c>
      <c r="J203" t="s">
        <v>114</v>
      </c>
      <c r="K203" s="73">
        <v>45288.741666666669</v>
      </c>
    </row>
    <row r="204" spans="1:11" x14ac:dyDescent="0.25">
      <c r="A204">
        <v>418</v>
      </c>
      <c r="B204" t="s">
        <v>721</v>
      </c>
      <c r="C204" t="s">
        <v>118</v>
      </c>
      <c r="D204">
        <v>227</v>
      </c>
      <c r="E204">
        <v>1227</v>
      </c>
      <c r="F204" t="s">
        <v>722</v>
      </c>
      <c r="G204" t="s">
        <v>723</v>
      </c>
      <c r="H204"/>
      <c r="I204" t="s">
        <v>1450</v>
      </c>
      <c r="J204" t="s">
        <v>114</v>
      </c>
      <c r="K204" s="73">
        <v>45288.741666666669</v>
      </c>
    </row>
    <row r="205" spans="1:11" x14ac:dyDescent="0.25">
      <c r="A205">
        <v>419</v>
      </c>
      <c r="B205" t="s">
        <v>724</v>
      </c>
      <c r="C205" t="s">
        <v>118</v>
      </c>
      <c r="D205">
        <v>230</v>
      </c>
      <c r="E205">
        <v>1230</v>
      </c>
      <c r="F205" t="s">
        <v>725</v>
      </c>
      <c r="G205" t="s">
        <v>726</v>
      </c>
      <c r="H205"/>
      <c r="I205" t="s">
        <v>1450</v>
      </c>
      <c r="J205" t="s">
        <v>114</v>
      </c>
      <c r="K205" s="73">
        <v>45288.741666666669</v>
      </c>
    </row>
    <row r="206" spans="1:11" x14ac:dyDescent="0.25">
      <c r="A206">
        <v>420</v>
      </c>
      <c r="B206" t="s">
        <v>727</v>
      </c>
      <c r="C206" t="s">
        <v>118</v>
      </c>
      <c r="D206">
        <v>383</v>
      </c>
      <c r="E206">
        <v>1383</v>
      </c>
      <c r="F206" t="s">
        <v>728</v>
      </c>
      <c r="G206" t="s">
        <v>729</v>
      </c>
      <c r="H206"/>
      <c r="I206" t="s">
        <v>1450</v>
      </c>
      <c r="J206" t="s">
        <v>114</v>
      </c>
      <c r="K206" s="73">
        <v>45288.741666666669</v>
      </c>
    </row>
    <row r="207" spans="1:11" x14ac:dyDescent="0.25">
      <c r="A207">
        <v>421</v>
      </c>
      <c r="B207" t="s">
        <v>730</v>
      </c>
      <c r="C207" t="s">
        <v>118</v>
      </c>
      <c r="D207">
        <v>382</v>
      </c>
      <c r="E207">
        <v>1382</v>
      </c>
      <c r="F207" t="s">
        <v>731</v>
      </c>
      <c r="G207" t="s">
        <v>732</v>
      </c>
      <c r="H207"/>
      <c r="I207" t="s">
        <v>1450</v>
      </c>
      <c r="J207" t="s">
        <v>114</v>
      </c>
      <c r="K207" s="73">
        <v>45288.741666666669</v>
      </c>
    </row>
    <row r="208" spans="1:11" x14ac:dyDescent="0.25">
      <c r="A208">
        <v>422</v>
      </c>
      <c r="B208" t="s">
        <v>601</v>
      </c>
      <c r="C208" t="s">
        <v>118</v>
      </c>
      <c r="D208">
        <v>334</v>
      </c>
      <c r="E208">
        <v>1334</v>
      </c>
      <c r="F208" t="s">
        <v>602</v>
      </c>
      <c r="G208" t="s">
        <v>603</v>
      </c>
      <c r="H208"/>
      <c r="I208" t="s">
        <v>1450</v>
      </c>
      <c r="J208" t="s">
        <v>114</v>
      </c>
      <c r="K208" s="73">
        <v>45288.741666666669</v>
      </c>
    </row>
    <row r="209" spans="1:11" x14ac:dyDescent="0.25">
      <c r="A209">
        <v>423</v>
      </c>
      <c r="B209" t="s">
        <v>733</v>
      </c>
      <c r="C209" t="s">
        <v>118</v>
      </c>
      <c r="D209">
        <v>446</v>
      </c>
      <c r="E209">
        <v>1446</v>
      </c>
      <c r="F209" t="s">
        <v>734</v>
      </c>
      <c r="G209" t="s">
        <v>735</v>
      </c>
      <c r="H209"/>
      <c r="I209" t="s">
        <v>1450</v>
      </c>
      <c r="J209" t="s">
        <v>114</v>
      </c>
      <c r="K209" s="73">
        <v>45288.741666666669</v>
      </c>
    </row>
    <row r="210" spans="1:11" x14ac:dyDescent="0.25">
      <c r="A210">
        <v>424</v>
      </c>
      <c r="B210" t="s">
        <v>736</v>
      </c>
      <c r="C210" t="s">
        <v>118</v>
      </c>
      <c r="D210">
        <v>406</v>
      </c>
      <c r="E210">
        <v>1406</v>
      </c>
      <c r="F210" t="s">
        <v>737</v>
      </c>
      <c r="G210" t="s">
        <v>738</v>
      </c>
      <c r="H210"/>
      <c r="I210" t="s">
        <v>1449</v>
      </c>
      <c r="J210" t="s">
        <v>114</v>
      </c>
      <c r="K210" s="73">
        <v>45288.741666666669</v>
      </c>
    </row>
    <row r="211" spans="1:11" x14ac:dyDescent="0.25">
      <c r="A211">
        <v>425</v>
      </c>
      <c r="B211" t="s">
        <v>739</v>
      </c>
      <c r="C211" t="s">
        <v>118</v>
      </c>
      <c r="D211">
        <v>384</v>
      </c>
      <c r="E211">
        <v>1384</v>
      </c>
      <c r="F211" t="s">
        <v>740</v>
      </c>
      <c r="G211" t="s">
        <v>741</v>
      </c>
      <c r="H211"/>
      <c r="I211" t="s">
        <v>1450</v>
      </c>
      <c r="J211" t="s">
        <v>114</v>
      </c>
      <c r="K211" s="73">
        <v>45288.741666666669</v>
      </c>
    </row>
    <row r="212" spans="1:11" x14ac:dyDescent="0.25">
      <c r="A212">
        <v>426</v>
      </c>
      <c r="B212" t="s">
        <v>742</v>
      </c>
      <c r="C212" t="s">
        <v>118</v>
      </c>
      <c r="D212">
        <v>226</v>
      </c>
      <c r="E212">
        <v>1226</v>
      </c>
      <c r="F212" t="s">
        <v>743</v>
      </c>
      <c r="G212" t="s">
        <v>744</v>
      </c>
      <c r="H212"/>
      <c r="I212" t="s">
        <v>1450</v>
      </c>
      <c r="J212" t="s">
        <v>114</v>
      </c>
      <c r="K212" s="73">
        <v>45288.741666666669</v>
      </c>
    </row>
    <row r="213" spans="1:11" x14ac:dyDescent="0.25">
      <c r="A213">
        <v>427</v>
      </c>
      <c r="B213" t="s">
        <v>619</v>
      </c>
      <c r="C213" t="s">
        <v>118</v>
      </c>
      <c r="D213">
        <v>225</v>
      </c>
      <c r="E213">
        <v>1225</v>
      </c>
      <c r="F213" t="s">
        <v>620</v>
      </c>
      <c r="G213" t="s">
        <v>621</v>
      </c>
      <c r="H213"/>
      <c r="I213" t="s">
        <v>1450</v>
      </c>
      <c r="J213" t="s">
        <v>114</v>
      </c>
      <c r="K213" s="73">
        <v>45288.741666666669</v>
      </c>
    </row>
    <row r="214" spans="1:11" x14ac:dyDescent="0.25">
      <c r="A214">
        <v>428</v>
      </c>
      <c r="B214" t="s">
        <v>745</v>
      </c>
      <c r="C214" t="s">
        <v>118</v>
      </c>
      <c r="D214">
        <v>141</v>
      </c>
      <c r="E214">
        <v>1141</v>
      </c>
      <c r="F214" t="s">
        <v>746</v>
      </c>
      <c r="G214" t="s">
        <v>747</v>
      </c>
      <c r="H214"/>
      <c r="I214" t="s">
        <v>1450</v>
      </c>
      <c r="J214" t="s">
        <v>114</v>
      </c>
      <c r="K214" s="73">
        <v>45288.741666666669</v>
      </c>
    </row>
    <row r="215" spans="1:11" x14ac:dyDescent="0.25">
      <c r="A215">
        <v>429</v>
      </c>
      <c r="B215" t="s">
        <v>748</v>
      </c>
      <c r="C215" t="s">
        <v>118</v>
      </c>
      <c r="D215">
        <v>193</v>
      </c>
      <c r="E215">
        <v>1193</v>
      </c>
      <c r="F215" t="s">
        <v>749</v>
      </c>
      <c r="G215" t="s">
        <v>750</v>
      </c>
      <c r="H215"/>
      <c r="I215" t="s">
        <v>1450</v>
      </c>
      <c r="J215" t="s">
        <v>114</v>
      </c>
      <c r="K215" s="73">
        <v>45288.741666666669</v>
      </c>
    </row>
    <row r="216" spans="1:11" x14ac:dyDescent="0.25">
      <c r="A216">
        <v>430</v>
      </c>
      <c r="B216" t="s">
        <v>751</v>
      </c>
      <c r="C216" t="s">
        <v>118</v>
      </c>
      <c r="D216">
        <v>96</v>
      </c>
      <c r="E216">
        <v>1096</v>
      </c>
      <c r="F216" t="s">
        <v>752</v>
      </c>
      <c r="G216" t="s">
        <v>753</v>
      </c>
      <c r="H216"/>
      <c r="I216" t="s">
        <v>1450</v>
      </c>
      <c r="J216" t="s">
        <v>114</v>
      </c>
      <c r="K216" s="73">
        <v>45288.741666666669</v>
      </c>
    </row>
    <row r="217" spans="1:11" x14ac:dyDescent="0.25">
      <c r="A217">
        <v>431</v>
      </c>
      <c r="B217" t="s">
        <v>754</v>
      </c>
      <c r="C217" t="s">
        <v>118</v>
      </c>
      <c r="D217">
        <v>102</v>
      </c>
      <c r="E217">
        <v>1102</v>
      </c>
      <c r="F217" t="s">
        <v>755</v>
      </c>
      <c r="G217" t="s">
        <v>756</v>
      </c>
      <c r="H217"/>
      <c r="I217" t="s">
        <v>1450</v>
      </c>
      <c r="J217" t="s">
        <v>114</v>
      </c>
      <c r="K217" s="73">
        <v>45288.741666666669</v>
      </c>
    </row>
    <row r="218" spans="1:11" x14ac:dyDescent="0.25">
      <c r="A218">
        <v>432</v>
      </c>
      <c r="B218" t="s">
        <v>757</v>
      </c>
      <c r="C218" t="s">
        <v>118</v>
      </c>
      <c r="D218">
        <v>217</v>
      </c>
      <c r="E218">
        <v>1217</v>
      </c>
      <c r="F218" t="s">
        <v>758</v>
      </c>
      <c r="G218" t="s">
        <v>759</v>
      </c>
      <c r="H218"/>
      <c r="I218" t="s">
        <v>1450</v>
      </c>
      <c r="J218" t="s">
        <v>114</v>
      </c>
      <c r="K218" s="73">
        <v>45288.741666666669</v>
      </c>
    </row>
    <row r="219" spans="1:11" x14ac:dyDescent="0.25">
      <c r="A219">
        <v>433</v>
      </c>
      <c r="B219" t="s">
        <v>760</v>
      </c>
      <c r="C219" t="s">
        <v>118</v>
      </c>
      <c r="D219">
        <v>91</v>
      </c>
      <c r="E219">
        <v>1091</v>
      </c>
      <c r="F219" t="s">
        <v>761</v>
      </c>
      <c r="G219" t="s">
        <v>762</v>
      </c>
      <c r="H219"/>
      <c r="I219" t="s">
        <v>1450</v>
      </c>
      <c r="J219" t="s">
        <v>114</v>
      </c>
      <c r="K219" s="73">
        <v>45288.741666666669</v>
      </c>
    </row>
    <row r="220" spans="1:11" x14ac:dyDescent="0.25">
      <c r="A220">
        <v>434</v>
      </c>
      <c r="B220" t="s">
        <v>763</v>
      </c>
      <c r="C220" t="s">
        <v>118</v>
      </c>
      <c r="D220">
        <v>347</v>
      </c>
      <c r="E220">
        <v>1347</v>
      </c>
      <c r="F220" t="s">
        <v>764</v>
      </c>
      <c r="G220" t="s">
        <v>765</v>
      </c>
      <c r="H220"/>
      <c r="I220" t="s">
        <v>1450</v>
      </c>
      <c r="J220" t="s">
        <v>114</v>
      </c>
      <c r="K220" s="73">
        <v>45288.741666666669</v>
      </c>
    </row>
    <row r="221" spans="1:11" x14ac:dyDescent="0.25">
      <c r="A221">
        <v>435</v>
      </c>
      <c r="B221" t="s">
        <v>766</v>
      </c>
      <c r="C221" t="s">
        <v>118</v>
      </c>
      <c r="D221">
        <v>120</v>
      </c>
      <c r="E221">
        <v>1120</v>
      </c>
      <c r="F221" t="s">
        <v>767</v>
      </c>
      <c r="G221" t="s">
        <v>768</v>
      </c>
      <c r="H221"/>
      <c r="I221" t="s">
        <v>1450</v>
      </c>
      <c r="J221" t="s">
        <v>114</v>
      </c>
      <c r="K221" s="73">
        <v>45288.741666666669</v>
      </c>
    </row>
    <row r="222" spans="1:11" x14ac:dyDescent="0.25">
      <c r="A222">
        <v>436</v>
      </c>
      <c r="B222" t="s">
        <v>769</v>
      </c>
      <c r="C222" t="s">
        <v>118</v>
      </c>
      <c r="D222">
        <v>28</v>
      </c>
      <c r="E222">
        <v>1028</v>
      </c>
      <c r="F222" t="s">
        <v>770</v>
      </c>
      <c r="G222" t="s">
        <v>771</v>
      </c>
      <c r="H222"/>
      <c r="I222" t="s">
        <v>1450</v>
      </c>
      <c r="J222" t="s">
        <v>114</v>
      </c>
      <c r="K222" s="73">
        <v>45288.741666666669</v>
      </c>
    </row>
    <row r="223" spans="1:11" x14ac:dyDescent="0.25">
      <c r="A223">
        <v>437</v>
      </c>
      <c r="B223" t="s">
        <v>772</v>
      </c>
      <c r="C223" t="s">
        <v>118</v>
      </c>
      <c r="D223">
        <v>183</v>
      </c>
      <c r="E223">
        <v>1183</v>
      </c>
      <c r="F223" t="s">
        <v>773</v>
      </c>
      <c r="G223" t="s">
        <v>774</v>
      </c>
      <c r="H223"/>
      <c r="I223" t="s">
        <v>1450</v>
      </c>
      <c r="J223" t="s">
        <v>114</v>
      </c>
      <c r="K223" s="73">
        <v>45288.741666666669</v>
      </c>
    </row>
    <row r="224" spans="1:11" x14ac:dyDescent="0.25">
      <c r="A224">
        <v>438</v>
      </c>
      <c r="B224" t="s">
        <v>775</v>
      </c>
      <c r="C224" t="s">
        <v>118</v>
      </c>
      <c r="D224">
        <v>218</v>
      </c>
      <c r="E224">
        <v>1218</v>
      </c>
      <c r="F224" t="s">
        <v>776</v>
      </c>
      <c r="G224" t="s">
        <v>777</v>
      </c>
      <c r="H224"/>
      <c r="I224" t="s">
        <v>1450</v>
      </c>
      <c r="J224" t="s">
        <v>114</v>
      </c>
      <c r="K224" s="73">
        <v>45288.741666666669</v>
      </c>
    </row>
    <row r="225" spans="1:11" x14ac:dyDescent="0.25">
      <c r="A225">
        <v>439</v>
      </c>
      <c r="B225" t="s">
        <v>778</v>
      </c>
      <c r="C225" t="s">
        <v>118</v>
      </c>
      <c r="D225">
        <v>202</v>
      </c>
      <c r="E225">
        <v>1202</v>
      </c>
      <c r="F225" t="s">
        <v>779</v>
      </c>
      <c r="G225" t="s">
        <v>780</v>
      </c>
      <c r="H225"/>
      <c r="I225" t="s">
        <v>1450</v>
      </c>
      <c r="J225" t="s">
        <v>114</v>
      </c>
      <c r="K225" s="73">
        <v>45288.741666666669</v>
      </c>
    </row>
    <row r="226" spans="1:11" x14ac:dyDescent="0.25">
      <c r="A226">
        <v>440</v>
      </c>
      <c r="B226" t="s">
        <v>781</v>
      </c>
      <c r="C226" t="s">
        <v>118</v>
      </c>
      <c r="D226">
        <v>117</v>
      </c>
      <c r="E226">
        <v>1117</v>
      </c>
      <c r="F226" t="s">
        <v>782</v>
      </c>
      <c r="G226" t="s">
        <v>783</v>
      </c>
      <c r="H226"/>
      <c r="I226" t="s">
        <v>1450</v>
      </c>
      <c r="J226" t="s">
        <v>114</v>
      </c>
      <c r="K226" s="73">
        <v>45288.741666666669</v>
      </c>
    </row>
    <row r="227" spans="1:11" x14ac:dyDescent="0.25">
      <c r="A227">
        <v>441</v>
      </c>
      <c r="B227" t="s">
        <v>784</v>
      </c>
      <c r="C227" t="s">
        <v>118</v>
      </c>
      <c r="D227">
        <v>24</v>
      </c>
      <c r="E227">
        <v>1024</v>
      </c>
      <c r="F227" t="s">
        <v>785</v>
      </c>
      <c r="G227" t="s">
        <v>786</v>
      </c>
      <c r="H227"/>
      <c r="I227" t="s">
        <v>1450</v>
      </c>
      <c r="J227" t="s">
        <v>114</v>
      </c>
      <c r="K227" s="73">
        <v>45288.741666666669</v>
      </c>
    </row>
    <row r="228" spans="1:11" x14ac:dyDescent="0.25">
      <c r="A228">
        <v>442</v>
      </c>
      <c r="B228" t="s">
        <v>787</v>
      </c>
      <c r="C228" t="s">
        <v>118</v>
      </c>
      <c r="D228">
        <v>59</v>
      </c>
      <c r="E228">
        <v>1059</v>
      </c>
      <c r="F228" t="s">
        <v>788</v>
      </c>
      <c r="G228" t="s">
        <v>789</v>
      </c>
      <c r="H228"/>
      <c r="I228" t="s">
        <v>1450</v>
      </c>
      <c r="J228" t="s">
        <v>114</v>
      </c>
      <c r="K228" s="73">
        <v>45288.741666666669</v>
      </c>
    </row>
    <row r="229" spans="1:11" x14ac:dyDescent="0.25">
      <c r="A229">
        <v>443</v>
      </c>
      <c r="B229" t="s">
        <v>790</v>
      </c>
      <c r="C229" t="s">
        <v>118</v>
      </c>
      <c r="D229">
        <v>70</v>
      </c>
      <c r="E229">
        <v>1070</v>
      </c>
      <c r="F229" t="s">
        <v>791</v>
      </c>
      <c r="G229" t="s">
        <v>792</v>
      </c>
      <c r="H229"/>
      <c r="I229" t="s">
        <v>1450</v>
      </c>
      <c r="J229" t="s">
        <v>114</v>
      </c>
      <c r="K229" s="73">
        <v>45288.741666666669</v>
      </c>
    </row>
    <row r="230" spans="1:11" x14ac:dyDescent="0.25">
      <c r="A230">
        <v>444</v>
      </c>
      <c r="B230" t="s">
        <v>793</v>
      </c>
      <c r="C230" t="s">
        <v>118</v>
      </c>
      <c r="D230">
        <v>60</v>
      </c>
      <c r="E230">
        <v>1060</v>
      </c>
      <c r="F230" t="s">
        <v>794</v>
      </c>
      <c r="G230" t="s">
        <v>795</v>
      </c>
      <c r="H230"/>
      <c r="I230" t="s">
        <v>1450</v>
      </c>
      <c r="J230" t="s">
        <v>114</v>
      </c>
      <c r="K230" s="73">
        <v>45288.741666666669</v>
      </c>
    </row>
    <row r="231" spans="1:11" x14ac:dyDescent="0.25">
      <c r="A231">
        <v>445</v>
      </c>
      <c r="B231" t="s">
        <v>796</v>
      </c>
      <c r="C231" t="s">
        <v>118</v>
      </c>
      <c r="D231">
        <v>185</v>
      </c>
      <c r="E231">
        <v>1185</v>
      </c>
      <c r="F231" t="s">
        <v>797</v>
      </c>
      <c r="G231" t="s">
        <v>798</v>
      </c>
      <c r="H231"/>
      <c r="I231" t="s">
        <v>1450</v>
      </c>
      <c r="J231" t="s">
        <v>114</v>
      </c>
      <c r="K231" s="73">
        <v>45288.741666666669</v>
      </c>
    </row>
    <row r="232" spans="1:11" x14ac:dyDescent="0.25">
      <c r="A232">
        <v>446</v>
      </c>
      <c r="B232" t="s">
        <v>799</v>
      </c>
      <c r="C232" t="s">
        <v>118</v>
      </c>
      <c r="D232">
        <v>191</v>
      </c>
      <c r="E232">
        <v>1191</v>
      </c>
      <c r="F232" t="s">
        <v>800</v>
      </c>
      <c r="G232" t="s">
        <v>801</v>
      </c>
      <c r="H232"/>
      <c r="I232" t="s">
        <v>1450</v>
      </c>
      <c r="J232" t="s">
        <v>114</v>
      </c>
      <c r="K232" s="73">
        <v>45288.741666666669</v>
      </c>
    </row>
    <row r="233" spans="1:11" x14ac:dyDescent="0.25">
      <c r="A233">
        <v>447</v>
      </c>
      <c r="B233" t="s">
        <v>802</v>
      </c>
      <c r="C233" t="s">
        <v>118</v>
      </c>
      <c r="D233">
        <v>369</v>
      </c>
      <c r="E233">
        <v>1369</v>
      </c>
      <c r="F233" t="s">
        <v>803</v>
      </c>
      <c r="G233" t="s">
        <v>804</v>
      </c>
      <c r="H233"/>
      <c r="I233" t="s">
        <v>1450</v>
      </c>
      <c r="J233" t="s">
        <v>114</v>
      </c>
      <c r="K233" s="73">
        <v>45288.741666666669</v>
      </c>
    </row>
    <row r="234" spans="1:11" x14ac:dyDescent="0.25">
      <c r="A234">
        <v>448</v>
      </c>
      <c r="B234" t="s">
        <v>805</v>
      </c>
      <c r="C234" t="s">
        <v>118</v>
      </c>
      <c r="D234">
        <v>210</v>
      </c>
      <c r="E234">
        <v>1210</v>
      </c>
      <c r="F234" t="s">
        <v>806</v>
      </c>
      <c r="G234" t="s">
        <v>807</v>
      </c>
      <c r="H234"/>
      <c r="I234" t="s">
        <v>1450</v>
      </c>
      <c r="J234" t="s">
        <v>114</v>
      </c>
      <c r="K234" s="73">
        <v>45288.741666666669</v>
      </c>
    </row>
    <row r="235" spans="1:11" x14ac:dyDescent="0.25">
      <c r="A235">
        <v>449</v>
      </c>
      <c r="B235" t="s">
        <v>808</v>
      </c>
      <c r="C235" t="s">
        <v>118</v>
      </c>
      <c r="D235">
        <v>415</v>
      </c>
      <c r="E235">
        <v>1415</v>
      </c>
      <c r="F235" t="s">
        <v>809</v>
      </c>
      <c r="G235" t="s">
        <v>810</v>
      </c>
      <c r="H235"/>
      <c r="I235" t="s">
        <v>1450</v>
      </c>
      <c r="J235" t="s">
        <v>114</v>
      </c>
      <c r="K235" s="73">
        <v>45288.741666666669</v>
      </c>
    </row>
    <row r="236" spans="1:11" x14ac:dyDescent="0.25">
      <c r="A236">
        <v>450</v>
      </c>
      <c r="B236" t="s">
        <v>811</v>
      </c>
      <c r="C236" t="s">
        <v>118</v>
      </c>
      <c r="D236">
        <v>283</v>
      </c>
      <c r="E236">
        <v>1283</v>
      </c>
      <c r="F236" t="s">
        <v>812</v>
      </c>
      <c r="G236" t="s">
        <v>813</v>
      </c>
      <c r="H236"/>
      <c r="I236" t="s">
        <v>1450</v>
      </c>
      <c r="J236" t="s">
        <v>114</v>
      </c>
      <c r="K236" s="73">
        <v>45288.741666666669</v>
      </c>
    </row>
    <row r="237" spans="1:11" x14ac:dyDescent="0.25">
      <c r="A237">
        <v>451</v>
      </c>
      <c r="B237" t="s">
        <v>814</v>
      </c>
      <c r="C237" t="s">
        <v>118</v>
      </c>
      <c r="D237">
        <v>278</v>
      </c>
      <c r="E237">
        <v>1278</v>
      </c>
      <c r="F237" t="s">
        <v>815</v>
      </c>
      <c r="G237" t="s">
        <v>816</v>
      </c>
      <c r="H237"/>
      <c r="I237" t="s">
        <v>1450</v>
      </c>
      <c r="J237" t="s">
        <v>114</v>
      </c>
      <c r="K237" s="73">
        <v>45288.741666666669</v>
      </c>
    </row>
    <row r="238" spans="1:11" x14ac:dyDescent="0.25">
      <c r="A238">
        <v>452</v>
      </c>
      <c r="B238" t="s">
        <v>817</v>
      </c>
      <c r="C238" t="s">
        <v>118</v>
      </c>
      <c r="D238">
        <v>281</v>
      </c>
      <c r="E238">
        <v>1281</v>
      </c>
      <c r="F238" t="s">
        <v>818</v>
      </c>
      <c r="G238" t="s">
        <v>819</v>
      </c>
      <c r="H238"/>
      <c r="I238" t="s">
        <v>1450</v>
      </c>
      <c r="J238" t="s">
        <v>114</v>
      </c>
      <c r="K238" s="73">
        <v>45288.741666666669</v>
      </c>
    </row>
    <row r="239" spans="1:11" x14ac:dyDescent="0.25">
      <c r="A239">
        <v>453</v>
      </c>
      <c r="B239" t="s">
        <v>820</v>
      </c>
      <c r="C239" t="s">
        <v>118</v>
      </c>
      <c r="D239">
        <v>277</v>
      </c>
      <c r="E239">
        <v>1277</v>
      </c>
      <c r="F239" t="s">
        <v>821</v>
      </c>
      <c r="G239" t="s">
        <v>822</v>
      </c>
      <c r="H239"/>
      <c r="I239" t="s">
        <v>1450</v>
      </c>
      <c r="J239" t="s">
        <v>114</v>
      </c>
      <c r="K239" s="73">
        <v>45288.741666666669</v>
      </c>
    </row>
    <row r="240" spans="1:11" x14ac:dyDescent="0.25">
      <c r="A240">
        <v>454</v>
      </c>
      <c r="B240" t="s">
        <v>823</v>
      </c>
      <c r="C240" t="s">
        <v>118</v>
      </c>
      <c r="D240">
        <v>280</v>
      </c>
      <c r="E240">
        <v>1280</v>
      </c>
      <c r="F240" t="s">
        <v>824</v>
      </c>
      <c r="G240" t="s">
        <v>825</v>
      </c>
      <c r="H240"/>
      <c r="I240" t="s">
        <v>1450</v>
      </c>
      <c r="J240" t="s">
        <v>114</v>
      </c>
      <c r="K240" s="73">
        <v>45288.741666666669</v>
      </c>
    </row>
    <row r="241" spans="1:11" x14ac:dyDescent="0.25">
      <c r="A241">
        <v>455</v>
      </c>
      <c r="B241" t="s">
        <v>826</v>
      </c>
      <c r="C241" t="s">
        <v>118</v>
      </c>
      <c r="D241">
        <v>285</v>
      </c>
      <c r="E241">
        <v>1285</v>
      </c>
      <c r="F241" t="s">
        <v>827</v>
      </c>
      <c r="G241" t="s">
        <v>828</v>
      </c>
      <c r="H241"/>
      <c r="I241" t="s">
        <v>1450</v>
      </c>
      <c r="J241" t="s">
        <v>114</v>
      </c>
      <c r="K241" s="73">
        <v>45288.741666666669</v>
      </c>
    </row>
    <row r="242" spans="1:11" x14ac:dyDescent="0.25">
      <c r="A242">
        <v>456</v>
      </c>
      <c r="B242" t="s">
        <v>829</v>
      </c>
      <c r="C242" t="s">
        <v>118</v>
      </c>
      <c r="D242">
        <v>282</v>
      </c>
      <c r="E242">
        <v>1282</v>
      </c>
      <c r="F242" t="s">
        <v>830</v>
      </c>
      <c r="G242" t="s">
        <v>831</v>
      </c>
      <c r="H242"/>
      <c r="I242" t="s">
        <v>1450</v>
      </c>
      <c r="J242" t="s">
        <v>114</v>
      </c>
      <c r="K242" s="73">
        <v>45288.741666666669</v>
      </c>
    </row>
    <row r="243" spans="1:11" x14ac:dyDescent="0.25">
      <c r="A243">
        <v>457</v>
      </c>
      <c r="B243" t="s">
        <v>832</v>
      </c>
      <c r="C243" t="s">
        <v>118</v>
      </c>
      <c r="D243">
        <v>291</v>
      </c>
      <c r="E243">
        <v>1291</v>
      </c>
      <c r="F243" t="s">
        <v>833</v>
      </c>
      <c r="G243" t="s">
        <v>834</v>
      </c>
      <c r="H243"/>
      <c r="I243" t="s">
        <v>1450</v>
      </c>
      <c r="J243" t="s">
        <v>114</v>
      </c>
      <c r="K243" s="73">
        <v>45288.741666666669</v>
      </c>
    </row>
    <row r="244" spans="1:11" x14ac:dyDescent="0.25">
      <c r="A244">
        <v>458</v>
      </c>
      <c r="B244" t="s">
        <v>835</v>
      </c>
      <c r="C244" t="s">
        <v>118</v>
      </c>
      <c r="D244">
        <v>279</v>
      </c>
      <c r="E244">
        <v>1279</v>
      </c>
      <c r="F244" t="s">
        <v>836</v>
      </c>
      <c r="G244" t="s">
        <v>837</v>
      </c>
      <c r="H244"/>
      <c r="I244" t="s">
        <v>1450</v>
      </c>
      <c r="J244" t="s">
        <v>114</v>
      </c>
      <c r="K244" s="73">
        <v>45288.741666666669</v>
      </c>
    </row>
    <row r="245" spans="1:11" x14ac:dyDescent="0.25">
      <c r="A245">
        <v>459</v>
      </c>
      <c r="B245" t="s">
        <v>838</v>
      </c>
      <c r="C245" t="s">
        <v>118</v>
      </c>
      <c r="D245">
        <v>276</v>
      </c>
      <c r="E245">
        <v>1276</v>
      </c>
      <c r="F245" t="s">
        <v>839</v>
      </c>
      <c r="G245" t="s">
        <v>840</v>
      </c>
      <c r="H245"/>
      <c r="I245" t="s">
        <v>1450</v>
      </c>
      <c r="J245" t="s">
        <v>114</v>
      </c>
      <c r="K245" s="73">
        <v>45288.741666666669</v>
      </c>
    </row>
    <row r="246" spans="1:11" x14ac:dyDescent="0.25">
      <c r="A246">
        <v>460</v>
      </c>
      <c r="B246" t="s">
        <v>841</v>
      </c>
      <c r="C246" t="s">
        <v>118</v>
      </c>
      <c r="D246">
        <v>413</v>
      </c>
      <c r="E246">
        <v>1413</v>
      </c>
      <c r="F246" t="s">
        <v>842</v>
      </c>
      <c r="G246" t="s">
        <v>843</v>
      </c>
      <c r="H246"/>
      <c r="I246" t="s">
        <v>1449</v>
      </c>
      <c r="J246" t="s">
        <v>114</v>
      </c>
      <c r="K246" s="73">
        <v>45288.741666666669</v>
      </c>
    </row>
    <row r="247" spans="1:11" x14ac:dyDescent="0.25">
      <c r="A247">
        <v>461</v>
      </c>
      <c r="B247" t="s">
        <v>844</v>
      </c>
      <c r="C247" t="s">
        <v>118</v>
      </c>
      <c r="D247">
        <v>238</v>
      </c>
      <c r="E247">
        <v>1238</v>
      </c>
      <c r="F247" t="s">
        <v>845</v>
      </c>
      <c r="G247" t="s">
        <v>846</v>
      </c>
      <c r="H247"/>
      <c r="I247" t="s">
        <v>1450</v>
      </c>
      <c r="J247" t="s">
        <v>114</v>
      </c>
      <c r="K247" s="73">
        <v>45288.741666666669</v>
      </c>
    </row>
    <row r="248" spans="1:11" x14ac:dyDescent="0.25">
      <c r="A248">
        <v>462</v>
      </c>
      <c r="B248" t="s">
        <v>847</v>
      </c>
      <c r="C248" t="s">
        <v>118</v>
      </c>
      <c r="D248">
        <v>87</v>
      </c>
      <c r="E248">
        <v>1087</v>
      </c>
      <c r="F248" t="s">
        <v>848</v>
      </c>
      <c r="G248" t="s">
        <v>849</v>
      </c>
      <c r="H248"/>
      <c r="I248" t="s">
        <v>1450</v>
      </c>
      <c r="J248" t="s">
        <v>114</v>
      </c>
      <c r="K248" s="73">
        <v>45288.741666666669</v>
      </c>
    </row>
    <row r="249" spans="1:11" x14ac:dyDescent="0.25">
      <c r="A249">
        <v>463</v>
      </c>
      <c r="B249" t="s">
        <v>850</v>
      </c>
      <c r="C249" t="s">
        <v>118</v>
      </c>
      <c r="D249">
        <v>125</v>
      </c>
      <c r="E249">
        <v>1125</v>
      </c>
      <c r="F249" t="s">
        <v>851</v>
      </c>
      <c r="G249" t="s">
        <v>852</v>
      </c>
      <c r="H249"/>
      <c r="I249" t="s">
        <v>1450</v>
      </c>
      <c r="J249" t="s">
        <v>114</v>
      </c>
      <c r="K249" s="73">
        <v>45288.741666666669</v>
      </c>
    </row>
    <row r="250" spans="1:11" x14ac:dyDescent="0.25">
      <c r="A250">
        <v>464</v>
      </c>
      <c r="B250" t="s">
        <v>853</v>
      </c>
      <c r="C250" t="s">
        <v>118</v>
      </c>
      <c r="D250">
        <v>108</v>
      </c>
      <c r="E250">
        <v>1108</v>
      </c>
      <c r="F250" t="s">
        <v>854</v>
      </c>
      <c r="G250" t="s">
        <v>855</v>
      </c>
      <c r="H250"/>
      <c r="I250" t="s">
        <v>1450</v>
      </c>
      <c r="J250" t="s">
        <v>114</v>
      </c>
      <c r="K250" s="73">
        <v>45288.741666666669</v>
      </c>
    </row>
    <row r="251" spans="1:11" x14ac:dyDescent="0.25">
      <c r="A251">
        <v>465</v>
      </c>
      <c r="B251" t="s">
        <v>856</v>
      </c>
      <c r="C251" t="s">
        <v>118</v>
      </c>
      <c r="D251">
        <v>113</v>
      </c>
      <c r="E251">
        <v>1113</v>
      </c>
      <c r="F251" t="s">
        <v>857</v>
      </c>
      <c r="G251" t="s">
        <v>858</v>
      </c>
      <c r="H251"/>
      <c r="I251" t="s">
        <v>1450</v>
      </c>
      <c r="J251" t="s">
        <v>114</v>
      </c>
      <c r="K251" s="73">
        <v>45288.741666666669</v>
      </c>
    </row>
    <row r="252" spans="1:11" x14ac:dyDescent="0.25">
      <c r="A252">
        <v>466</v>
      </c>
      <c r="B252" t="s">
        <v>859</v>
      </c>
      <c r="C252" t="s">
        <v>118</v>
      </c>
      <c r="D252">
        <v>22</v>
      </c>
      <c r="E252">
        <v>1022</v>
      </c>
      <c r="F252" t="s">
        <v>860</v>
      </c>
      <c r="G252" t="s">
        <v>861</v>
      </c>
      <c r="H252"/>
      <c r="I252" t="s">
        <v>1450</v>
      </c>
      <c r="J252" t="s">
        <v>114</v>
      </c>
      <c r="K252" s="73">
        <v>45288.741666666669</v>
      </c>
    </row>
    <row r="253" spans="1:11" x14ac:dyDescent="0.25">
      <c r="A253">
        <v>467</v>
      </c>
      <c r="B253" t="s">
        <v>862</v>
      </c>
      <c r="C253" t="s">
        <v>118</v>
      </c>
      <c r="D253">
        <v>101</v>
      </c>
      <c r="E253">
        <v>1101</v>
      </c>
      <c r="F253" t="s">
        <v>863</v>
      </c>
      <c r="G253" t="s">
        <v>864</v>
      </c>
      <c r="H253"/>
      <c r="I253" t="s">
        <v>1450</v>
      </c>
      <c r="J253" t="s">
        <v>114</v>
      </c>
      <c r="K253" s="73">
        <v>45288.741666666669</v>
      </c>
    </row>
    <row r="254" spans="1:11" x14ac:dyDescent="0.25">
      <c r="A254">
        <v>468</v>
      </c>
      <c r="B254" t="s">
        <v>865</v>
      </c>
      <c r="C254" t="s">
        <v>118</v>
      </c>
      <c r="D254">
        <v>168</v>
      </c>
      <c r="E254">
        <v>1168</v>
      </c>
      <c r="F254" t="s">
        <v>866</v>
      </c>
      <c r="G254" t="s">
        <v>867</v>
      </c>
      <c r="H254"/>
      <c r="I254" t="s">
        <v>1450</v>
      </c>
      <c r="J254" t="s">
        <v>114</v>
      </c>
      <c r="K254" s="73">
        <v>45288.741666666669</v>
      </c>
    </row>
    <row r="255" spans="1:11" x14ac:dyDescent="0.25">
      <c r="A255">
        <v>469</v>
      </c>
      <c r="B255" t="s">
        <v>868</v>
      </c>
      <c r="C255" t="s">
        <v>118</v>
      </c>
      <c r="D255">
        <v>167</v>
      </c>
      <c r="E255">
        <v>1167</v>
      </c>
      <c r="F255" t="s">
        <v>869</v>
      </c>
      <c r="G255" t="s">
        <v>870</v>
      </c>
      <c r="H255"/>
      <c r="I255" t="s">
        <v>1450</v>
      </c>
      <c r="J255" t="s">
        <v>114</v>
      </c>
      <c r="K255" s="73">
        <v>45288.741666666669</v>
      </c>
    </row>
    <row r="256" spans="1:11" x14ac:dyDescent="0.25">
      <c r="A256">
        <v>470</v>
      </c>
      <c r="B256" t="s">
        <v>871</v>
      </c>
      <c r="C256" t="s">
        <v>118</v>
      </c>
      <c r="D256">
        <v>121</v>
      </c>
      <c r="E256">
        <v>1121</v>
      </c>
      <c r="F256" t="s">
        <v>872</v>
      </c>
      <c r="G256" t="s">
        <v>873</v>
      </c>
      <c r="H256"/>
      <c r="I256" t="s">
        <v>1450</v>
      </c>
      <c r="J256" t="s">
        <v>114</v>
      </c>
      <c r="K256" s="73">
        <v>45288.741666666669</v>
      </c>
    </row>
    <row r="257" spans="1:11" x14ac:dyDescent="0.25">
      <c r="A257">
        <v>471</v>
      </c>
      <c r="B257" t="s">
        <v>874</v>
      </c>
      <c r="C257" t="s">
        <v>118</v>
      </c>
      <c r="D257">
        <v>122</v>
      </c>
      <c r="E257">
        <v>1122</v>
      </c>
      <c r="F257" t="s">
        <v>875</v>
      </c>
      <c r="G257" t="s">
        <v>876</v>
      </c>
      <c r="H257"/>
      <c r="I257" t="s">
        <v>1450</v>
      </c>
      <c r="J257" t="s">
        <v>114</v>
      </c>
      <c r="K257" s="73">
        <v>45288.741666666669</v>
      </c>
    </row>
    <row r="258" spans="1:11" x14ac:dyDescent="0.25">
      <c r="A258">
        <v>472</v>
      </c>
      <c r="B258" t="s">
        <v>877</v>
      </c>
      <c r="C258" t="s">
        <v>118</v>
      </c>
      <c r="D258">
        <v>444</v>
      </c>
      <c r="E258">
        <v>1444</v>
      </c>
      <c r="F258" t="s">
        <v>878</v>
      </c>
      <c r="G258" t="s">
        <v>879</v>
      </c>
      <c r="H258"/>
      <c r="I258" t="s">
        <v>1450</v>
      </c>
      <c r="J258" t="s">
        <v>114</v>
      </c>
      <c r="K258" s="73">
        <v>45288.741666666669</v>
      </c>
    </row>
    <row r="259" spans="1:11" x14ac:dyDescent="0.25">
      <c r="A259">
        <v>473</v>
      </c>
      <c r="B259" t="s">
        <v>880</v>
      </c>
      <c r="C259" t="s">
        <v>118</v>
      </c>
      <c r="D259">
        <v>411</v>
      </c>
      <c r="E259">
        <v>1411</v>
      </c>
      <c r="F259" t="s">
        <v>881</v>
      </c>
      <c r="G259" t="s">
        <v>882</v>
      </c>
      <c r="H259"/>
      <c r="I259" t="s">
        <v>1449</v>
      </c>
      <c r="J259" t="s">
        <v>114</v>
      </c>
      <c r="K259" s="73">
        <v>45288.741666666669</v>
      </c>
    </row>
    <row r="260" spans="1:11" x14ac:dyDescent="0.25">
      <c r="A260">
        <v>474</v>
      </c>
      <c r="B260" t="s">
        <v>883</v>
      </c>
      <c r="C260" t="s">
        <v>118</v>
      </c>
      <c r="D260">
        <v>53</v>
      </c>
      <c r="E260">
        <v>1053</v>
      </c>
      <c r="F260" t="s">
        <v>884</v>
      </c>
      <c r="G260" t="s">
        <v>885</v>
      </c>
      <c r="H260"/>
      <c r="I260" t="s">
        <v>1450</v>
      </c>
      <c r="J260" t="s">
        <v>114</v>
      </c>
      <c r="K260" s="73">
        <v>45288.741666666669</v>
      </c>
    </row>
    <row r="261" spans="1:11" x14ac:dyDescent="0.25">
      <c r="A261">
        <v>475</v>
      </c>
      <c r="B261" t="s">
        <v>886</v>
      </c>
      <c r="C261" t="s">
        <v>118</v>
      </c>
      <c r="D261">
        <v>138</v>
      </c>
      <c r="E261">
        <v>1138</v>
      </c>
      <c r="F261" t="s">
        <v>887</v>
      </c>
      <c r="G261" t="s">
        <v>888</v>
      </c>
      <c r="H261"/>
      <c r="I261" t="s">
        <v>1450</v>
      </c>
      <c r="J261" t="s">
        <v>114</v>
      </c>
      <c r="K261" s="73">
        <v>45288.741666666669</v>
      </c>
    </row>
    <row r="262" spans="1:11" x14ac:dyDescent="0.25">
      <c r="A262">
        <v>476</v>
      </c>
      <c r="B262" t="s">
        <v>889</v>
      </c>
      <c r="C262" t="s">
        <v>118</v>
      </c>
      <c r="D262">
        <v>62</v>
      </c>
      <c r="E262">
        <v>1062</v>
      </c>
      <c r="F262" t="s">
        <v>890</v>
      </c>
      <c r="G262" t="s">
        <v>891</v>
      </c>
      <c r="H262"/>
      <c r="I262" t="s">
        <v>1450</v>
      </c>
      <c r="J262" t="s">
        <v>114</v>
      </c>
      <c r="K262" s="73">
        <v>45288.741666666669</v>
      </c>
    </row>
    <row r="263" spans="1:11" x14ac:dyDescent="0.25">
      <c r="A263">
        <v>477</v>
      </c>
      <c r="B263" t="s">
        <v>892</v>
      </c>
      <c r="C263" t="s">
        <v>118</v>
      </c>
      <c r="D263">
        <v>106</v>
      </c>
      <c r="E263">
        <v>1106</v>
      </c>
      <c r="F263" t="s">
        <v>893</v>
      </c>
      <c r="G263" t="s">
        <v>894</v>
      </c>
      <c r="H263"/>
      <c r="I263" t="s">
        <v>1450</v>
      </c>
      <c r="J263" t="s">
        <v>114</v>
      </c>
      <c r="K263" s="73">
        <v>45288.741666666669</v>
      </c>
    </row>
    <row r="264" spans="1:11" x14ac:dyDescent="0.25">
      <c r="A264">
        <v>478</v>
      </c>
      <c r="B264" t="s">
        <v>895</v>
      </c>
      <c r="C264" t="s">
        <v>118</v>
      </c>
      <c r="D264">
        <v>72</v>
      </c>
      <c r="E264">
        <v>1072</v>
      </c>
      <c r="F264" t="s">
        <v>896</v>
      </c>
      <c r="G264" t="s">
        <v>897</v>
      </c>
      <c r="H264"/>
      <c r="I264" t="s">
        <v>1450</v>
      </c>
      <c r="J264" t="s">
        <v>114</v>
      </c>
      <c r="K264" s="73">
        <v>45288.741666666669</v>
      </c>
    </row>
    <row r="265" spans="1:11" x14ac:dyDescent="0.25">
      <c r="A265">
        <v>479</v>
      </c>
      <c r="B265" t="s">
        <v>898</v>
      </c>
      <c r="C265" t="s">
        <v>118</v>
      </c>
      <c r="D265">
        <v>423</v>
      </c>
      <c r="E265">
        <v>1423</v>
      </c>
      <c r="F265" t="s">
        <v>899</v>
      </c>
      <c r="G265" t="s">
        <v>900</v>
      </c>
      <c r="H265"/>
      <c r="I265" t="s">
        <v>1450</v>
      </c>
      <c r="J265" t="s">
        <v>114</v>
      </c>
      <c r="K265" s="73">
        <v>45288.741666666669</v>
      </c>
    </row>
    <row r="266" spans="1:11" x14ac:dyDescent="0.25">
      <c r="A266">
        <v>480</v>
      </c>
      <c r="B266" t="s">
        <v>901</v>
      </c>
      <c r="C266" t="s">
        <v>118</v>
      </c>
      <c r="D266">
        <v>274</v>
      </c>
      <c r="E266">
        <v>1274</v>
      </c>
      <c r="F266" t="s">
        <v>902</v>
      </c>
      <c r="G266" t="s">
        <v>903</v>
      </c>
      <c r="H266"/>
      <c r="I266" t="s">
        <v>1450</v>
      </c>
      <c r="J266" t="s">
        <v>114</v>
      </c>
      <c r="K266" s="73">
        <v>45288.741666666669</v>
      </c>
    </row>
    <row r="267" spans="1:11" x14ac:dyDescent="0.25">
      <c r="A267">
        <v>481</v>
      </c>
      <c r="B267" t="s">
        <v>904</v>
      </c>
      <c r="C267" t="s">
        <v>118</v>
      </c>
      <c r="D267">
        <v>284</v>
      </c>
      <c r="E267">
        <v>1284</v>
      </c>
      <c r="F267" t="s">
        <v>905</v>
      </c>
      <c r="G267" t="s">
        <v>906</v>
      </c>
      <c r="H267"/>
      <c r="I267" t="s">
        <v>1450</v>
      </c>
      <c r="J267" t="s">
        <v>114</v>
      </c>
      <c r="K267" s="73">
        <v>45288.741666666669</v>
      </c>
    </row>
    <row r="268" spans="1:11" x14ac:dyDescent="0.25">
      <c r="A268">
        <v>482</v>
      </c>
      <c r="B268" t="s">
        <v>907</v>
      </c>
      <c r="C268" t="s">
        <v>118</v>
      </c>
      <c r="D268">
        <v>272</v>
      </c>
      <c r="E268">
        <v>1272</v>
      </c>
      <c r="F268" t="s">
        <v>908</v>
      </c>
      <c r="G268" t="s">
        <v>909</v>
      </c>
      <c r="H268"/>
      <c r="I268" t="s">
        <v>1450</v>
      </c>
      <c r="J268" t="s">
        <v>114</v>
      </c>
      <c r="K268" s="73">
        <v>45288.741666666669</v>
      </c>
    </row>
    <row r="269" spans="1:11" x14ac:dyDescent="0.25">
      <c r="A269">
        <v>483</v>
      </c>
      <c r="B269" t="s">
        <v>910</v>
      </c>
      <c r="C269" t="s">
        <v>118</v>
      </c>
      <c r="D269">
        <v>273</v>
      </c>
      <c r="E269">
        <v>1273</v>
      </c>
      <c r="F269" t="s">
        <v>911</v>
      </c>
      <c r="G269" t="s">
        <v>912</v>
      </c>
      <c r="H269"/>
      <c r="I269" t="s">
        <v>1450</v>
      </c>
      <c r="J269" t="s">
        <v>114</v>
      </c>
      <c r="K269" s="73">
        <v>45288.741666666669</v>
      </c>
    </row>
    <row r="270" spans="1:11" x14ac:dyDescent="0.25">
      <c r="A270">
        <v>484</v>
      </c>
      <c r="B270" t="s">
        <v>913</v>
      </c>
      <c r="C270" t="s">
        <v>118</v>
      </c>
      <c r="D270">
        <v>270</v>
      </c>
      <c r="E270">
        <v>1270</v>
      </c>
      <c r="F270" t="s">
        <v>914</v>
      </c>
      <c r="G270" t="s">
        <v>915</v>
      </c>
      <c r="H270"/>
      <c r="I270" t="s">
        <v>1450</v>
      </c>
      <c r="J270" t="s">
        <v>114</v>
      </c>
      <c r="K270" s="73">
        <v>45288.741666666669</v>
      </c>
    </row>
    <row r="271" spans="1:11" x14ac:dyDescent="0.25">
      <c r="A271">
        <v>485</v>
      </c>
      <c r="B271" t="s">
        <v>916</v>
      </c>
      <c r="C271" t="s">
        <v>118</v>
      </c>
      <c r="D271">
        <v>429</v>
      </c>
      <c r="E271">
        <v>1429</v>
      </c>
      <c r="F271" t="s">
        <v>917</v>
      </c>
      <c r="G271" t="s">
        <v>918</v>
      </c>
      <c r="H271"/>
      <c r="I271" t="s">
        <v>1450</v>
      </c>
      <c r="J271" t="s">
        <v>114</v>
      </c>
      <c r="K271" s="73">
        <v>45288.741666666669</v>
      </c>
    </row>
    <row r="272" spans="1:11" x14ac:dyDescent="0.25">
      <c r="A272">
        <v>486</v>
      </c>
      <c r="B272" t="s">
        <v>919</v>
      </c>
      <c r="C272" t="s">
        <v>118</v>
      </c>
      <c r="D272">
        <v>239</v>
      </c>
      <c r="E272">
        <v>1239</v>
      </c>
      <c r="F272" t="s">
        <v>920</v>
      </c>
      <c r="G272" t="s">
        <v>921</v>
      </c>
      <c r="H272"/>
      <c r="I272" t="s">
        <v>1450</v>
      </c>
      <c r="J272" t="s">
        <v>114</v>
      </c>
      <c r="K272" s="73">
        <v>45288.741666666669</v>
      </c>
    </row>
    <row r="273" spans="1:11" x14ac:dyDescent="0.25">
      <c r="A273">
        <v>487</v>
      </c>
      <c r="B273" t="s">
        <v>922</v>
      </c>
      <c r="C273" t="s">
        <v>118</v>
      </c>
      <c r="D273">
        <v>439</v>
      </c>
      <c r="E273">
        <v>1439</v>
      </c>
      <c r="F273" t="s">
        <v>923</v>
      </c>
      <c r="G273" t="s">
        <v>924</v>
      </c>
      <c r="H273"/>
      <c r="I273" t="s">
        <v>1450</v>
      </c>
      <c r="J273" t="s">
        <v>114</v>
      </c>
      <c r="K273" s="73">
        <v>45288.741666666669</v>
      </c>
    </row>
    <row r="274" spans="1:11" x14ac:dyDescent="0.25">
      <c r="A274">
        <v>488</v>
      </c>
      <c r="B274" t="s">
        <v>925</v>
      </c>
      <c r="C274" t="s">
        <v>118</v>
      </c>
      <c r="D274">
        <v>448</v>
      </c>
      <c r="E274">
        <v>1448</v>
      </c>
      <c r="F274" t="s">
        <v>926</v>
      </c>
      <c r="G274" t="s">
        <v>927</v>
      </c>
      <c r="H274"/>
      <c r="I274" t="s">
        <v>1450</v>
      </c>
      <c r="J274" t="s">
        <v>114</v>
      </c>
      <c r="K274" s="73">
        <v>45288.741666666669</v>
      </c>
    </row>
    <row r="275" spans="1:11" x14ac:dyDescent="0.25">
      <c r="A275">
        <v>489</v>
      </c>
      <c r="B275" t="s">
        <v>928</v>
      </c>
      <c r="C275" t="s">
        <v>118</v>
      </c>
      <c r="D275">
        <v>442</v>
      </c>
      <c r="E275">
        <v>1442</v>
      </c>
      <c r="F275" t="s">
        <v>929</v>
      </c>
      <c r="G275" t="s">
        <v>930</v>
      </c>
      <c r="H275"/>
      <c r="I275" t="s">
        <v>1450</v>
      </c>
      <c r="J275" t="s">
        <v>114</v>
      </c>
      <c r="K275" s="73">
        <v>45288.741666666669</v>
      </c>
    </row>
    <row r="276" spans="1:11" x14ac:dyDescent="0.25">
      <c r="A276">
        <v>490</v>
      </c>
      <c r="B276" t="s">
        <v>931</v>
      </c>
      <c r="C276" t="s">
        <v>118</v>
      </c>
      <c r="D276">
        <v>170</v>
      </c>
      <c r="E276">
        <v>1170</v>
      </c>
      <c r="F276" t="s">
        <v>932</v>
      </c>
      <c r="G276" t="s">
        <v>933</v>
      </c>
      <c r="H276"/>
      <c r="I276" t="s">
        <v>1450</v>
      </c>
      <c r="J276" t="s">
        <v>114</v>
      </c>
      <c r="K276" s="73">
        <v>45288.741666666669</v>
      </c>
    </row>
    <row r="277" spans="1:11" x14ac:dyDescent="0.25">
      <c r="A277">
        <v>491</v>
      </c>
      <c r="B277" t="s">
        <v>934</v>
      </c>
      <c r="C277" t="s">
        <v>118</v>
      </c>
      <c r="D277">
        <v>211</v>
      </c>
      <c r="E277">
        <v>1211</v>
      </c>
      <c r="F277" t="s">
        <v>935</v>
      </c>
      <c r="G277" t="s">
        <v>936</v>
      </c>
      <c r="H277"/>
      <c r="I277" t="s">
        <v>1450</v>
      </c>
      <c r="J277" t="s">
        <v>114</v>
      </c>
      <c r="K277" s="73">
        <v>45288.741666666669</v>
      </c>
    </row>
    <row r="278" spans="1:11" x14ac:dyDescent="0.25">
      <c r="A278">
        <v>492</v>
      </c>
      <c r="B278" t="s">
        <v>937</v>
      </c>
      <c r="C278" t="s">
        <v>118</v>
      </c>
      <c r="D278">
        <v>262</v>
      </c>
      <c r="E278">
        <v>1262</v>
      </c>
      <c r="F278" t="s">
        <v>938</v>
      </c>
      <c r="G278" t="s">
        <v>939</v>
      </c>
      <c r="H278"/>
      <c r="I278" t="s">
        <v>1450</v>
      </c>
      <c r="J278" t="s">
        <v>114</v>
      </c>
      <c r="K278" s="73">
        <v>45288.741666666669</v>
      </c>
    </row>
    <row r="279" spans="1:11" x14ac:dyDescent="0.25">
      <c r="A279">
        <v>493</v>
      </c>
      <c r="B279" t="s">
        <v>940</v>
      </c>
      <c r="C279" t="s">
        <v>118</v>
      </c>
      <c r="D279">
        <v>244</v>
      </c>
      <c r="E279">
        <v>1244</v>
      </c>
      <c r="F279" t="s">
        <v>941</v>
      </c>
      <c r="G279" t="s">
        <v>942</v>
      </c>
      <c r="H279"/>
      <c r="I279" t="s">
        <v>1450</v>
      </c>
      <c r="J279" t="s">
        <v>114</v>
      </c>
      <c r="K279" s="73">
        <v>45288.741666666669</v>
      </c>
    </row>
    <row r="280" spans="1:11" x14ac:dyDescent="0.25">
      <c r="A280">
        <v>494</v>
      </c>
      <c r="B280" t="s">
        <v>943</v>
      </c>
      <c r="C280" t="s">
        <v>118</v>
      </c>
      <c r="D280">
        <v>246</v>
      </c>
      <c r="E280">
        <v>1246</v>
      </c>
      <c r="F280" t="s">
        <v>944</v>
      </c>
      <c r="G280" t="s">
        <v>945</v>
      </c>
      <c r="H280"/>
      <c r="I280" t="s">
        <v>1450</v>
      </c>
      <c r="J280" t="s">
        <v>114</v>
      </c>
      <c r="K280" s="73">
        <v>45288.741666666669</v>
      </c>
    </row>
    <row r="281" spans="1:11" x14ac:dyDescent="0.25">
      <c r="A281">
        <v>495</v>
      </c>
      <c r="B281" t="s">
        <v>946</v>
      </c>
      <c r="C281" t="s">
        <v>118</v>
      </c>
      <c r="D281">
        <v>248</v>
      </c>
      <c r="E281">
        <v>1248</v>
      </c>
      <c r="F281" t="s">
        <v>947</v>
      </c>
      <c r="G281" t="s">
        <v>948</v>
      </c>
      <c r="H281"/>
      <c r="I281" t="s">
        <v>1450</v>
      </c>
      <c r="J281" t="s">
        <v>114</v>
      </c>
      <c r="K281" s="73">
        <v>45288.741666666669</v>
      </c>
    </row>
    <row r="282" spans="1:11" x14ac:dyDescent="0.25">
      <c r="A282">
        <v>496</v>
      </c>
      <c r="B282" t="s">
        <v>949</v>
      </c>
      <c r="C282" t="s">
        <v>118</v>
      </c>
      <c r="D282">
        <v>263</v>
      </c>
      <c r="E282">
        <v>1263</v>
      </c>
      <c r="F282" t="s">
        <v>950</v>
      </c>
      <c r="G282" t="s">
        <v>951</v>
      </c>
      <c r="H282"/>
      <c r="I282" t="s">
        <v>1450</v>
      </c>
      <c r="J282" t="s">
        <v>114</v>
      </c>
      <c r="K282" s="73">
        <v>45288.741666666669</v>
      </c>
    </row>
    <row r="283" spans="1:11" x14ac:dyDescent="0.25">
      <c r="A283">
        <v>497</v>
      </c>
      <c r="B283" t="s">
        <v>952</v>
      </c>
      <c r="C283" t="s">
        <v>118</v>
      </c>
      <c r="D283">
        <v>271</v>
      </c>
      <c r="E283">
        <v>1271</v>
      </c>
      <c r="F283" t="s">
        <v>953</v>
      </c>
      <c r="G283" t="s">
        <v>954</v>
      </c>
      <c r="H283"/>
      <c r="I283" t="s">
        <v>1450</v>
      </c>
      <c r="J283" t="s">
        <v>114</v>
      </c>
      <c r="K283" s="73">
        <v>45288.741666666669</v>
      </c>
    </row>
    <row r="284" spans="1:11" x14ac:dyDescent="0.25">
      <c r="A284">
        <v>498</v>
      </c>
      <c r="B284" t="s">
        <v>955</v>
      </c>
      <c r="C284" t="s">
        <v>118</v>
      </c>
      <c r="D284">
        <v>268</v>
      </c>
      <c r="E284">
        <v>1268</v>
      </c>
      <c r="F284" t="s">
        <v>956</v>
      </c>
      <c r="G284" t="s">
        <v>957</v>
      </c>
      <c r="H284"/>
      <c r="I284" t="s">
        <v>1450</v>
      </c>
      <c r="J284" t="s">
        <v>114</v>
      </c>
      <c r="K284" s="73">
        <v>45288.741666666669</v>
      </c>
    </row>
    <row r="285" spans="1:11" x14ac:dyDescent="0.25">
      <c r="A285">
        <v>499</v>
      </c>
      <c r="B285" t="s">
        <v>958</v>
      </c>
      <c r="C285" t="s">
        <v>118</v>
      </c>
      <c r="D285">
        <v>175</v>
      </c>
      <c r="E285">
        <v>1175</v>
      </c>
      <c r="F285" t="s">
        <v>959</v>
      </c>
      <c r="G285" t="s">
        <v>960</v>
      </c>
      <c r="H285"/>
      <c r="I285" t="s">
        <v>1450</v>
      </c>
      <c r="J285" t="s">
        <v>114</v>
      </c>
      <c r="K285" s="73">
        <v>45288.741666666669</v>
      </c>
    </row>
    <row r="286" spans="1:11" x14ac:dyDescent="0.25">
      <c r="A286">
        <v>500</v>
      </c>
      <c r="B286" t="s">
        <v>961</v>
      </c>
      <c r="C286" t="s">
        <v>118</v>
      </c>
      <c r="D286">
        <v>219</v>
      </c>
      <c r="E286">
        <v>1219</v>
      </c>
      <c r="F286" t="s">
        <v>962</v>
      </c>
      <c r="G286" t="s">
        <v>963</v>
      </c>
      <c r="H286"/>
      <c r="I286" t="s">
        <v>1450</v>
      </c>
      <c r="J286" t="s">
        <v>114</v>
      </c>
      <c r="K286" s="73">
        <v>45288.741666666669</v>
      </c>
    </row>
    <row r="287" spans="1:11" x14ac:dyDescent="0.25">
      <c r="A287">
        <v>501</v>
      </c>
      <c r="B287" t="s">
        <v>964</v>
      </c>
      <c r="C287" t="s">
        <v>118</v>
      </c>
      <c r="D287">
        <v>123</v>
      </c>
      <c r="E287">
        <v>1123</v>
      </c>
      <c r="F287" t="s">
        <v>965</v>
      </c>
      <c r="G287" t="s">
        <v>966</v>
      </c>
      <c r="H287"/>
      <c r="I287" t="s">
        <v>1450</v>
      </c>
      <c r="J287" t="s">
        <v>114</v>
      </c>
      <c r="K287" s="73">
        <v>45288.741666666669</v>
      </c>
    </row>
    <row r="288" spans="1:11" x14ac:dyDescent="0.25">
      <c r="A288">
        <v>502</v>
      </c>
      <c r="B288" t="s">
        <v>967</v>
      </c>
      <c r="C288" t="s">
        <v>118</v>
      </c>
      <c r="D288">
        <v>26</v>
      </c>
      <c r="E288">
        <v>1026</v>
      </c>
      <c r="F288" t="s">
        <v>968</v>
      </c>
      <c r="G288" t="s">
        <v>969</v>
      </c>
      <c r="H288"/>
      <c r="I288" t="s">
        <v>1450</v>
      </c>
      <c r="J288" t="s">
        <v>114</v>
      </c>
      <c r="K288" s="73">
        <v>45288.741666666669</v>
      </c>
    </row>
    <row r="289" spans="1:11" x14ac:dyDescent="0.25">
      <c r="A289">
        <v>503</v>
      </c>
      <c r="B289" t="s">
        <v>970</v>
      </c>
      <c r="C289" t="s">
        <v>118</v>
      </c>
      <c r="D289">
        <v>317</v>
      </c>
      <c r="E289">
        <v>1317</v>
      </c>
      <c r="F289" t="s">
        <v>971</v>
      </c>
      <c r="G289" t="s">
        <v>972</v>
      </c>
      <c r="H289"/>
      <c r="I289" t="s">
        <v>1450</v>
      </c>
      <c r="J289" t="s">
        <v>114</v>
      </c>
      <c r="K289" s="73">
        <v>45288.741666666669</v>
      </c>
    </row>
    <row r="290" spans="1:11" x14ac:dyDescent="0.25">
      <c r="A290">
        <v>504</v>
      </c>
      <c r="B290" t="s">
        <v>973</v>
      </c>
      <c r="C290" t="s">
        <v>118</v>
      </c>
      <c r="D290">
        <v>410</v>
      </c>
      <c r="E290">
        <v>1410</v>
      </c>
      <c r="F290" t="s">
        <v>974</v>
      </c>
      <c r="G290" t="s">
        <v>975</v>
      </c>
      <c r="H290"/>
      <c r="I290" t="s">
        <v>1449</v>
      </c>
      <c r="J290" t="s">
        <v>114</v>
      </c>
      <c r="K290" s="73">
        <v>45288.741666666669</v>
      </c>
    </row>
    <row r="291" spans="1:11" x14ac:dyDescent="0.25">
      <c r="A291">
        <v>505</v>
      </c>
      <c r="B291" t="s">
        <v>976</v>
      </c>
      <c r="C291" t="s">
        <v>118</v>
      </c>
      <c r="D291">
        <v>407</v>
      </c>
      <c r="E291">
        <v>1407</v>
      </c>
      <c r="F291" t="s">
        <v>977</v>
      </c>
      <c r="G291" t="s">
        <v>978</v>
      </c>
      <c r="H291"/>
      <c r="I291" t="s">
        <v>1449</v>
      </c>
      <c r="J291" t="s">
        <v>114</v>
      </c>
      <c r="K291" s="73">
        <v>45288.741666666669</v>
      </c>
    </row>
    <row r="292" spans="1:11" x14ac:dyDescent="0.25">
      <c r="A292">
        <v>506</v>
      </c>
      <c r="B292" t="s">
        <v>979</v>
      </c>
      <c r="C292" t="s">
        <v>118</v>
      </c>
      <c r="D292">
        <v>25</v>
      </c>
      <c r="E292">
        <v>1025</v>
      </c>
      <c r="F292" t="s">
        <v>980</v>
      </c>
      <c r="G292" t="s">
        <v>981</v>
      </c>
      <c r="H292"/>
      <c r="I292" t="s">
        <v>1450</v>
      </c>
      <c r="J292" t="s">
        <v>114</v>
      </c>
      <c r="K292" s="73">
        <v>45288.741666666669</v>
      </c>
    </row>
    <row r="293" spans="1:11" x14ac:dyDescent="0.25">
      <c r="A293">
        <v>507</v>
      </c>
      <c r="B293" t="s">
        <v>982</v>
      </c>
      <c r="C293" t="s">
        <v>118</v>
      </c>
      <c r="D293">
        <v>74</v>
      </c>
      <c r="E293">
        <v>1074</v>
      </c>
      <c r="F293" t="s">
        <v>983</v>
      </c>
      <c r="G293" t="s">
        <v>984</v>
      </c>
      <c r="H293"/>
      <c r="I293" t="s">
        <v>1450</v>
      </c>
      <c r="J293" t="s">
        <v>114</v>
      </c>
      <c r="K293" s="73">
        <v>45288.741666666669</v>
      </c>
    </row>
    <row r="294" spans="1:11" x14ac:dyDescent="0.25">
      <c r="A294">
        <v>508</v>
      </c>
      <c r="B294" t="s">
        <v>985</v>
      </c>
      <c r="C294" t="s">
        <v>118</v>
      </c>
      <c r="D294">
        <v>65</v>
      </c>
      <c r="E294">
        <v>1065</v>
      </c>
      <c r="F294" t="s">
        <v>986</v>
      </c>
      <c r="G294" t="s">
        <v>987</v>
      </c>
      <c r="H294"/>
      <c r="I294" t="s">
        <v>1450</v>
      </c>
      <c r="J294" t="s">
        <v>114</v>
      </c>
      <c r="K294" s="73">
        <v>45288.741666666669</v>
      </c>
    </row>
    <row r="295" spans="1:11" x14ac:dyDescent="0.25">
      <c r="A295">
        <v>509</v>
      </c>
      <c r="B295" t="s">
        <v>988</v>
      </c>
      <c r="C295" t="s">
        <v>118</v>
      </c>
      <c r="D295">
        <v>73</v>
      </c>
      <c r="E295">
        <v>1073</v>
      </c>
      <c r="F295" t="s">
        <v>989</v>
      </c>
      <c r="G295" t="s">
        <v>990</v>
      </c>
      <c r="H295"/>
      <c r="I295" t="s">
        <v>1450</v>
      </c>
      <c r="J295" t="s">
        <v>114</v>
      </c>
      <c r="K295" s="73">
        <v>45288.741666666669</v>
      </c>
    </row>
    <row r="296" spans="1:11" x14ac:dyDescent="0.25">
      <c r="A296">
        <v>510</v>
      </c>
      <c r="B296" t="s">
        <v>991</v>
      </c>
      <c r="C296" t="s">
        <v>118</v>
      </c>
      <c r="D296">
        <v>44</v>
      </c>
      <c r="E296">
        <v>1044</v>
      </c>
      <c r="F296" t="s">
        <v>992</v>
      </c>
      <c r="G296" t="s">
        <v>993</v>
      </c>
      <c r="H296"/>
      <c r="I296" t="s">
        <v>1450</v>
      </c>
      <c r="J296" t="s">
        <v>114</v>
      </c>
      <c r="K296" s="73">
        <v>45288.741666666669</v>
      </c>
    </row>
    <row r="297" spans="1:11" x14ac:dyDescent="0.25">
      <c r="A297">
        <v>511</v>
      </c>
      <c r="B297" t="s">
        <v>994</v>
      </c>
      <c r="C297" t="s">
        <v>118</v>
      </c>
      <c r="D297">
        <v>37</v>
      </c>
      <c r="E297">
        <v>1037</v>
      </c>
      <c r="F297" t="s">
        <v>995</v>
      </c>
      <c r="G297" t="s">
        <v>996</v>
      </c>
      <c r="H297"/>
      <c r="I297" t="s">
        <v>1450</v>
      </c>
      <c r="J297" t="s">
        <v>114</v>
      </c>
      <c r="K297" s="73">
        <v>45288.741666666669</v>
      </c>
    </row>
    <row r="298" spans="1:11" x14ac:dyDescent="0.25">
      <c r="A298">
        <v>512</v>
      </c>
      <c r="B298" t="s">
        <v>997</v>
      </c>
      <c r="C298" t="s">
        <v>118</v>
      </c>
      <c r="D298">
        <v>51</v>
      </c>
      <c r="E298">
        <v>1051</v>
      </c>
      <c r="F298" t="s">
        <v>998</v>
      </c>
      <c r="G298" t="s">
        <v>999</v>
      </c>
      <c r="H298"/>
      <c r="I298" t="s">
        <v>1450</v>
      </c>
      <c r="J298" t="s">
        <v>114</v>
      </c>
      <c r="K298" s="73">
        <v>45288.741666666669</v>
      </c>
    </row>
    <row r="299" spans="1:11" x14ac:dyDescent="0.25">
      <c r="A299">
        <v>513</v>
      </c>
      <c r="B299" t="s">
        <v>1000</v>
      </c>
      <c r="C299" t="s">
        <v>118</v>
      </c>
      <c r="D299">
        <v>54</v>
      </c>
      <c r="E299">
        <v>1054</v>
      </c>
      <c r="F299" t="s">
        <v>1001</v>
      </c>
      <c r="G299" t="s">
        <v>1002</v>
      </c>
      <c r="H299"/>
      <c r="I299" t="s">
        <v>1450</v>
      </c>
      <c r="J299" t="s">
        <v>114</v>
      </c>
      <c r="K299" s="73">
        <v>45288.741666666669</v>
      </c>
    </row>
    <row r="300" spans="1:11" x14ac:dyDescent="0.25">
      <c r="A300">
        <v>514</v>
      </c>
      <c r="B300" t="s">
        <v>1003</v>
      </c>
      <c r="C300" t="s">
        <v>118</v>
      </c>
      <c r="D300">
        <v>71</v>
      </c>
      <c r="E300">
        <v>1071</v>
      </c>
      <c r="F300" t="s">
        <v>1004</v>
      </c>
      <c r="G300" t="s">
        <v>1005</v>
      </c>
      <c r="H300"/>
      <c r="I300" t="s">
        <v>1450</v>
      </c>
      <c r="J300" t="s">
        <v>114</v>
      </c>
      <c r="K300" s="73">
        <v>45288.741666666669</v>
      </c>
    </row>
    <row r="301" spans="1:11" x14ac:dyDescent="0.25">
      <c r="A301">
        <v>515</v>
      </c>
      <c r="B301" t="s">
        <v>1006</v>
      </c>
      <c r="C301" t="s">
        <v>118</v>
      </c>
      <c r="D301">
        <v>56</v>
      </c>
      <c r="E301">
        <v>1056</v>
      </c>
      <c r="F301" t="s">
        <v>1007</v>
      </c>
      <c r="G301" t="s">
        <v>1008</v>
      </c>
      <c r="H301"/>
      <c r="I301" t="s">
        <v>1450</v>
      </c>
      <c r="J301" t="s">
        <v>114</v>
      </c>
      <c r="K301" s="73">
        <v>45288.741666666669</v>
      </c>
    </row>
    <row r="302" spans="1:11" x14ac:dyDescent="0.25">
      <c r="A302">
        <v>516</v>
      </c>
      <c r="B302" t="s">
        <v>1009</v>
      </c>
      <c r="C302" t="s">
        <v>118</v>
      </c>
      <c r="D302">
        <v>55</v>
      </c>
      <c r="E302">
        <v>1055</v>
      </c>
      <c r="F302" t="s">
        <v>1010</v>
      </c>
      <c r="G302" t="s">
        <v>1011</v>
      </c>
      <c r="H302"/>
      <c r="I302" t="s">
        <v>1450</v>
      </c>
      <c r="J302" t="s">
        <v>114</v>
      </c>
      <c r="K302" s="73">
        <v>45288.741666666669</v>
      </c>
    </row>
    <row r="303" spans="1:11" x14ac:dyDescent="0.25">
      <c r="A303">
        <v>517</v>
      </c>
      <c r="B303" t="s">
        <v>1012</v>
      </c>
      <c r="C303" t="s">
        <v>118</v>
      </c>
      <c r="D303">
        <v>57</v>
      </c>
      <c r="E303">
        <v>1057</v>
      </c>
      <c r="F303" t="s">
        <v>1013</v>
      </c>
      <c r="G303" t="s">
        <v>1014</v>
      </c>
      <c r="H303"/>
      <c r="I303" t="s">
        <v>1450</v>
      </c>
      <c r="J303" t="s">
        <v>114</v>
      </c>
      <c r="K303" s="73">
        <v>45288.741666666669</v>
      </c>
    </row>
    <row r="304" spans="1:11" x14ac:dyDescent="0.25">
      <c r="A304">
        <v>518</v>
      </c>
      <c r="B304" t="s">
        <v>1015</v>
      </c>
      <c r="C304" t="s">
        <v>118</v>
      </c>
      <c r="D304">
        <v>50</v>
      </c>
      <c r="E304">
        <v>1050</v>
      </c>
      <c r="F304" t="s">
        <v>1016</v>
      </c>
      <c r="G304" t="s">
        <v>1017</v>
      </c>
      <c r="H304"/>
      <c r="I304" t="s">
        <v>1450</v>
      </c>
      <c r="J304" t="s">
        <v>114</v>
      </c>
      <c r="K304" s="73">
        <v>45288.741666666669</v>
      </c>
    </row>
    <row r="305" spans="1:11" x14ac:dyDescent="0.25">
      <c r="A305">
        <v>519</v>
      </c>
      <c r="B305" t="s">
        <v>1018</v>
      </c>
      <c r="C305" t="s">
        <v>118</v>
      </c>
      <c r="D305">
        <v>49</v>
      </c>
      <c r="E305">
        <v>1049</v>
      </c>
      <c r="F305" t="s">
        <v>1019</v>
      </c>
      <c r="G305" t="s">
        <v>1020</v>
      </c>
      <c r="H305"/>
      <c r="I305" t="s">
        <v>1450</v>
      </c>
      <c r="J305" t="s">
        <v>114</v>
      </c>
      <c r="K305" s="73">
        <v>45288.741666666669</v>
      </c>
    </row>
    <row r="306" spans="1:11" x14ac:dyDescent="0.25">
      <c r="A306">
        <v>520</v>
      </c>
      <c r="B306" t="s">
        <v>1021</v>
      </c>
      <c r="C306" t="s">
        <v>118</v>
      </c>
      <c r="D306">
        <v>78</v>
      </c>
      <c r="E306">
        <v>1078</v>
      </c>
      <c r="F306" t="s">
        <v>1022</v>
      </c>
      <c r="G306" t="s">
        <v>1023</v>
      </c>
      <c r="H306"/>
      <c r="I306" t="s">
        <v>1450</v>
      </c>
      <c r="J306" t="s">
        <v>114</v>
      </c>
      <c r="K306" s="73">
        <v>45288.741666666669</v>
      </c>
    </row>
    <row r="307" spans="1:11" x14ac:dyDescent="0.25">
      <c r="A307">
        <v>521</v>
      </c>
      <c r="B307" t="s">
        <v>1024</v>
      </c>
      <c r="C307" t="s">
        <v>118</v>
      </c>
      <c r="D307">
        <v>12</v>
      </c>
      <c r="E307">
        <v>1012</v>
      </c>
      <c r="F307" t="s">
        <v>1025</v>
      </c>
      <c r="G307" t="s">
        <v>1026</v>
      </c>
      <c r="H307"/>
      <c r="I307" t="s">
        <v>1451</v>
      </c>
      <c r="J307" t="s">
        <v>114</v>
      </c>
      <c r="K307" s="73">
        <v>45288.741666666669</v>
      </c>
    </row>
    <row r="308" spans="1:11" x14ac:dyDescent="0.25">
      <c r="A308">
        <v>522</v>
      </c>
      <c r="B308" t="s">
        <v>1027</v>
      </c>
      <c r="C308" t="s">
        <v>118</v>
      </c>
      <c r="D308">
        <v>207</v>
      </c>
      <c r="E308">
        <v>1207</v>
      </c>
      <c r="F308" t="s">
        <v>1028</v>
      </c>
      <c r="G308" t="s">
        <v>1029</v>
      </c>
      <c r="H308"/>
      <c r="I308" t="s">
        <v>1450</v>
      </c>
      <c r="J308" t="s">
        <v>114</v>
      </c>
      <c r="K308" s="73">
        <v>45288.741666666669</v>
      </c>
    </row>
    <row r="309" spans="1:11" x14ac:dyDescent="0.25">
      <c r="A309">
        <v>523</v>
      </c>
      <c r="B309" t="s">
        <v>1030</v>
      </c>
      <c r="C309" t="s">
        <v>118</v>
      </c>
      <c r="D309">
        <v>308</v>
      </c>
      <c r="E309">
        <v>1308</v>
      </c>
      <c r="F309" t="s">
        <v>1031</v>
      </c>
      <c r="G309" t="s">
        <v>1032</v>
      </c>
      <c r="H309"/>
      <c r="I309" t="s">
        <v>1449</v>
      </c>
      <c r="J309" t="s">
        <v>114</v>
      </c>
      <c r="K309" s="73">
        <v>45288.741666666669</v>
      </c>
    </row>
    <row r="310" spans="1:11" x14ac:dyDescent="0.25">
      <c r="A310">
        <v>524</v>
      </c>
      <c r="B310" t="s">
        <v>1033</v>
      </c>
      <c r="C310" t="s">
        <v>118</v>
      </c>
      <c r="D310">
        <v>318</v>
      </c>
      <c r="E310">
        <v>1318</v>
      </c>
      <c r="F310" t="s">
        <v>1034</v>
      </c>
      <c r="G310" t="s">
        <v>1035</v>
      </c>
      <c r="H310"/>
      <c r="I310" t="s">
        <v>1450</v>
      </c>
      <c r="J310" t="s">
        <v>114</v>
      </c>
      <c r="K310" s="73">
        <v>45288.741666666669</v>
      </c>
    </row>
    <row r="311" spans="1:11" x14ac:dyDescent="0.25">
      <c r="A311">
        <v>525</v>
      </c>
      <c r="B311" t="s">
        <v>1036</v>
      </c>
      <c r="C311" t="s">
        <v>118</v>
      </c>
      <c r="D311">
        <v>112</v>
      </c>
      <c r="E311">
        <v>1112</v>
      </c>
      <c r="F311" t="s">
        <v>1037</v>
      </c>
      <c r="G311" t="s">
        <v>1038</v>
      </c>
      <c r="H311"/>
      <c r="I311" t="s">
        <v>1450</v>
      </c>
      <c r="J311" t="s">
        <v>114</v>
      </c>
      <c r="K311" s="73">
        <v>45288.741666666669</v>
      </c>
    </row>
    <row r="312" spans="1:11" x14ac:dyDescent="0.25">
      <c r="A312">
        <v>526</v>
      </c>
      <c r="B312" t="s">
        <v>1039</v>
      </c>
      <c r="C312" t="s">
        <v>118</v>
      </c>
      <c r="D312">
        <v>322</v>
      </c>
      <c r="E312">
        <v>1322</v>
      </c>
      <c r="F312" t="s">
        <v>1040</v>
      </c>
      <c r="G312" t="s">
        <v>1041</v>
      </c>
      <c r="H312"/>
      <c r="I312" t="s">
        <v>1450</v>
      </c>
      <c r="J312" t="s">
        <v>114</v>
      </c>
      <c r="K312" s="73">
        <v>45288.741666666669</v>
      </c>
    </row>
    <row r="313" spans="1:11" x14ac:dyDescent="0.25">
      <c r="A313">
        <v>527</v>
      </c>
      <c r="B313" t="s">
        <v>1042</v>
      </c>
      <c r="C313" t="s">
        <v>118</v>
      </c>
      <c r="D313">
        <v>418</v>
      </c>
      <c r="E313">
        <v>1418</v>
      </c>
      <c r="F313" t="s">
        <v>1043</v>
      </c>
      <c r="G313" t="s">
        <v>1044</v>
      </c>
      <c r="H313"/>
      <c r="I313" t="s">
        <v>1450</v>
      </c>
      <c r="J313" t="s">
        <v>114</v>
      </c>
      <c r="K313" s="73">
        <v>45288.741666666669</v>
      </c>
    </row>
    <row r="314" spans="1:11" x14ac:dyDescent="0.25">
      <c r="A314">
        <v>528</v>
      </c>
      <c r="B314" t="s">
        <v>1045</v>
      </c>
      <c r="C314" t="s">
        <v>118</v>
      </c>
      <c r="D314">
        <v>134</v>
      </c>
      <c r="E314">
        <v>1134</v>
      </c>
      <c r="F314" t="s">
        <v>1046</v>
      </c>
      <c r="G314" t="s">
        <v>1047</v>
      </c>
      <c r="H314"/>
      <c r="I314" t="s">
        <v>1450</v>
      </c>
      <c r="J314" t="s">
        <v>114</v>
      </c>
      <c r="K314" s="73">
        <v>45288.741666666669</v>
      </c>
    </row>
    <row r="315" spans="1:11" x14ac:dyDescent="0.25">
      <c r="A315">
        <v>529</v>
      </c>
      <c r="B315" t="s">
        <v>1048</v>
      </c>
      <c r="C315" t="s">
        <v>118</v>
      </c>
      <c r="D315">
        <v>315</v>
      </c>
      <c r="E315">
        <v>1315</v>
      </c>
      <c r="F315" t="s">
        <v>1049</v>
      </c>
      <c r="G315" t="s">
        <v>1050</v>
      </c>
      <c r="H315"/>
      <c r="I315" t="s">
        <v>1450</v>
      </c>
      <c r="J315" t="s">
        <v>114</v>
      </c>
      <c r="K315" s="73">
        <v>45288.741666666669</v>
      </c>
    </row>
    <row r="316" spans="1:11" x14ac:dyDescent="0.25">
      <c r="A316">
        <v>530</v>
      </c>
      <c r="B316" t="s">
        <v>1051</v>
      </c>
      <c r="C316" t="s">
        <v>118</v>
      </c>
      <c r="D316">
        <v>321</v>
      </c>
      <c r="E316">
        <v>1321</v>
      </c>
      <c r="F316" t="s">
        <v>1052</v>
      </c>
      <c r="G316" t="s">
        <v>1053</v>
      </c>
      <c r="H316"/>
      <c r="I316" t="s">
        <v>1450</v>
      </c>
      <c r="J316" t="s">
        <v>114</v>
      </c>
      <c r="K316" s="73">
        <v>45288.741666666669</v>
      </c>
    </row>
    <row r="317" spans="1:11" x14ac:dyDescent="0.25">
      <c r="A317">
        <v>531</v>
      </c>
      <c r="B317" t="s">
        <v>1054</v>
      </c>
      <c r="C317" t="s">
        <v>118</v>
      </c>
      <c r="D317">
        <v>371</v>
      </c>
      <c r="E317">
        <v>1371</v>
      </c>
      <c r="F317" t="s">
        <v>1055</v>
      </c>
      <c r="G317" t="s">
        <v>1056</v>
      </c>
      <c r="H317"/>
      <c r="I317" t="s">
        <v>1450</v>
      </c>
      <c r="J317" t="s">
        <v>114</v>
      </c>
      <c r="K317" s="73">
        <v>45288.741666666669</v>
      </c>
    </row>
    <row r="318" spans="1:11" x14ac:dyDescent="0.25">
      <c r="A318">
        <v>532</v>
      </c>
      <c r="B318" t="s">
        <v>1057</v>
      </c>
      <c r="C318" t="s">
        <v>118</v>
      </c>
      <c r="D318">
        <v>421</v>
      </c>
      <c r="E318">
        <v>1421</v>
      </c>
      <c r="F318" t="s">
        <v>1058</v>
      </c>
      <c r="G318" t="s">
        <v>1059</v>
      </c>
      <c r="H318"/>
      <c r="I318" t="s">
        <v>1450</v>
      </c>
      <c r="J318" t="s">
        <v>114</v>
      </c>
      <c r="K318" s="73">
        <v>45288.741666666669</v>
      </c>
    </row>
    <row r="319" spans="1:11" x14ac:dyDescent="0.25">
      <c r="A319">
        <v>533</v>
      </c>
      <c r="B319" t="s">
        <v>1060</v>
      </c>
      <c r="C319" t="s">
        <v>118</v>
      </c>
      <c r="D319">
        <v>177</v>
      </c>
      <c r="E319">
        <v>1177</v>
      </c>
      <c r="F319" t="s">
        <v>1061</v>
      </c>
      <c r="G319" t="s">
        <v>1062</v>
      </c>
      <c r="H319"/>
      <c r="I319" t="s">
        <v>1450</v>
      </c>
      <c r="J319" t="s">
        <v>114</v>
      </c>
      <c r="K319" s="73">
        <v>45288.741666666669</v>
      </c>
    </row>
    <row r="320" spans="1:11" x14ac:dyDescent="0.25">
      <c r="A320">
        <v>534</v>
      </c>
      <c r="B320" t="s">
        <v>1063</v>
      </c>
      <c r="C320" t="s">
        <v>118</v>
      </c>
      <c r="D320">
        <v>182</v>
      </c>
      <c r="E320">
        <v>1182</v>
      </c>
      <c r="F320" t="s">
        <v>1064</v>
      </c>
      <c r="G320" t="s">
        <v>1065</v>
      </c>
      <c r="H320"/>
      <c r="I320" t="s">
        <v>1450</v>
      </c>
      <c r="J320" t="s">
        <v>114</v>
      </c>
      <c r="K320" s="73">
        <v>45288.741666666669</v>
      </c>
    </row>
    <row r="321" spans="1:11" x14ac:dyDescent="0.25">
      <c r="A321">
        <v>535</v>
      </c>
      <c r="B321" t="s">
        <v>1066</v>
      </c>
      <c r="C321" t="s">
        <v>118</v>
      </c>
      <c r="D321">
        <v>359</v>
      </c>
      <c r="E321">
        <v>1359</v>
      </c>
      <c r="F321" t="s">
        <v>1067</v>
      </c>
      <c r="G321" t="s">
        <v>1068</v>
      </c>
      <c r="H321"/>
      <c r="I321" t="s">
        <v>1450</v>
      </c>
      <c r="J321" t="s">
        <v>114</v>
      </c>
      <c r="K321" s="73">
        <v>45288.741666666669</v>
      </c>
    </row>
    <row r="322" spans="1:11" x14ac:dyDescent="0.25">
      <c r="A322">
        <v>536</v>
      </c>
      <c r="B322" t="s">
        <v>1069</v>
      </c>
      <c r="C322" t="s">
        <v>118</v>
      </c>
      <c r="D322">
        <v>310</v>
      </c>
      <c r="E322">
        <v>1310</v>
      </c>
      <c r="F322" t="s">
        <v>1070</v>
      </c>
      <c r="G322" t="s">
        <v>1071</v>
      </c>
      <c r="H322"/>
      <c r="I322" t="s">
        <v>1450</v>
      </c>
      <c r="J322" t="s">
        <v>114</v>
      </c>
      <c r="K322" s="73">
        <v>45288.741666666669</v>
      </c>
    </row>
    <row r="323" spans="1:11" x14ac:dyDescent="0.25">
      <c r="A323">
        <v>537</v>
      </c>
      <c r="B323" t="s">
        <v>1072</v>
      </c>
      <c r="C323" t="s">
        <v>118</v>
      </c>
      <c r="D323">
        <v>399</v>
      </c>
      <c r="E323">
        <v>1399</v>
      </c>
      <c r="F323" t="s">
        <v>1073</v>
      </c>
      <c r="G323" t="s">
        <v>1074</v>
      </c>
      <c r="H323"/>
      <c r="I323" t="s">
        <v>1449</v>
      </c>
      <c r="J323" t="s">
        <v>114</v>
      </c>
      <c r="K323" s="73">
        <v>45288.741666666669</v>
      </c>
    </row>
    <row r="324" spans="1:11" x14ac:dyDescent="0.25">
      <c r="A324">
        <v>538</v>
      </c>
      <c r="B324" t="s">
        <v>1075</v>
      </c>
      <c r="C324" t="s">
        <v>118</v>
      </c>
      <c r="D324">
        <v>379</v>
      </c>
      <c r="E324">
        <v>1379</v>
      </c>
      <c r="F324" t="s">
        <v>1076</v>
      </c>
      <c r="G324" t="s">
        <v>1077</v>
      </c>
      <c r="H324"/>
      <c r="I324" t="s">
        <v>1450</v>
      </c>
      <c r="J324" t="s">
        <v>114</v>
      </c>
      <c r="K324" s="73">
        <v>45288.741666666669</v>
      </c>
    </row>
    <row r="325" spans="1:11" x14ac:dyDescent="0.25">
      <c r="A325">
        <v>539</v>
      </c>
      <c r="B325" t="s">
        <v>1078</v>
      </c>
      <c r="C325" t="s">
        <v>118</v>
      </c>
      <c r="D325">
        <v>249</v>
      </c>
      <c r="E325">
        <v>1249</v>
      </c>
      <c r="F325" t="s">
        <v>1079</v>
      </c>
      <c r="G325" t="s">
        <v>1080</v>
      </c>
      <c r="H325"/>
      <c r="I325" t="s">
        <v>1450</v>
      </c>
      <c r="J325" t="s">
        <v>114</v>
      </c>
      <c r="K325" s="73">
        <v>45288.741666666669</v>
      </c>
    </row>
    <row r="326" spans="1:11" x14ac:dyDescent="0.25">
      <c r="A326">
        <v>540</v>
      </c>
      <c r="B326" t="s">
        <v>1081</v>
      </c>
      <c r="C326" t="s">
        <v>118</v>
      </c>
      <c r="D326">
        <v>380</v>
      </c>
      <c r="E326">
        <v>1380</v>
      </c>
      <c r="F326" t="s">
        <v>1082</v>
      </c>
      <c r="G326" t="s">
        <v>1083</v>
      </c>
      <c r="H326"/>
      <c r="I326" t="s">
        <v>1450</v>
      </c>
      <c r="J326" t="s">
        <v>114</v>
      </c>
      <c r="K326" s="73">
        <v>45288.741666666669</v>
      </c>
    </row>
    <row r="327" spans="1:11" x14ac:dyDescent="0.25">
      <c r="A327">
        <v>541</v>
      </c>
      <c r="B327" t="s">
        <v>1084</v>
      </c>
      <c r="C327" t="s">
        <v>118</v>
      </c>
      <c r="D327">
        <v>402</v>
      </c>
      <c r="E327">
        <v>1402</v>
      </c>
      <c r="F327" t="s">
        <v>1085</v>
      </c>
      <c r="G327" t="s">
        <v>1086</v>
      </c>
      <c r="H327"/>
      <c r="I327" t="s">
        <v>1449</v>
      </c>
      <c r="J327" t="s">
        <v>114</v>
      </c>
      <c r="K327" s="73">
        <v>45288.741666666669</v>
      </c>
    </row>
    <row r="328" spans="1:11" x14ac:dyDescent="0.25">
      <c r="A328">
        <v>542</v>
      </c>
      <c r="B328" t="s">
        <v>1087</v>
      </c>
      <c r="C328" t="s">
        <v>118</v>
      </c>
      <c r="D328">
        <v>397</v>
      </c>
      <c r="E328">
        <v>1397</v>
      </c>
      <c r="F328" t="s">
        <v>1088</v>
      </c>
      <c r="G328" t="s">
        <v>1089</v>
      </c>
      <c r="H328"/>
      <c r="I328" t="s">
        <v>1449</v>
      </c>
      <c r="J328" t="s">
        <v>114</v>
      </c>
      <c r="K328" s="73">
        <v>45288.741666666669</v>
      </c>
    </row>
    <row r="329" spans="1:11" x14ac:dyDescent="0.25">
      <c r="A329">
        <v>543</v>
      </c>
      <c r="B329" t="s">
        <v>1090</v>
      </c>
      <c r="C329" t="s">
        <v>118</v>
      </c>
      <c r="D329">
        <v>398</v>
      </c>
      <c r="E329">
        <v>1398</v>
      </c>
      <c r="F329" t="s">
        <v>1091</v>
      </c>
      <c r="G329" t="s">
        <v>1092</v>
      </c>
      <c r="H329"/>
      <c r="I329" t="s">
        <v>1449</v>
      </c>
      <c r="J329" t="s">
        <v>114</v>
      </c>
      <c r="K329" s="73">
        <v>45288.741666666669</v>
      </c>
    </row>
    <row r="330" spans="1:11" x14ac:dyDescent="0.25">
      <c r="A330">
        <v>544</v>
      </c>
      <c r="B330" t="s">
        <v>1093</v>
      </c>
      <c r="C330" t="s">
        <v>118</v>
      </c>
      <c r="D330">
        <v>257</v>
      </c>
      <c r="E330">
        <v>1257</v>
      </c>
      <c r="F330" t="s">
        <v>1094</v>
      </c>
      <c r="G330" t="s">
        <v>1095</v>
      </c>
      <c r="H330"/>
      <c r="I330" t="s">
        <v>1450</v>
      </c>
      <c r="J330" t="s">
        <v>114</v>
      </c>
      <c r="K330" s="73">
        <v>45288.741666666669</v>
      </c>
    </row>
    <row r="331" spans="1:11" x14ac:dyDescent="0.25">
      <c r="A331">
        <v>545</v>
      </c>
      <c r="B331" t="s">
        <v>1096</v>
      </c>
      <c r="C331" t="s">
        <v>118</v>
      </c>
      <c r="D331">
        <v>416</v>
      </c>
      <c r="E331">
        <v>1416</v>
      </c>
      <c r="F331" t="s">
        <v>1097</v>
      </c>
      <c r="G331" t="s">
        <v>1098</v>
      </c>
      <c r="H331"/>
      <c r="I331" t="s">
        <v>1450</v>
      </c>
      <c r="J331" t="s">
        <v>114</v>
      </c>
      <c r="K331" s="73">
        <v>45288.741666666669</v>
      </c>
    </row>
    <row r="332" spans="1:11" x14ac:dyDescent="0.25">
      <c r="A332">
        <v>546</v>
      </c>
      <c r="B332" t="s">
        <v>1099</v>
      </c>
      <c r="C332" t="s">
        <v>118</v>
      </c>
      <c r="D332">
        <v>417</v>
      </c>
      <c r="E332">
        <v>1417</v>
      </c>
      <c r="F332" t="s">
        <v>1100</v>
      </c>
      <c r="G332" t="s">
        <v>1101</v>
      </c>
      <c r="H332"/>
      <c r="I332" t="s">
        <v>1450</v>
      </c>
      <c r="J332" t="s">
        <v>114</v>
      </c>
      <c r="K332" s="73">
        <v>45288.741666666669</v>
      </c>
    </row>
    <row r="333" spans="1:11" x14ac:dyDescent="0.25">
      <c r="A333">
        <v>547</v>
      </c>
      <c r="B333" t="s">
        <v>1102</v>
      </c>
      <c r="C333" t="s">
        <v>118</v>
      </c>
      <c r="D333">
        <v>375</v>
      </c>
      <c r="E333">
        <v>1375</v>
      </c>
      <c r="F333" t="s">
        <v>1103</v>
      </c>
      <c r="G333" t="s">
        <v>1104</v>
      </c>
      <c r="H333"/>
      <c r="I333" t="s">
        <v>1449</v>
      </c>
      <c r="J333" t="s">
        <v>114</v>
      </c>
      <c r="K333" s="73">
        <v>45288.741666666669</v>
      </c>
    </row>
    <row r="334" spans="1:11" x14ac:dyDescent="0.25">
      <c r="A334">
        <v>548</v>
      </c>
      <c r="B334" t="s">
        <v>1105</v>
      </c>
      <c r="C334" t="s">
        <v>118</v>
      </c>
      <c r="D334">
        <v>305</v>
      </c>
      <c r="E334">
        <v>1305</v>
      </c>
      <c r="F334" t="s">
        <v>1106</v>
      </c>
      <c r="G334" t="s">
        <v>1107</v>
      </c>
      <c r="H334"/>
      <c r="I334" t="s">
        <v>1450</v>
      </c>
      <c r="J334" t="s">
        <v>114</v>
      </c>
      <c r="K334" s="73">
        <v>45288.741666666669</v>
      </c>
    </row>
    <row r="335" spans="1:11" x14ac:dyDescent="0.25">
      <c r="A335">
        <v>549</v>
      </c>
      <c r="B335" t="s">
        <v>1108</v>
      </c>
      <c r="C335" t="s">
        <v>118</v>
      </c>
      <c r="D335">
        <v>23</v>
      </c>
      <c r="E335">
        <v>1023</v>
      </c>
      <c r="F335" t="s">
        <v>1109</v>
      </c>
      <c r="G335" t="s">
        <v>1110</v>
      </c>
      <c r="H335"/>
      <c r="I335" t="s">
        <v>1450</v>
      </c>
      <c r="J335" t="s">
        <v>114</v>
      </c>
      <c r="K335" s="73">
        <v>45288.741666666669</v>
      </c>
    </row>
    <row r="336" spans="1:11" x14ac:dyDescent="0.25">
      <c r="A336">
        <v>550</v>
      </c>
      <c r="B336" t="s">
        <v>1111</v>
      </c>
      <c r="C336" t="s">
        <v>118</v>
      </c>
      <c r="D336">
        <v>126</v>
      </c>
      <c r="E336">
        <v>1126</v>
      </c>
      <c r="F336" t="s">
        <v>1112</v>
      </c>
      <c r="G336" t="s">
        <v>1113</v>
      </c>
      <c r="H336"/>
      <c r="I336" t="s">
        <v>1450</v>
      </c>
      <c r="J336" t="s">
        <v>114</v>
      </c>
      <c r="K336" s="73">
        <v>45288.741666666669</v>
      </c>
    </row>
    <row r="337" spans="1:11" x14ac:dyDescent="0.25">
      <c r="A337">
        <v>551</v>
      </c>
      <c r="B337" t="s">
        <v>1114</v>
      </c>
      <c r="C337" t="s">
        <v>118</v>
      </c>
      <c r="D337">
        <v>176</v>
      </c>
      <c r="E337">
        <v>1176</v>
      </c>
      <c r="F337" t="s">
        <v>1115</v>
      </c>
      <c r="G337" t="s">
        <v>1116</v>
      </c>
      <c r="H337"/>
      <c r="I337" t="s">
        <v>1450</v>
      </c>
      <c r="J337" t="s">
        <v>114</v>
      </c>
      <c r="K337" s="73">
        <v>45288.741666666669</v>
      </c>
    </row>
    <row r="338" spans="1:11" x14ac:dyDescent="0.25">
      <c r="A338">
        <v>552</v>
      </c>
      <c r="B338" t="s">
        <v>1117</v>
      </c>
      <c r="C338" t="s">
        <v>118</v>
      </c>
      <c r="D338">
        <v>100</v>
      </c>
      <c r="E338">
        <v>1100</v>
      </c>
      <c r="F338" t="s">
        <v>1118</v>
      </c>
      <c r="G338" t="s">
        <v>1119</v>
      </c>
      <c r="H338"/>
      <c r="I338" t="s">
        <v>1450</v>
      </c>
      <c r="J338" t="s">
        <v>114</v>
      </c>
      <c r="K338" s="73">
        <v>45288.741666666669</v>
      </c>
    </row>
    <row r="339" spans="1:11" x14ac:dyDescent="0.25">
      <c r="A339">
        <v>553</v>
      </c>
      <c r="B339" t="s">
        <v>1120</v>
      </c>
      <c r="C339" t="s">
        <v>118</v>
      </c>
      <c r="D339">
        <v>109</v>
      </c>
      <c r="E339">
        <v>1109</v>
      </c>
      <c r="F339" t="s">
        <v>1121</v>
      </c>
      <c r="G339" t="s">
        <v>1122</v>
      </c>
      <c r="H339"/>
      <c r="I339" t="s">
        <v>1450</v>
      </c>
      <c r="J339" t="s">
        <v>114</v>
      </c>
      <c r="K339" s="73">
        <v>45288.741666666669</v>
      </c>
    </row>
    <row r="340" spans="1:11" x14ac:dyDescent="0.25">
      <c r="A340">
        <v>554</v>
      </c>
      <c r="B340" t="s">
        <v>1123</v>
      </c>
      <c r="C340" t="s">
        <v>118</v>
      </c>
      <c r="D340">
        <v>203</v>
      </c>
      <c r="E340">
        <v>1203</v>
      </c>
      <c r="F340" t="s">
        <v>1124</v>
      </c>
      <c r="G340" t="s">
        <v>1125</v>
      </c>
      <c r="H340"/>
      <c r="I340" t="s">
        <v>1450</v>
      </c>
      <c r="J340" t="s">
        <v>114</v>
      </c>
      <c r="K340" s="73">
        <v>45288.741666666669</v>
      </c>
    </row>
    <row r="341" spans="1:11" x14ac:dyDescent="0.25">
      <c r="A341">
        <v>555</v>
      </c>
      <c r="B341" t="s">
        <v>1126</v>
      </c>
      <c r="C341" t="s">
        <v>118</v>
      </c>
      <c r="D341">
        <v>204</v>
      </c>
      <c r="E341">
        <v>1204</v>
      </c>
      <c r="F341" t="s">
        <v>1127</v>
      </c>
      <c r="G341" t="s">
        <v>1128</v>
      </c>
      <c r="H341"/>
      <c r="I341" t="s">
        <v>1450</v>
      </c>
      <c r="J341" t="s">
        <v>114</v>
      </c>
      <c r="K341" s="73">
        <v>45288.741666666669</v>
      </c>
    </row>
    <row r="342" spans="1:11" x14ac:dyDescent="0.25">
      <c r="A342">
        <v>556</v>
      </c>
      <c r="B342" t="s">
        <v>1129</v>
      </c>
      <c r="C342" t="s">
        <v>118</v>
      </c>
      <c r="D342">
        <v>90</v>
      </c>
      <c r="E342">
        <v>1090</v>
      </c>
      <c r="F342" t="s">
        <v>1130</v>
      </c>
      <c r="G342" t="s">
        <v>1131</v>
      </c>
      <c r="H342"/>
      <c r="I342" t="s">
        <v>1450</v>
      </c>
      <c r="J342" t="s">
        <v>114</v>
      </c>
      <c r="K342" s="73">
        <v>45288.741666666669</v>
      </c>
    </row>
    <row r="343" spans="1:11" x14ac:dyDescent="0.25">
      <c r="A343">
        <v>557</v>
      </c>
      <c r="B343" t="s">
        <v>1132</v>
      </c>
      <c r="C343" t="s">
        <v>118</v>
      </c>
      <c r="D343">
        <v>144</v>
      </c>
      <c r="E343">
        <v>1144</v>
      </c>
      <c r="F343" t="s">
        <v>1133</v>
      </c>
      <c r="G343" t="s">
        <v>1134</v>
      </c>
      <c r="H343"/>
      <c r="I343" t="s">
        <v>1450</v>
      </c>
      <c r="J343" t="s">
        <v>114</v>
      </c>
      <c r="K343" s="73">
        <v>45288.741666666669</v>
      </c>
    </row>
    <row r="344" spans="1:11" x14ac:dyDescent="0.25">
      <c r="A344">
        <v>558</v>
      </c>
      <c r="B344" t="s">
        <v>1135</v>
      </c>
      <c r="C344" t="s">
        <v>118</v>
      </c>
      <c r="D344">
        <v>346</v>
      </c>
      <c r="E344">
        <v>1346</v>
      </c>
      <c r="F344" t="s">
        <v>1136</v>
      </c>
      <c r="G344" t="s">
        <v>1137</v>
      </c>
      <c r="H344"/>
      <c r="I344" t="s">
        <v>1450</v>
      </c>
      <c r="J344" t="s">
        <v>114</v>
      </c>
      <c r="K344" s="73">
        <v>45288.741666666669</v>
      </c>
    </row>
    <row r="345" spans="1:11" x14ac:dyDescent="0.25">
      <c r="A345">
        <v>559</v>
      </c>
      <c r="B345" t="s">
        <v>1138</v>
      </c>
      <c r="C345" t="s">
        <v>118</v>
      </c>
      <c r="D345">
        <v>443</v>
      </c>
      <c r="E345">
        <v>1443</v>
      </c>
      <c r="F345" t="s">
        <v>1139</v>
      </c>
      <c r="G345" t="s">
        <v>1140</v>
      </c>
      <c r="H345"/>
      <c r="I345" t="s">
        <v>1450</v>
      </c>
      <c r="J345" t="s">
        <v>114</v>
      </c>
      <c r="K345" s="73">
        <v>45288.741666666669</v>
      </c>
    </row>
    <row r="346" spans="1:11" x14ac:dyDescent="0.25">
      <c r="A346">
        <v>560</v>
      </c>
      <c r="B346" t="s">
        <v>1141</v>
      </c>
      <c r="C346" t="s">
        <v>118</v>
      </c>
      <c r="D346">
        <v>19</v>
      </c>
      <c r="E346">
        <v>1019</v>
      </c>
      <c r="F346" t="s">
        <v>1142</v>
      </c>
      <c r="G346" t="s">
        <v>1143</v>
      </c>
      <c r="H346"/>
      <c r="I346" t="s">
        <v>1450</v>
      </c>
      <c r="J346" t="s">
        <v>114</v>
      </c>
      <c r="K346" s="73">
        <v>45288.741666666669</v>
      </c>
    </row>
    <row r="347" spans="1:11" x14ac:dyDescent="0.25">
      <c r="A347">
        <v>561</v>
      </c>
      <c r="B347" t="s">
        <v>1144</v>
      </c>
      <c r="C347" t="s">
        <v>118</v>
      </c>
      <c r="D347">
        <v>389</v>
      </c>
      <c r="E347">
        <v>1389</v>
      </c>
      <c r="F347" t="s">
        <v>1145</v>
      </c>
      <c r="G347" t="s">
        <v>1146</v>
      </c>
      <c r="H347"/>
      <c r="I347" t="s">
        <v>1450</v>
      </c>
      <c r="J347" t="s">
        <v>114</v>
      </c>
      <c r="K347" s="73">
        <v>45288.741666666669</v>
      </c>
    </row>
    <row r="348" spans="1:11" x14ac:dyDescent="0.25">
      <c r="A348">
        <v>562</v>
      </c>
      <c r="B348" t="s">
        <v>1147</v>
      </c>
      <c r="C348" t="s">
        <v>118</v>
      </c>
      <c r="D348">
        <v>259</v>
      </c>
      <c r="E348">
        <v>1259</v>
      </c>
      <c r="F348" t="s">
        <v>1148</v>
      </c>
      <c r="G348" t="s">
        <v>1149</v>
      </c>
      <c r="H348"/>
      <c r="I348" t="s">
        <v>1450</v>
      </c>
      <c r="J348" t="s">
        <v>114</v>
      </c>
      <c r="K348" s="73">
        <v>45288.741666666669</v>
      </c>
    </row>
    <row r="349" spans="1:11" x14ac:dyDescent="0.25">
      <c r="A349">
        <v>563</v>
      </c>
      <c r="B349" t="s">
        <v>1150</v>
      </c>
      <c r="C349" t="s">
        <v>118</v>
      </c>
      <c r="D349">
        <v>209</v>
      </c>
      <c r="E349">
        <v>1209</v>
      </c>
      <c r="F349" t="s">
        <v>1151</v>
      </c>
      <c r="G349" t="s">
        <v>1152</v>
      </c>
      <c r="H349"/>
      <c r="I349" t="s">
        <v>1450</v>
      </c>
      <c r="J349" t="s">
        <v>114</v>
      </c>
      <c r="K349" s="73">
        <v>45288.741666666669</v>
      </c>
    </row>
    <row r="350" spans="1:11" x14ac:dyDescent="0.25">
      <c r="A350">
        <v>564</v>
      </c>
      <c r="B350" t="s">
        <v>1153</v>
      </c>
      <c r="C350" t="s">
        <v>118</v>
      </c>
      <c r="D350">
        <v>387</v>
      </c>
      <c r="E350">
        <v>1387</v>
      </c>
      <c r="F350" t="s">
        <v>1154</v>
      </c>
      <c r="G350" t="s">
        <v>1155</v>
      </c>
      <c r="H350"/>
      <c r="I350" t="s">
        <v>1450</v>
      </c>
      <c r="J350" t="s">
        <v>114</v>
      </c>
      <c r="K350" s="73">
        <v>45288.741666666669</v>
      </c>
    </row>
    <row r="351" spans="1:11" x14ac:dyDescent="0.25">
      <c r="A351">
        <v>565</v>
      </c>
      <c r="B351" t="s">
        <v>1156</v>
      </c>
      <c r="C351" t="s">
        <v>118</v>
      </c>
      <c r="D351">
        <v>344</v>
      </c>
      <c r="E351">
        <v>1344</v>
      </c>
      <c r="F351" t="s">
        <v>1157</v>
      </c>
      <c r="G351" t="s">
        <v>1158</v>
      </c>
      <c r="H351"/>
      <c r="I351" t="s">
        <v>1450</v>
      </c>
      <c r="J351" t="s">
        <v>114</v>
      </c>
      <c r="K351" s="73">
        <v>45288.741666666669</v>
      </c>
    </row>
    <row r="352" spans="1:11" x14ac:dyDescent="0.25">
      <c r="A352">
        <v>566</v>
      </c>
      <c r="B352" t="s">
        <v>1159</v>
      </c>
      <c r="C352" t="s">
        <v>118</v>
      </c>
      <c r="D352">
        <v>404</v>
      </c>
      <c r="E352">
        <v>1404</v>
      </c>
      <c r="F352" t="s">
        <v>1160</v>
      </c>
      <c r="G352" t="s">
        <v>1161</v>
      </c>
      <c r="H352"/>
      <c r="I352" t="s">
        <v>1449</v>
      </c>
      <c r="J352" t="s">
        <v>114</v>
      </c>
      <c r="K352" s="73">
        <v>45288.741666666669</v>
      </c>
    </row>
    <row r="353" spans="1:11" x14ac:dyDescent="0.25">
      <c r="A353">
        <v>567</v>
      </c>
      <c r="B353" t="s">
        <v>1162</v>
      </c>
      <c r="C353" t="s">
        <v>118</v>
      </c>
      <c r="D353">
        <v>391</v>
      </c>
      <c r="E353">
        <v>1391</v>
      </c>
      <c r="F353" t="s">
        <v>1163</v>
      </c>
      <c r="G353" t="s">
        <v>1164</v>
      </c>
      <c r="H353"/>
      <c r="I353" t="s">
        <v>1450</v>
      </c>
      <c r="J353" t="s">
        <v>114</v>
      </c>
      <c r="K353" s="73">
        <v>45288.741666666669</v>
      </c>
    </row>
    <row r="354" spans="1:11" x14ac:dyDescent="0.25">
      <c r="A354">
        <v>568</v>
      </c>
      <c r="B354" t="s">
        <v>1165</v>
      </c>
      <c r="C354" t="s">
        <v>118</v>
      </c>
      <c r="D354">
        <v>326</v>
      </c>
      <c r="E354">
        <v>1326</v>
      </c>
      <c r="F354" t="s">
        <v>1166</v>
      </c>
      <c r="G354" t="s">
        <v>1167</v>
      </c>
      <c r="H354"/>
      <c r="I354" t="s">
        <v>1450</v>
      </c>
      <c r="J354" t="s">
        <v>114</v>
      </c>
      <c r="K354" s="73">
        <v>45288.741666666669</v>
      </c>
    </row>
    <row r="355" spans="1:11" x14ac:dyDescent="0.25">
      <c r="A355">
        <v>569</v>
      </c>
      <c r="B355" t="s">
        <v>1168</v>
      </c>
      <c r="C355" t="s">
        <v>118</v>
      </c>
      <c r="D355">
        <v>393</v>
      </c>
      <c r="E355">
        <v>1393</v>
      </c>
      <c r="F355" t="s">
        <v>1169</v>
      </c>
      <c r="G355" t="s">
        <v>1170</v>
      </c>
      <c r="H355"/>
      <c r="I355" t="s">
        <v>1450</v>
      </c>
      <c r="J355" t="s">
        <v>114</v>
      </c>
      <c r="K355" s="73">
        <v>45288.741666666669</v>
      </c>
    </row>
    <row r="356" spans="1:11" x14ac:dyDescent="0.25">
      <c r="A356">
        <v>570</v>
      </c>
      <c r="B356" t="s">
        <v>1171</v>
      </c>
      <c r="C356" t="s">
        <v>118</v>
      </c>
      <c r="D356">
        <v>256</v>
      </c>
      <c r="E356">
        <v>1256</v>
      </c>
      <c r="F356" t="s">
        <v>1172</v>
      </c>
      <c r="G356" t="s">
        <v>1173</v>
      </c>
      <c r="H356"/>
      <c r="I356" t="s">
        <v>1450</v>
      </c>
      <c r="J356" t="s">
        <v>114</v>
      </c>
      <c r="K356" s="73">
        <v>45288.741666666669</v>
      </c>
    </row>
    <row r="357" spans="1:11" x14ac:dyDescent="0.25">
      <c r="A357">
        <v>571</v>
      </c>
      <c r="B357" t="s">
        <v>1174</v>
      </c>
      <c r="C357" t="s">
        <v>118</v>
      </c>
      <c r="D357">
        <v>98</v>
      </c>
      <c r="E357">
        <v>1098</v>
      </c>
      <c r="F357" t="s">
        <v>1175</v>
      </c>
      <c r="G357" t="s">
        <v>1176</v>
      </c>
      <c r="H357"/>
      <c r="I357" t="s">
        <v>1450</v>
      </c>
      <c r="J357" t="s">
        <v>114</v>
      </c>
      <c r="K357" s="73">
        <v>45288.741666666669</v>
      </c>
    </row>
    <row r="358" spans="1:11" x14ac:dyDescent="0.25">
      <c r="A358">
        <v>572</v>
      </c>
      <c r="B358" t="s">
        <v>1177</v>
      </c>
      <c r="C358" t="s">
        <v>118</v>
      </c>
      <c r="D358">
        <v>401</v>
      </c>
      <c r="E358">
        <v>1401</v>
      </c>
      <c r="F358" t="s">
        <v>1178</v>
      </c>
      <c r="G358" t="s">
        <v>1179</v>
      </c>
      <c r="H358"/>
      <c r="I358" t="s">
        <v>1449</v>
      </c>
      <c r="J358" t="s">
        <v>114</v>
      </c>
      <c r="K358" s="73">
        <v>45288.741666666669</v>
      </c>
    </row>
    <row r="359" spans="1:11" x14ac:dyDescent="0.25">
      <c r="A359">
        <v>573</v>
      </c>
      <c r="B359" t="s">
        <v>1180</v>
      </c>
      <c r="C359" t="s">
        <v>118</v>
      </c>
      <c r="D359">
        <v>394</v>
      </c>
      <c r="E359">
        <v>1394</v>
      </c>
      <c r="F359" t="s">
        <v>1181</v>
      </c>
      <c r="G359" t="s">
        <v>1182</v>
      </c>
      <c r="H359"/>
      <c r="I359" t="s">
        <v>1450</v>
      </c>
      <c r="J359" t="s">
        <v>114</v>
      </c>
      <c r="K359" s="73">
        <v>45288.741666666669</v>
      </c>
    </row>
    <row r="360" spans="1:11" x14ac:dyDescent="0.25">
      <c r="A360">
        <v>574</v>
      </c>
      <c r="B360" t="s">
        <v>1183</v>
      </c>
      <c r="C360" t="s">
        <v>118</v>
      </c>
      <c r="D360">
        <v>400</v>
      </c>
      <c r="E360">
        <v>1400</v>
      </c>
      <c r="F360" t="s">
        <v>1184</v>
      </c>
      <c r="G360" t="s">
        <v>1185</v>
      </c>
      <c r="H360"/>
      <c r="I360" t="s">
        <v>1449</v>
      </c>
      <c r="J360" t="s">
        <v>114</v>
      </c>
      <c r="K360" s="73">
        <v>45288.741666666669</v>
      </c>
    </row>
    <row r="361" spans="1:11" x14ac:dyDescent="0.25">
      <c r="A361">
        <v>575</v>
      </c>
      <c r="B361" t="s">
        <v>1186</v>
      </c>
      <c r="C361" t="s">
        <v>118</v>
      </c>
      <c r="D361">
        <v>253</v>
      </c>
      <c r="E361">
        <v>1253</v>
      </c>
      <c r="F361" t="s">
        <v>1187</v>
      </c>
      <c r="G361" t="s">
        <v>1188</v>
      </c>
      <c r="H361"/>
      <c r="I361" t="s">
        <v>1450</v>
      </c>
      <c r="J361" t="s">
        <v>114</v>
      </c>
      <c r="K361" s="73">
        <v>45288.741666666669</v>
      </c>
    </row>
    <row r="362" spans="1:11" x14ac:dyDescent="0.25">
      <c r="A362">
        <v>576</v>
      </c>
      <c r="B362" t="s">
        <v>1189</v>
      </c>
      <c r="C362" t="s">
        <v>118</v>
      </c>
      <c r="D362">
        <v>335</v>
      </c>
      <c r="E362">
        <v>1335</v>
      </c>
      <c r="F362" t="s">
        <v>1190</v>
      </c>
      <c r="G362" t="s">
        <v>1191</v>
      </c>
      <c r="H362"/>
      <c r="I362" t="s">
        <v>1450</v>
      </c>
      <c r="J362" t="s">
        <v>114</v>
      </c>
      <c r="K362" s="73">
        <v>45288.741666666669</v>
      </c>
    </row>
    <row r="363" spans="1:11" x14ac:dyDescent="0.25">
      <c r="A363">
        <v>577</v>
      </c>
      <c r="B363" t="s">
        <v>1192</v>
      </c>
      <c r="C363" t="s">
        <v>118</v>
      </c>
      <c r="D363">
        <v>437</v>
      </c>
      <c r="E363">
        <v>1437</v>
      </c>
      <c r="F363" t="s">
        <v>1193</v>
      </c>
      <c r="G363" t="s">
        <v>1194</v>
      </c>
      <c r="H363"/>
      <c r="I363" t="s">
        <v>1450</v>
      </c>
      <c r="J363" t="s">
        <v>114</v>
      </c>
      <c r="K363" s="73">
        <v>45288.741666666669</v>
      </c>
    </row>
    <row r="364" spans="1:11" x14ac:dyDescent="0.25">
      <c r="A364">
        <v>578</v>
      </c>
      <c r="B364" t="s">
        <v>1195</v>
      </c>
      <c r="C364" t="s">
        <v>118</v>
      </c>
      <c r="D364">
        <v>40</v>
      </c>
      <c r="E364">
        <v>1040</v>
      </c>
      <c r="F364" t="s">
        <v>1196</v>
      </c>
      <c r="G364" t="s">
        <v>1197</v>
      </c>
      <c r="H364"/>
      <c r="I364" t="s">
        <v>1450</v>
      </c>
      <c r="J364" t="s">
        <v>114</v>
      </c>
      <c r="K364" s="73">
        <v>45288.741666666669</v>
      </c>
    </row>
    <row r="365" spans="1:11" x14ac:dyDescent="0.25">
      <c r="A365">
        <v>579</v>
      </c>
      <c r="B365" t="s">
        <v>1198</v>
      </c>
      <c r="C365" t="s">
        <v>118</v>
      </c>
      <c r="D365">
        <v>301</v>
      </c>
      <c r="E365">
        <v>1301</v>
      </c>
      <c r="F365" t="s">
        <v>1199</v>
      </c>
      <c r="G365" t="s">
        <v>1200</v>
      </c>
      <c r="H365"/>
      <c r="I365" t="s">
        <v>1450</v>
      </c>
      <c r="J365" t="s">
        <v>114</v>
      </c>
      <c r="K365" s="73">
        <v>45288.741666666669</v>
      </c>
    </row>
    <row r="366" spans="1:11" x14ac:dyDescent="0.25">
      <c r="A366">
        <v>580</v>
      </c>
      <c r="B366" t="s">
        <v>1201</v>
      </c>
      <c r="C366" t="s">
        <v>118</v>
      </c>
      <c r="D366">
        <v>290</v>
      </c>
      <c r="E366">
        <v>1290</v>
      </c>
      <c r="F366" t="s">
        <v>1202</v>
      </c>
      <c r="G366" t="s">
        <v>1203</v>
      </c>
      <c r="H366"/>
      <c r="I366" t="s">
        <v>1450</v>
      </c>
      <c r="J366" t="s">
        <v>114</v>
      </c>
      <c r="K366" s="73">
        <v>45288.741666666669</v>
      </c>
    </row>
    <row r="367" spans="1:11" x14ac:dyDescent="0.25">
      <c r="A367">
        <v>581</v>
      </c>
      <c r="B367" t="s">
        <v>1204</v>
      </c>
      <c r="C367" t="s">
        <v>118</v>
      </c>
      <c r="D367">
        <v>328</v>
      </c>
      <c r="E367">
        <v>1328</v>
      </c>
      <c r="F367" t="s">
        <v>1205</v>
      </c>
      <c r="G367" t="s">
        <v>1206</v>
      </c>
      <c r="H367"/>
      <c r="I367" t="s">
        <v>1450</v>
      </c>
      <c r="J367" t="s">
        <v>114</v>
      </c>
      <c r="K367" s="73">
        <v>45288.741666666669</v>
      </c>
    </row>
    <row r="368" spans="1:11" x14ac:dyDescent="0.25">
      <c r="A368">
        <v>582</v>
      </c>
      <c r="B368" t="s">
        <v>1207</v>
      </c>
      <c r="C368" t="s">
        <v>118</v>
      </c>
      <c r="D368">
        <v>130</v>
      </c>
      <c r="E368">
        <v>1130</v>
      </c>
      <c r="F368" t="s">
        <v>1208</v>
      </c>
      <c r="G368" t="s">
        <v>1209</v>
      </c>
      <c r="H368"/>
      <c r="I368" t="s">
        <v>1450</v>
      </c>
      <c r="J368" t="s">
        <v>114</v>
      </c>
      <c r="K368" s="73">
        <v>45288.741666666669</v>
      </c>
    </row>
    <row r="369" spans="1:11" x14ac:dyDescent="0.25">
      <c r="A369">
        <v>583</v>
      </c>
      <c r="B369" t="s">
        <v>1210</v>
      </c>
      <c r="C369" t="s">
        <v>118</v>
      </c>
      <c r="D369">
        <v>16</v>
      </c>
      <c r="E369">
        <v>1016</v>
      </c>
      <c r="F369" t="s">
        <v>1211</v>
      </c>
      <c r="G369" t="s">
        <v>1212</v>
      </c>
      <c r="H369"/>
      <c r="I369" t="s">
        <v>1450</v>
      </c>
      <c r="J369" t="s">
        <v>114</v>
      </c>
      <c r="K369" s="73">
        <v>45288.741666666669</v>
      </c>
    </row>
    <row r="370" spans="1:11" x14ac:dyDescent="0.25">
      <c r="A370">
        <v>584</v>
      </c>
      <c r="B370" t="s">
        <v>1213</v>
      </c>
      <c r="C370" t="s">
        <v>118</v>
      </c>
      <c r="D370">
        <v>189</v>
      </c>
      <c r="E370">
        <v>1189</v>
      </c>
      <c r="F370" t="s">
        <v>1214</v>
      </c>
      <c r="G370" t="s">
        <v>1215</v>
      </c>
      <c r="H370"/>
      <c r="I370" t="s">
        <v>1450</v>
      </c>
      <c r="J370" t="s">
        <v>114</v>
      </c>
      <c r="K370" s="73">
        <v>45288.741666666669</v>
      </c>
    </row>
    <row r="371" spans="1:11" x14ac:dyDescent="0.25">
      <c r="A371">
        <v>585</v>
      </c>
      <c r="B371" t="s">
        <v>1216</v>
      </c>
      <c r="C371" t="s">
        <v>118</v>
      </c>
      <c r="D371">
        <v>330</v>
      </c>
      <c r="E371">
        <v>1330</v>
      </c>
      <c r="F371" t="s">
        <v>1217</v>
      </c>
      <c r="G371" t="s">
        <v>1218</v>
      </c>
      <c r="H371"/>
      <c r="I371" t="s">
        <v>1450</v>
      </c>
      <c r="J371" t="s">
        <v>114</v>
      </c>
      <c r="K371" s="73">
        <v>45288.741666666669</v>
      </c>
    </row>
    <row r="372" spans="1:11" x14ac:dyDescent="0.25">
      <c r="A372">
        <v>586</v>
      </c>
      <c r="B372" t="s">
        <v>1219</v>
      </c>
      <c r="C372" t="s">
        <v>118</v>
      </c>
      <c r="D372">
        <v>329</v>
      </c>
      <c r="E372">
        <v>1329</v>
      </c>
      <c r="F372" t="s">
        <v>1220</v>
      </c>
      <c r="G372" t="s">
        <v>1221</v>
      </c>
      <c r="H372"/>
      <c r="I372" t="s">
        <v>1450</v>
      </c>
      <c r="J372" t="s">
        <v>114</v>
      </c>
      <c r="K372" s="73">
        <v>45288.741666666669</v>
      </c>
    </row>
    <row r="373" spans="1:11" x14ac:dyDescent="0.25">
      <c r="A373">
        <v>587</v>
      </c>
      <c r="B373" t="s">
        <v>1222</v>
      </c>
      <c r="C373" t="s">
        <v>118</v>
      </c>
      <c r="D373">
        <v>190</v>
      </c>
      <c r="E373">
        <v>1190</v>
      </c>
      <c r="F373" t="s">
        <v>1223</v>
      </c>
      <c r="G373" t="s">
        <v>1224</v>
      </c>
      <c r="H373"/>
      <c r="I373" t="s">
        <v>1450</v>
      </c>
      <c r="J373" t="s">
        <v>114</v>
      </c>
      <c r="K373" s="73">
        <v>45288.741666666669</v>
      </c>
    </row>
    <row r="374" spans="1:11" x14ac:dyDescent="0.25">
      <c r="A374">
        <v>588</v>
      </c>
      <c r="B374" t="s">
        <v>1225</v>
      </c>
      <c r="C374" t="s">
        <v>118</v>
      </c>
      <c r="D374">
        <v>435</v>
      </c>
      <c r="E374">
        <v>1435</v>
      </c>
      <c r="F374" t="s">
        <v>1226</v>
      </c>
      <c r="G374" t="s">
        <v>1227</v>
      </c>
      <c r="H374"/>
      <c r="I374" t="s">
        <v>1450</v>
      </c>
      <c r="J374" t="s">
        <v>114</v>
      </c>
      <c r="K374" s="73">
        <v>45288.741666666669</v>
      </c>
    </row>
    <row r="375" spans="1:11" x14ac:dyDescent="0.25">
      <c r="A375">
        <v>589</v>
      </c>
      <c r="B375" t="s">
        <v>1228</v>
      </c>
      <c r="C375" t="s">
        <v>118</v>
      </c>
      <c r="D375">
        <v>178</v>
      </c>
      <c r="E375">
        <v>1178</v>
      </c>
      <c r="F375" t="s">
        <v>1229</v>
      </c>
      <c r="G375" t="s">
        <v>1230</v>
      </c>
      <c r="H375"/>
      <c r="I375" t="s">
        <v>1450</v>
      </c>
      <c r="J375" t="s">
        <v>114</v>
      </c>
      <c r="K375" s="73">
        <v>45288.741666666669</v>
      </c>
    </row>
    <row r="376" spans="1:11" x14ac:dyDescent="0.25">
      <c r="A376">
        <v>590</v>
      </c>
      <c r="B376" t="s">
        <v>1231</v>
      </c>
      <c r="C376" t="s">
        <v>118</v>
      </c>
      <c r="D376">
        <v>114</v>
      </c>
      <c r="E376">
        <v>1114</v>
      </c>
      <c r="F376" t="s">
        <v>1232</v>
      </c>
      <c r="G376" t="s">
        <v>1233</v>
      </c>
      <c r="H376"/>
      <c r="I376" t="s">
        <v>1450</v>
      </c>
      <c r="J376" t="s">
        <v>114</v>
      </c>
      <c r="K376" s="73">
        <v>45288.741666666669</v>
      </c>
    </row>
    <row r="377" spans="1:11" x14ac:dyDescent="0.25">
      <c r="A377">
        <v>591</v>
      </c>
      <c r="B377" t="s">
        <v>1234</v>
      </c>
      <c r="C377" t="s">
        <v>118</v>
      </c>
      <c r="D377">
        <v>331</v>
      </c>
      <c r="E377">
        <v>1331</v>
      </c>
      <c r="F377" t="s">
        <v>1235</v>
      </c>
      <c r="G377" t="s">
        <v>1236</v>
      </c>
      <c r="H377"/>
      <c r="I377" t="s">
        <v>1450</v>
      </c>
      <c r="J377" t="s">
        <v>114</v>
      </c>
      <c r="K377" s="73">
        <v>45288.741666666669</v>
      </c>
    </row>
    <row r="378" spans="1:11" x14ac:dyDescent="0.25">
      <c r="A378">
        <v>592</v>
      </c>
      <c r="B378" t="s">
        <v>1237</v>
      </c>
      <c r="C378" t="s">
        <v>118</v>
      </c>
      <c r="D378">
        <v>85</v>
      </c>
      <c r="E378">
        <v>1085</v>
      </c>
      <c r="F378" t="s">
        <v>1238</v>
      </c>
      <c r="G378" t="s">
        <v>1239</v>
      </c>
      <c r="H378"/>
      <c r="I378" t="s">
        <v>1450</v>
      </c>
      <c r="J378" t="s">
        <v>114</v>
      </c>
      <c r="K378" s="73">
        <v>45288.741666666669</v>
      </c>
    </row>
    <row r="379" spans="1:11" x14ac:dyDescent="0.25">
      <c r="A379">
        <v>593</v>
      </c>
      <c r="B379" t="s">
        <v>1240</v>
      </c>
      <c r="C379" t="s">
        <v>118</v>
      </c>
      <c r="D379">
        <v>142</v>
      </c>
      <c r="E379">
        <v>1142</v>
      </c>
      <c r="F379" t="s">
        <v>1241</v>
      </c>
      <c r="G379" t="s">
        <v>1242</v>
      </c>
      <c r="H379"/>
      <c r="I379" t="s">
        <v>1450</v>
      </c>
      <c r="J379" t="s">
        <v>114</v>
      </c>
      <c r="K379" s="73">
        <v>45288.741666666669</v>
      </c>
    </row>
    <row r="380" spans="1:11" x14ac:dyDescent="0.25">
      <c r="A380">
        <v>594</v>
      </c>
      <c r="B380" t="s">
        <v>1243</v>
      </c>
      <c r="C380" t="s">
        <v>118</v>
      </c>
      <c r="D380">
        <v>147</v>
      </c>
      <c r="E380">
        <v>1147</v>
      </c>
      <c r="F380" t="s">
        <v>1244</v>
      </c>
      <c r="G380" t="s">
        <v>1245</v>
      </c>
      <c r="H380"/>
      <c r="I380" t="s">
        <v>1450</v>
      </c>
      <c r="J380" t="s">
        <v>114</v>
      </c>
      <c r="K380" s="73">
        <v>45288.741666666669</v>
      </c>
    </row>
    <row r="381" spans="1:11" x14ac:dyDescent="0.25">
      <c r="A381">
        <v>595</v>
      </c>
      <c r="B381" t="s">
        <v>1246</v>
      </c>
      <c r="C381" t="s">
        <v>118</v>
      </c>
      <c r="D381">
        <v>186</v>
      </c>
      <c r="E381">
        <v>1186</v>
      </c>
      <c r="F381" t="s">
        <v>1247</v>
      </c>
      <c r="G381" t="s">
        <v>1248</v>
      </c>
      <c r="H381"/>
      <c r="I381" t="s">
        <v>1450</v>
      </c>
      <c r="J381" t="s">
        <v>114</v>
      </c>
      <c r="K381" s="73">
        <v>45288.741666666669</v>
      </c>
    </row>
    <row r="382" spans="1:11" x14ac:dyDescent="0.25">
      <c r="A382">
        <v>596</v>
      </c>
      <c r="B382" t="s">
        <v>1249</v>
      </c>
      <c r="C382" t="s">
        <v>118</v>
      </c>
      <c r="D382">
        <v>135</v>
      </c>
      <c r="E382">
        <v>1135</v>
      </c>
      <c r="F382" t="s">
        <v>1250</v>
      </c>
      <c r="G382" t="s">
        <v>1251</v>
      </c>
      <c r="H382"/>
      <c r="I382" t="s">
        <v>1450</v>
      </c>
      <c r="J382" t="s">
        <v>114</v>
      </c>
      <c r="K382" s="73">
        <v>45288.741666666669</v>
      </c>
    </row>
    <row r="383" spans="1:11" x14ac:dyDescent="0.25">
      <c r="A383">
        <v>597</v>
      </c>
      <c r="B383" t="s">
        <v>1252</v>
      </c>
      <c r="C383" t="s">
        <v>118</v>
      </c>
      <c r="D383">
        <v>115</v>
      </c>
      <c r="E383">
        <v>1115</v>
      </c>
      <c r="F383" t="s">
        <v>1253</v>
      </c>
      <c r="G383" t="s">
        <v>1254</v>
      </c>
      <c r="H383"/>
      <c r="I383" t="s">
        <v>1450</v>
      </c>
      <c r="J383" t="s">
        <v>114</v>
      </c>
      <c r="K383" s="73">
        <v>45288.741666666669</v>
      </c>
    </row>
    <row r="384" spans="1:11" x14ac:dyDescent="0.25">
      <c r="A384">
        <v>598</v>
      </c>
      <c r="B384" t="s">
        <v>1255</v>
      </c>
      <c r="C384" t="s">
        <v>118</v>
      </c>
      <c r="D384">
        <v>124</v>
      </c>
      <c r="E384">
        <v>1124</v>
      </c>
      <c r="F384" t="s">
        <v>1256</v>
      </c>
      <c r="G384" t="s">
        <v>1257</v>
      </c>
      <c r="H384"/>
      <c r="I384" t="s">
        <v>1450</v>
      </c>
      <c r="J384" t="s">
        <v>114</v>
      </c>
      <c r="K384" s="73">
        <v>45288.741666666669</v>
      </c>
    </row>
    <row r="385" spans="1:11" x14ac:dyDescent="0.25">
      <c r="A385">
        <v>599</v>
      </c>
      <c r="B385" t="s">
        <v>1258</v>
      </c>
      <c r="C385" t="s">
        <v>118</v>
      </c>
      <c r="D385">
        <v>303</v>
      </c>
      <c r="E385">
        <v>1303</v>
      </c>
      <c r="F385" t="s">
        <v>1259</v>
      </c>
      <c r="G385" t="s">
        <v>1260</v>
      </c>
      <c r="H385"/>
      <c r="I385" t="s">
        <v>1450</v>
      </c>
      <c r="J385" t="s">
        <v>114</v>
      </c>
      <c r="K385" s="73">
        <v>45288.741666666669</v>
      </c>
    </row>
    <row r="386" spans="1:11" x14ac:dyDescent="0.25">
      <c r="A386">
        <v>600</v>
      </c>
      <c r="B386" t="s">
        <v>1261</v>
      </c>
      <c r="C386" t="s">
        <v>118</v>
      </c>
      <c r="D386">
        <v>118</v>
      </c>
      <c r="E386">
        <v>1118</v>
      </c>
      <c r="F386" t="s">
        <v>1262</v>
      </c>
      <c r="G386" t="s">
        <v>1263</v>
      </c>
      <c r="H386"/>
      <c r="I386" t="s">
        <v>1450</v>
      </c>
      <c r="J386" t="s">
        <v>114</v>
      </c>
      <c r="K386" s="73">
        <v>45288.741666666669</v>
      </c>
    </row>
    <row r="387" spans="1:11" x14ac:dyDescent="0.25">
      <c r="A387">
        <v>601</v>
      </c>
      <c r="B387" t="s">
        <v>1264</v>
      </c>
      <c r="C387" t="s">
        <v>118</v>
      </c>
      <c r="D387">
        <v>119</v>
      </c>
      <c r="E387">
        <v>1119</v>
      </c>
      <c r="F387" t="s">
        <v>1265</v>
      </c>
      <c r="G387" t="s">
        <v>1266</v>
      </c>
      <c r="H387"/>
      <c r="I387" t="s">
        <v>1450</v>
      </c>
      <c r="J387" t="s">
        <v>114</v>
      </c>
      <c r="K387" s="73">
        <v>45288.741666666669</v>
      </c>
    </row>
    <row r="388" spans="1:11" x14ac:dyDescent="0.25">
      <c r="A388">
        <v>602</v>
      </c>
      <c r="B388" t="s">
        <v>1267</v>
      </c>
      <c r="C388" t="s">
        <v>118</v>
      </c>
      <c r="D388">
        <v>355</v>
      </c>
      <c r="E388">
        <v>1355</v>
      </c>
      <c r="F388" t="s">
        <v>1268</v>
      </c>
      <c r="G388" t="s">
        <v>1269</v>
      </c>
      <c r="H388"/>
      <c r="I388" t="s">
        <v>1450</v>
      </c>
      <c r="J388" t="s">
        <v>114</v>
      </c>
      <c r="K388" s="73">
        <v>45288.741666666669</v>
      </c>
    </row>
    <row r="389" spans="1:11" x14ac:dyDescent="0.25">
      <c r="A389">
        <v>603</v>
      </c>
      <c r="B389" t="s">
        <v>1270</v>
      </c>
      <c r="C389" t="s">
        <v>118</v>
      </c>
      <c r="D389">
        <v>48</v>
      </c>
      <c r="E389">
        <v>1048</v>
      </c>
      <c r="F389" t="s">
        <v>1271</v>
      </c>
      <c r="G389" t="s">
        <v>1272</v>
      </c>
      <c r="H389"/>
      <c r="I389" t="s">
        <v>1450</v>
      </c>
      <c r="J389" t="s">
        <v>114</v>
      </c>
      <c r="K389" s="73">
        <v>45288.741666666669</v>
      </c>
    </row>
    <row r="390" spans="1:11" x14ac:dyDescent="0.25">
      <c r="A390">
        <v>604</v>
      </c>
      <c r="B390" t="s">
        <v>1273</v>
      </c>
      <c r="C390" t="s">
        <v>118</v>
      </c>
      <c r="D390">
        <v>132</v>
      </c>
      <c r="E390">
        <v>1132</v>
      </c>
      <c r="F390" t="s">
        <v>1274</v>
      </c>
      <c r="G390" t="s">
        <v>1275</v>
      </c>
      <c r="H390"/>
      <c r="I390" t="s">
        <v>1450</v>
      </c>
      <c r="J390" t="s">
        <v>114</v>
      </c>
      <c r="K390" s="73">
        <v>45288.741666666669</v>
      </c>
    </row>
    <row r="391" spans="1:11" x14ac:dyDescent="0.25">
      <c r="A391">
        <v>605</v>
      </c>
      <c r="B391" t="s">
        <v>1276</v>
      </c>
      <c r="C391" t="s">
        <v>118</v>
      </c>
      <c r="D391">
        <v>131</v>
      </c>
      <c r="E391">
        <v>1131</v>
      </c>
      <c r="F391" t="s">
        <v>1277</v>
      </c>
      <c r="G391" t="s">
        <v>1278</v>
      </c>
      <c r="H391"/>
      <c r="I391" t="s">
        <v>1450</v>
      </c>
      <c r="J391" t="s">
        <v>114</v>
      </c>
      <c r="K391" s="73">
        <v>45288.741666666669</v>
      </c>
    </row>
    <row r="392" spans="1:11" x14ac:dyDescent="0.25">
      <c r="A392">
        <v>606</v>
      </c>
      <c r="B392" t="s">
        <v>1279</v>
      </c>
      <c r="C392" t="s">
        <v>118</v>
      </c>
      <c r="D392">
        <v>143</v>
      </c>
      <c r="E392">
        <v>1143</v>
      </c>
      <c r="F392" t="s">
        <v>1280</v>
      </c>
      <c r="G392" t="s">
        <v>1281</v>
      </c>
      <c r="H392"/>
      <c r="I392" t="s">
        <v>1450</v>
      </c>
      <c r="J392" t="s">
        <v>114</v>
      </c>
      <c r="K392" s="73">
        <v>45288.741666666669</v>
      </c>
    </row>
    <row r="393" spans="1:11" x14ac:dyDescent="0.25">
      <c r="A393">
        <v>607</v>
      </c>
      <c r="B393" t="s">
        <v>1282</v>
      </c>
      <c r="C393" t="s">
        <v>118</v>
      </c>
      <c r="D393">
        <v>110</v>
      </c>
      <c r="E393">
        <v>1110</v>
      </c>
      <c r="F393" t="s">
        <v>1283</v>
      </c>
      <c r="G393" t="s">
        <v>1284</v>
      </c>
      <c r="H393"/>
      <c r="I393" t="s">
        <v>1450</v>
      </c>
      <c r="J393" t="s">
        <v>114</v>
      </c>
      <c r="K393" s="73">
        <v>45288.741666666669</v>
      </c>
    </row>
    <row r="394" spans="1:11" x14ac:dyDescent="0.25">
      <c r="A394">
        <v>608</v>
      </c>
      <c r="B394" t="s">
        <v>1285</v>
      </c>
      <c r="C394" t="s">
        <v>118</v>
      </c>
      <c r="D394">
        <v>294</v>
      </c>
      <c r="E394">
        <v>1294</v>
      </c>
      <c r="F394" t="s">
        <v>1286</v>
      </c>
      <c r="G394" t="s">
        <v>1287</v>
      </c>
      <c r="H394"/>
      <c r="I394" t="s">
        <v>1450</v>
      </c>
      <c r="J394" t="s">
        <v>114</v>
      </c>
      <c r="K394" s="73">
        <v>45288.741666666669</v>
      </c>
    </row>
    <row r="395" spans="1:11" x14ac:dyDescent="0.25">
      <c r="A395">
        <v>609</v>
      </c>
      <c r="B395" t="s">
        <v>1288</v>
      </c>
      <c r="C395" t="s">
        <v>118</v>
      </c>
      <c r="D395">
        <v>181</v>
      </c>
      <c r="E395">
        <v>1181</v>
      </c>
      <c r="F395" t="s">
        <v>1289</v>
      </c>
      <c r="G395" t="s">
        <v>1290</v>
      </c>
      <c r="H395"/>
      <c r="I395" t="s">
        <v>1450</v>
      </c>
      <c r="J395" t="s">
        <v>114</v>
      </c>
      <c r="K395" s="73">
        <v>45288.741666666669</v>
      </c>
    </row>
    <row r="396" spans="1:11" x14ac:dyDescent="0.25">
      <c r="A396">
        <v>610</v>
      </c>
      <c r="B396" t="s">
        <v>1291</v>
      </c>
      <c r="C396" t="s">
        <v>118</v>
      </c>
      <c r="D396">
        <v>299</v>
      </c>
      <c r="E396">
        <v>1299</v>
      </c>
      <c r="F396" t="s">
        <v>1292</v>
      </c>
      <c r="G396" t="s">
        <v>1293</v>
      </c>
      <c r="H396"/>
      <c r="I396" t="s">
        <v>1450</v>
      </c>
      <c r="J396" t="s">
        <v>114</v>
      </c>
      <c r="K396" s="73">
        <v>45288.741666666669</v>
      </c>
    </row>
    <row r="397" spans="1:11" x14ac:dyDescent="0.25">
      <c r="A397">
        <v>611</v>
      </c>
      <c r="B397" t="s">
        <v>1294</v>
      </c>
      <c r="C397" t="s">
        <v>118</v>
      </c>
      <c r="D397">
        <v>145</v>
      </c>
      <c r="E397">
        <v>1145</v>
      </c>
      <c r="F397" t="s">
        <v>1295</v>
      </c>
      <c r="G397" t="s">
        <v>1296</v>
      </c>
      <c r="H397"/>
      <c r="I397" t="s">
        <v>1450</v>
      </c>
      <c r="J397" t="s">
        <v>114</v>
      </c>
      <c r="K397" s="73">
        <v>45288.741666666669</v>
      </c>
    </row>
    <row r="398" spans="1:11" x14ac:dyDescent="0.25">
      <c r="A398">
        <v>612</v>
      </c>
      <c r="B398" t="s">
        <v>1297</v>
      </c>
      <c r="C398" t="s">
        <v>118</v>
      </c>
      <c r="D398">
        <v>155</v>
      </c>
      <c r="E398">
        <v>1155</v>
      </c>
      <c r="F398" t="s">
        <v>1298</v>
      </c>
      <c r="G398" t="s">
        <v>1299</v>
      </c>
      <c r="H398"/>
      <c r="I398" t="s">
        <v>1450</v>
      </c>
      <c r="J398" t="s">
        <v>114</v>
      </c>
      <c r="K398" s="73">
        <v>45288.741666666669</v>
      </c>
    </row>
    <row r="399" spans="1:11" x14ac:dyDescent="0.25">
      <c r="A399">
        <v>613</v>
      </c>
      <c r="B399" t="s">
        <v>144</v>
      </c>
      <c r="C399" t="s">
        <v>118</v>
      </c>
      <c r="D399">
        <v>43</v>
      </c>
      <c r="E399">
        <v>1043</v>
      </c>
      <c r="F399" t="s">
        <v>1300</v>
      </c>
      <c r="G399" t="s">
        <v>1301</v>
      </c>
      <c r="H399"/>
      <c r="I399" t="s">
        <v>1450</v>
      </c>
      <c r="J399" t="s">
        <v>114</v>
      </c>
      <c r="K399" s="73">
        <v>45288.741666666669</v>
      </c>
    </row>
    <row r="400" spans="1:11" x14ac:dyDescent="0.25">
      <c r="A400">
        <v>614</v>
      </c>
      <c r="B400" t="s">
        <v>1302</v>
      </c>
      <c r="C400" t="s">
        <v>118</v>
      </c>
      <c r="D400">
        <v>35</v>
      </c>
      <c r="E400">
        <v>1035</v>
      </c>
      <c r="F400" t="s">
        <v>1303</v>
      </c>
      <c r="G400" t="s">
        <v>1304</v>
      </c>
      <c r="H400"/>
      <c r="I400" t="s">
        <v>1450</v>
      </c>
      <c r="J400" t="s">
        <v>114</v>
      </c>
      <c r="K400" s="73">
        <v>45288.741666666669</v>
      </c>
    </row>
    <row r="401" spans="1:11" x14ac:dyDescent="0.25">
      <c r="A401">
        <v>615</v>
      </c>
      <c r="B401" t="s">
        <v>1305</v>
      </c>
      <c r="C401" t="s">
        <v>118</v>
      </c>
      <c r="D401">
        <v>34</v>
      </c>
      <c r="E401">
        <v>1034</v>
      </c>
      <c r="F401" t="s">
        <v>1306</v>
      </c>
      <c r="G401" t="s">
        <v>1307</v>
      </c>
      <c r="H401"/>
      <c r="I401" t="s">
        <v>1450</v>
      </c>
      <c r="J401" t="s">
        <v>114</v>
      </c>
      <c r="K401" s="73">
        <v>45288.741666666669</v>
      </c>
    </row>
    <row r="402" spans="1:11" x14ac:dyDescent="0.25">
      <c r="A402">
        <v>616</v>
      </c>
      <c r="B402" t="s">
        <v>1308</v>
      </c>
      <c r="C402" t="s">
        <v>118</v>
      </c>
      <c r="D402">
        <v>445</v>
      </c>
      <c r="E402">
        <v>1445</v>
      </c>
      <c r="F402" t="s">
        <v>1309</v>
      </c>
      <c r="G402" t="s">
        <v>1310</v>
      </c>
      <c r="H402"/>
      <c r="I402" t="s">
        <v>1450</v>
      </c>
      <c r="J402" t="s">
        <v>114</v>
      </c>
      <c r="K402" s="73">
        <v>45288.741666666669</v>
      </c>
    </row>
    <row r="403" spans="1:11" x14ac:dyDescent="0.25">
      <c r="A403">
        <v>617</v>
      </c>
      <c r="B403" t="s">
        <v>1311</v>
      </c>
      <c r="C403" t="s">
        <v>118</v>
      </c>
      <c r="D403">
        <v>426</v>
      </c>
      <c r="E403">
        <v>1426</v>
      </c>
      <c r="F403" t="s">
        <v>1312</v>
      </c>
      <c r="G403" t="s">
        <v>1313</v>
      </c>
      <c r="H403"/>
      <c r="I403" t="s">
        <v>1450</v>
      </c>
      <c r="J403" t="s">
        <v>114</v>
      </c>
      <c r="K403" s="73">
        <v>45288.741666666669</v>
      </c>
    </row>
    <row r="404" spans="1:11" x14ac:dyDescent="0.25">
      <c r="A404">
        <v>618</v>
      </c>
      <c r="B404" t="s">
        <v>1314</v>
      </c>
      <c r="C404" t="s">
        <v>118</v>
      </c>
      <c r="D404">
        <v>79</v>
      </c>
      <c r="E404">
        <v>1079</v>
      </c>
      <c r="F404" t="s">
        <v>1315</v>
      </c>
      <c r="G404" t="s">
        <v>1316</v>
      </c>
      <c r="H404"/>
      <c r="I404" t="s">
        <v>1450</v>
      </c>
      <c r="J404" t="s">
        <v>114</v>
      </c>
      <c r="K404" s="73">
        <v>45288.741666666669</v>
      </c>
    </row>
    <row r="405" spans="1:11" x14ac:dyDescent="0.25">
      <c r="A405">
        <v>619</v>
      </c>
      <c r="B405" t="s">
        <v>1317</v>
      </c>
      <c r="C405" t="s">
        <v>118</v>
      </c>
      <c r="D405">
        <v>75</v>
      </c>
      <c r="E405">
        <v>1075</v>
      </c>
      <c r="F405" t="s">
        <v>1318</v>
      </c>
      <c r="G405" t="s">
        <v>1319</v>
      </c>
      <c r="H405"/>
      <c r="I405" t="s">
        <v>1450</v>
      </c>
      <c r="J405" t="s">
        <v>114</v>
      </c>
      <c r="K405" s="73">
        <v>45288.741666666669</v>
      </c>
    </row>
    <row r="406" spans="1:11" x14ac:dyDescent="0.25">
      <c r="A406">
        <v>620</v>
      </c>
      <c r="B406" t="s">
        <v>1320</v>
      </c>
      <c r="C406" t="s">
        <v>118</v>
      </c>
      <c r="D406">
        <v>136</v>
      </c>
      <c r="E406">
        <v>1136</v>
      </c>
      <c r="F406" t="s">
        <v>1321</v>
      </c>
      <c r="G406" t="s">
        <v>1322</v>
      </c>
      <c r="H406"/>
      <c r="I406" t="s">
        <v>1450</v>
      </c>
      <c r="J406" t="s">
        <v>114</v>
      </c>
      <c r="K406" s="73">
        <v>45288.741666666669</v>
      </c>
    </row>
    <row r="407" spans="1:11" x14ac:dyDescent="0.25">
      <c r="A407">
        <v>621</v>
      </c>
      <c r="B407" t="s">
        <v>1323</v>
      </c>
      <c r="C407" t="s">
        <v>118</v>
      </c>
      <c r="D407">
        <v>137</v>
      </c>
      <c r="E407">
        <v>1137</v>
      </c>
      <c r="F407" t="s">
        <v>1324</v>
      </c>
      <c r="G407" t="s">
        <v>1325</v>
      </c>
      <c r="H407"/>
      <c r="I407" t="s">
        <v>1450</v>
      </c>
      <c r="J407" t="s">
        <v>114</v>
      </c>
      <c r="K407" s="73">
        <v>45288.741666666669</v>
      </c>
    </row>
    <row r="408" spans="1:11" x14ac:dyDescent="0.25">
      <c r="A408">
        <v>622</v>
      </c>
      <c r="B408" t="s">
        <v>1326</v>
      </c>
      <c r="C408" t="s">
        <v>118</v>
      </c>
      <c r="D408">
        <v>433</v>
      </c>
      <c r="E408">
        <v>1433</v>
      </c>
      <c r="F408" t="s">
        <v>1327</v>
      </c>
      <c r="G408" t="s">
        <v>1328</v>
      </c>
      <c r="H408"/>
      <c r="I408" t="s">
        <v>1450</v>
      </c>
      <c r="J408" t="s">
        <v>114</v>
      </c>
      <c r="K408" s="73">
        <v>45288.741666666669</v>
      </c>
    </row>
    <row r="409" spans="1:11" x14ac:dyDescent="0.25">
      <c r="A409">
        <v>623</v>
      </c>
      <c r="B409" t="s">
        <v>1329</v>
      </c>
      <c r="C409" t="s">
        <v>118</v>
      </c>
      <c r="D409">
        <v>316</v>
      </c>
      <c r="E409">
        <v>1316</v>
      </c>
      <c r="F409" t="s">
        <v>1330</v>
      </c>
      <c r="G409" t="s">
        <v>1331</v>
      </c>
      <c r="H409"/>
      <c r="I409" t="s">
        <v>1450</v>
      </c>
      <c r="J409" t="s">
        <v>114</v>
      </c>
      <c r="K409" s="73">
        <v>45288.741666666669</v>
      </c>
    </row>
    <row r="410" spans="1:11" x14ac:dyDescent="0.25">
      <c r="A410">
        <v>624</v>
      </c>
      <c r="B410" t="s">
        <v>1332</v>
      </c>
      <c r="C410" t="s">
        <v>118</v>
      </c>
      <c r="D410">
        <v>320</v>
      </c>
      <c r="E410">
        <v>1320</v>
      </c>
      <c r="F410" t="s">
        <v>1333</v>
      </c>
      <c r="G410" t="s">
        <v>1334</v>
      </c>
      <c r="H410"/>
      <c r="I410" t="s">
        <v>1450</v>
      </c>
      <c r="J410" t="s">
        <v>114</v>
      </c>
      <c r="K410" s="73">
        <v>45288.741666666669</v>
      </c>
    </row>
    <row r="411" spans="1:11" x14ac:dyDescent="0.25">
      <c r="A411">
        <v>625</v>
      </c>
      <c r="B411" t="s">
        <v>1335</v>
      </c>
      <c r="C411" t="s">
        <v>118</v>
      </c>
      <c r="D411">
        <v>366</v>
      </c>
      <c r="E411">
        <v>1366</v>
      </c>
      <c r="F411" t="s">
        <v>1336</v>
      </c>
      <c r="G411" t="s">
        <v>1337</v>
      </c>
      <c r="H411"/>
      <c r="I411" t="s">
        <v>1450</v>
      </c>
      <c r="J411" t="s">
        <v>114</v>
      </c>
      <c r="K411" s="73">
        <v>45288.741666666669</v>
      </c>
    </row>
    <row r="412" spans="1:11" x14ac:dyDescent="0.25">
      <c r="A412">
        <v>626</v>
      </c>
      <c r="B412" t="s">
        <v>1338</v>
      </c>
      <c r="C412" t="s">
        <v>118</v>
      </c>
      <c r="D412">
        <v>323</v>
      </c>
      <c r="E412">
        <v>1323</v>
      </c>
      <c r="F412" t="s">
        <v>1339</v>
      </c>
      <c r="G412" t="s">
        <v>1340</v>
      </c>
      <c r="H412"/>
      <c r="I412" t="s">
        <v>1450</v>
      </c>
      <c r="J412" t="s">
        <v>114</v>
      </c>
      <c r="K412" s="73">
        <v>45288.741666666669</v>
      </c>
    </row>
    <row r="413" spans="1:11" x14ac:dyDescent="0.25">
      <c r="A413">
        <v>627</v>
      </c>
      <c r="B413" t="s">
        <v>1341</v>
      </c>
      <c r="C413" t="s">
        <v>118</v>
      </c>
      <c r="D413">
        <v>327</v>
      </c>
      <c r="E413">
        <v>1327</v>
      </c>
      <c r="F413" t="s">
        <v>1342</v>
      </c>
      <c r="G413" t="s">
        <v>1343</v>
      </c>
      <c r="H413"/>
      <c r="I413" t="s">
        <v>1450</v>
      </c>
      <c r="J413" t="s">
        <v>114</v>
      </c>
      <c r="K413" s="73">
        <v>45288.741666666669</v>
      </c>
    </row>
    <row r="414" spans="1:11" x14ac:dyDescent="0.25">
      <c r="A414">
        <v>628</v>
      </c>
      <c r="B414" t="s">
        <v>1344</v>
      </c>
      <c r="C414" t="s">
        <v>118</v>
      </c>
      <c r="D414">
        <v>269</v>
      </c>
      <c r="E414">
        <v>1269</v>
      </c>
      <c r="F414" t="s">
        <v>1345</v>
      </c>
      <c r="G414" t="s">
        <v>1346</v>
      </c>
      <c r="H414"/>
      <c r="I414" t="s">
        <v>1450</v>
      </c>
      <c r="J414" t="s">
        <v>114</v>
      </c>
      <c r="K414" s="73">
        <v>45288.741666666669</v>
      </c>
    </row>
    <row r="415" spans="1:11" x14ac:dyDescent="0.25">
      <c r="A415">
        <v>629</v>
      </c>
      <c r="B415" t="s">
        <v>1347</v>
      </c>
      <c r="C415" t="s">
        <v>118</v>
      </c>
      <c r="D415">
        <v>245</v>
      </c>
      <c r="E415">
        <v>1245</v>
      </c>
      <c r="F415" t="s">
        <v>1348</v>
      </c>
      <c r="G415" t="s">
        <v>1349</v>
      </c>
      <c r="H415"/>
      <c r="I415" t="s">
        <v>1450</v>
      </c>
      <c r="J415" t="s">
        <v>114</v>
      </c>
      <c r="K415" s="73">
        <v>45288.741666666669</v>
      </c>
    </row>
    <row r="416" spans="1:11" x14ac:dyDescent="0.25">
      <c r="A416">
        <v>630</v>
      </c>
      <c r="B416" t="s">
        <v>1350</v>
      </c>
      <c r="C416" t="s">
        <v>118</v>
      </c>
      <c r="D416">
        <v>47</v>
      </c>
      <c r="E416">
        <v>1047</v>
      </c>
      <c r="F416" t="s">
        <v>1351</v>
      </c>
      <c r="G416" t="s">
        <v>1352</v>
      </c>
      <c r="H416"/>
      <c r="I416" t="s">
        <v>1450</v>
      </c>
      <c r="J416" t="s">
        <v>114</v>
      </c>
      <c r="K416" s="73">
        <v>45288.741666666669</v>
      </c>
    </row>
    <row r="417" spans="1:11" x14ac:dyDescent="0.25">
      <c r="A417">
        <v>631</v>
      </c>
      <c r="B417" t="s">
        <v>1353</v>
      </c>
      <c r="C417" t="s">
        <v>118</v>
      </c>
      <c r="D417">
        <v>260</v>
      </c>
      <c r="E417">
        <v>1260</v>
      </c>
      <c r="F417" t="s">
        <v>1354</v>
      </c>
      <c r="G417" t="s">
        <v>1355</v>
      </c>
      <c r="H417"/>
      <c r="I417" t="s">
        <v>1450</v>
      </c>
      <c r="J417" t="s">
        <v>114</v>
      </c>
      <c r="K417" s="73">
        <v>45288.741666666669</v>
      </c>
    </row>
    <row r="418" spans="1:11" x14ac:dyDescent="0.25">
      <c r="A418">
        <v>632</v>
      </c>
      <c r="B418" t="s">
        <v>1356</v>
      </c>
      <c r="C418" t="s">
        <v>118</v>
      </c>
      <c r="D418">
        <v>261</v>
      </c>
      <c r="E418">
        <v>1261</v>
      </c>
      <c r="F418" t="s">
        <v>1357</v>
      </c>
      <c r="G418" t="s">
        <v>1358</v>
      </c>
      <c r="H418"/>
      <c r="I418" t="s">
        <v>1450</v>
      </c>
      <c r="J418" t="s">
        <v>114</v>
      </c>
      <c r="K418" s="73">
        <v>45288.741666666669</v>
      </c>
    </row>
    <row r="419" spans="1:11" x14ac:dyDescent="0.25">
      <c r="A419">
        <v>633</v>
      </c>
      <c r="B419" t="s">
        <v>1359</v>
      </c>
      <c r="C419" t="s">
        <v>118</v>
      </c>
      <c r="D419">
        <v>68</v>
      </c>
      <c r="E419">
        <v>1068</v>
      </c>
      <c r="F419" t="s">
        <v>1360</v>
      </c>
      <c r="G419" t="s">
        <v>1361</v>
      </c>
      <c r="H419"/>
      <c r="I419" t="s">
        <v>1450</v>
      </c>
      <c r="J419" t="s">
        <v>114</v>
      </c>
      <c r="K419" s="73">
        <v>45288.741666666669</v>
      </c>
    </row>
    <row r="420" spans="1:11" x14ac:dyDescent="0.25">
      <c r="A420">
        <v>634</v>
      </c>
      <c r="B420" t="s">
        <v>1362</v>
      </c>
      <c r="C420" t="s">
        <v>118</v>
      </c>
      <c r="D420">
        <v>99</v>
      </c>
      <c r="E420">
        <v>1099</v>
      </c>
      <c r="F420" t="s">
        <v>1363</v>
      </c>
      <c r="G420" t="s">
        <v>1364</v>
      </c>
      <c r="H420"/>
      <c r="I420" t="s">
        <v>1450</v>
      </c>
      <c r="J420" t="s">
        <v>114</v>
      </c>
      <c r="K420" s="73">
        <v>45288.741666666669</v>
      </c>
    </row>
    <row r="421" spans="1:11" x14ac:dyDescent="0.25">
      <c r="A421">
        <v>635</v>
      </c>
      <c r="B421" t="s">
        <v>1365</v>
      </c>
      <c r="C421" t="s">
        <v>118</v>
      </c>
      <c r="D421">
        <v>412</v>
      </c>
      <c r="E421">
        <v>1412</v>
      </c>
      <c r="F421" t="s">
        <v>1366</v>
      </c>
      <c r="G421" t="s">
        <v>1367</v>
      </c>
      <c r="H421"/>
      <c r="I421" t="s">
        <v>1449</v>
      </c>
      <c r="J421" t="s">
        <v>114</v>
      </c>
      <c r="K421" s="73">
        <v>45288.741666666669</v>
      </c>
    </row>
    <row r="422" spans="1:11" x14ac:dyDescent="0.25">
      <c r="A422">
        <v>636</v>
      </c>
      <c r="B422" t="s">
        <v>1368</v>
      </c>
      <c r="C422" t="s">
        <v>118</v>
      </c>
      <c r="D422">
        <v>14</v>
      </c>
      <c r="E422">
        <v>1014</v>
      </c>
      <c r="F422" t="s">
        <v>1369</v>
      </c>
      <c r="G422" t="s">
        <v>1370</v>
      </c>
      <c r="H422"/>
      <c r="I422" t="s">
        <v>1451</v>
      </c>
      <c r="J422" t="s">
        <v>114</v>
      </c>
      <c r="K422" s="73">
        <v>45288.741666666669</v>
      </c>
    </row>
    <row r="423" spans="1:11" x14ac:dyDescent="0.25">
      <c r="A423">
        <v>637</v>
      </c>
      <c r="B423" t="s">
        <v>1371</v>
      </c>
      <c r="C423" t="s">
        <v>118</v>
      </c>
      <c r="D423">
        <v>21</v>
      </c>
      <c r="E423">
        <v>1021</v>
      </c>
      <c r="F423" t="s">
        <v>1372</v>
      </c>
      <c r="G423" t="s">
        <v>1373</v>
      </c>
      <c r="H423"/>
      <c r="I423" t="s">
        <v>1450</v>
      </c>
      <c r="J423" t="s">
        <v>114</v>
      </c>
      <c r="K423" s="73">
        <v>45288.741666666669</v>
      </c>
    </row>
    <row r="424" spans="1:11" x14ac:dyDescent="0.25">
      <c r="A424">
        <v>638</v>
      </c>
      <c r="B424" t="s">
        <v>1374</v>
      </c>
      <c r="C424" t="s">
        <v>118</v>
      </c>
      <c r="D424">
        <v>17</v>
      </c>
      <c r="E424">
        <v>1017</v>
      </c>
      <c r="F424" t="s">
        <v>1375</v>
      </c>
      <c r="G424" t="s">
        <v>1376</v>
      </c>
      <c r="H424"/>
      <c r="I424" t="s">
        <v>1450</v>
      </c>
      <c r="J424" t="s">
        <v>114</v>
      </c>
      <c r="K424" s="73">
        <v>45288.741666666669</v>
      </c>
    </row>
    <row r="425" spans="1:11" x14ac:dyDescent="0.25">
      <c r="A425">
        <v>639</v>
      </c>
      <c r="B425" t="s">
        <v>1377</v>
      </c>
      <c r="C425" t="s">
        <v>118</v>
      </c>
      <c r="D425">
        <v>373</v>
      </c>
      <c r="E425">
        <v>1373</v>
      </c>
      <c r="F425" t="s">
        <v>1378</v>
      </c>
      <c r="G425" t="s">
        <v>1379</v>
      </c>
      <c r="H425"/>
      <c r="I425" t="s">
        <v>1449</v>
      </c>
      <c r="J425" t="s">
        <v>114</v>
      </c>
      <c r="K425" s="73">
        <v>45288.741666666669</v>
      </c>
    </row>
    <row r="426" spans="1:11" x14ac:dyDescent="0.25">
      <c r="A426">
        <v>640</v>
      </c>
      <c r="B426" t="s">
        <v>1380</v>
      </c>
      <c r="C426" t="s">
        <v>118</v>
      </c>
      <c r="D426">
        <v>61</v>
      </c>
      <c r="E426">
        <v>1061</v>
      </c>
      <c r="F426" t="s">
        <v>1381</v>
      </c>
      <c r="G426" t="s">
        <v>1382</v>
      </c>
      <c r="H426"/>
      <c r="I426" t="s">
        <v>1450</v>
      </c>
      <c r="J426" t="s">
        <v>114</v>
      </c>
      <c r="K426" s="73">
        <v>45288.741666666669</v>
      </c>
    </row>
    <row r="427" spans="1:11" x14ac:dyDescent="0.25">
      <c r="A427">
        <v>641</v>
      </c>
      <c r="B427" t="s">
        <v>1383</v>
      </c>
      <c r="C427" t="s">
        <v>118</v>
      </c>
      <c r="D427">
        <v>67</v>
      </c>
      <c r="E427">
        <v>1067</v>
      </c>
      <c r="F427" t="s">
        <v>1384</v>
      </c>
      <c r="G427" t="s">
        <v>1385</v>
      </c>
      <c r="H427"/>
      <c r="I427" t="s">
        <v>1450</v>
      </c>
      <c r="J427" t="s">
        <v>114</v>
      </c>
      <c r="K427" s="73">
        <v>45288.741666666669</v>
      </c>
    </row>
    <row r="428" spans="1:11" x14ac:dyDescent="0.25">
      <c r="A428">
        <v>642</v>
      </c>
      <c r="B428" t="s">
        <v>1386</v>
      </c>
      <c r="C428" t="s">
        <v>118</v>
      </c>
      <c r="D428">
        <v>69</v>
      </c>
      <c r="E428">
        <v>1069</v>
      </c>
      <c r="F428" t="s">
        <v>1387</v>
      </c>
      <c r="G428" t="s">
        <v>1388</v>
      </c>
      <c r="H428"/>
      <c r="I428" t="s">
        <v>1450</v>
      </c>
      <c r="J428" t="s">
        <v>114</v>
      </c>
      <c r="K428" s="73">
        <v>45288.741666666669</v>
      </c>
    </row>
    <row r="429" spans="1:11" x14ac:dyDescent="0.25">
      <c r="A429">
        <v>643</v>
      </c>
      <c r="B429" t="s">
        <v>1389</v>
      </c>
      <c r="C429" t="s">
        <v>118</v>
      </c>
      <c r="D429">
        <v>66</v>
      </c>
      <c r="E429">
        <v>1066</v>
      </c>
      <c r="F429" t="s">
        <v>1390</v>
      </c>
      <c r="G429" t="s">
        <v>1391</v>
      </c>
      <c r="H429"/>
      <c r="I429" t="s">
        <v>1450</v>
      </c>
      <c r="J429" t="s">
        <v>114</v>
      </c>
      <c r="K429" s="73">
        <v>45288.741666666669</v>
      </c>
    </row>
    <row r="430" spans="1:11" x14ac:dyDescent="0.25">
      <c r="A430">
        <v>644</v>
      </c>
      <c r="B430" t="s">
        <v>1392</v>
      </c>
      <c r="C430" t="s">
        <v>118</v>
      </c>
      <c r="D430">
        <v>396</v>
      </c>
      <c r="E430">
        <v>1396</v>
      </c>
      <c r="F430" t="s">
        <v>1393</v>
      </c>
      <c r="G430" t="s">
        <v>1394</v>
      </c>
      <c r="H430"/>
      <c r="I430" t="s">
        <v>1449</v>
      </c>
      <c r="J430" t="s">
        <v>114</v>
      </c>
      <c r="K430" s="73">
        <v>45288.741666666669</v>
      </c>
    </row>
    <row r="431" spans="1:11" x14ac:dyDescent="0.25">
      <c r="A431">
        <v>645</v>
      </c>
      <c r="B431" t="s">
        <v>1395</v>
      </c>
      <c r="C431" t="s">
        <v>118</v>
      </c>
      <c r="D431">
        <v>41</v>
      </c>
      <c r="E431">
        <v>1041</v>
      </c>
      <c r="F431" t="s">
        <v>1396</v>
      </c>
      <c r="G431" t="s">
        <v>1397</v>
      </c>
      <c r="H431"/>
      <c r="I431" t="s">
        <v>1450</v>
      </c>
      <c r="J431" t="s">
        <v>114</v>
      </c>
      <c r="K431" s="73">
        <v>45288.741666666669</v>
      </c>
    </row>
    <row r="432" spans="1:11" x14ac:dyDescent="0.25">
      <c r="A432">
        <v>646</v>
      </c>
      <c r="B432" t="s">
        <v>1398</v>
      </c>
      <c r="C432" t="s">
        <v>118</v>
      </c>
      <c r="D432">
        <v>196</v>
      </c>
      <c r="E432">
        <v>1196</v>
      </c>
      <c r="F432" t="s">
        <v>1399</v>
      </c>
      <c r="G432" t="s">
        <v>1400</v>
      </c>
      <c r="H432"/>
      <c r="I432" t="s">
        <v>1450</v>
      </c>
      <c r="J432" t="s">
        <v>114</v>
      </c>
      <c r="K432" s="73">
        <v>45288.741666666669</v>
      </c>
    </row>
    <row r="433" spans="1:11" x14ac:dyDescent="0.25">
      <c r="A433">
        <v>647</v>
      </c>
      <c r="B433" t="s">
        <v>1401</v>
      </c>
      <c r="C433" t="s">
        <v>118</v>
      </c>
      <c r="D433">
        <v>15</v>
      </c>
      <c r="E433">
        <v>1015</v>
      </c>
      <c r="F433" t="s">
        <v>1402</v>
      </c>
      <c r="G433" t="s">
        <v>1403</v>
      </c>
      <c r="H433"/>
      <c r="I433" t="s">
        <v>1450</v>
      </c>
      <c r="J433" t="s">
        <v>114</v>
      </c>
      <c r="K433" s="73">
        <v>45288.741666666669</v>
      </c>
    </row>
    <row r="434" spans="1:11" x14ac:dyDescent="0.25">
      <c r="A434">
        <v>648</v>
      </c>
      <c r="B434" t="s">
        <v>1404</v>
      </c>
      <c r="C434" t="s">
        <v>118</v>
      </c>
      <c r="D434">
        <v>18</v>
      </c>
      <c r="E434">
        <v>1018</v>
      </c>
      <c r="F434" t="s">
        <v>1405</v>
      </c>
      <c r="G434" t="s">
        <v>1406</v>
      </c>
      <c r="H434"/>
      <c r="I434" t="s">
        <v>1450</v>
      </c>
      <c r="J434" t="s">
        <v>114</v>
      </c>
      <c r="K434" s="73">
        <v>45288.741666666669</v>
      </c>
    </row>
    <row r="435" spans="1:11" x14ac:dyDescent="0.25">
      <c r="A435">
        <v>649</v>
      </c>
      <c r="B435" t="s">
        <v>1407</v>
      </c>
      <c r="C435" t="s">
        <v>118</v>
      </c>
      <c r="D435">
        <v>161</v>
      </c>
      <c r="E435">
        <v>1161</v>
      </c>
      <c r="F435" t="s">
        <v>1408</v>
      </c>
      <c r="G435" t="s">
        <v>1409</v>
      </c>
      <c r="H435"/>
      <c r="I435" t="s">
        <v>1450</v>
      </c>
      <c r="J435" t="s">
        <v>114</v>
      </c>
      <c r="K435" s="73">
        <v>45288.741666666669</v>
      </c>
    </row>
    <row r="436" spans="1:11" x14ac:dyDescent="0.25">
      <c r="A436">
        <v>650</v>
      </c>
      <c r="B436" t="s">
        <v>1410</v>
      </c>
      <c r="C436" t="s">
        <v>118</v>
      </c>
      <c r="D436">
        <v>45</v>
      </c>
      <c r="E436">
        <v>1045</v>
      </c>
      <c r="F436" t="s">
        <v>1411</v>
      </c>
      <c r="G436" t="s">
        <v>1412</v>
      </c>
      <c r="H436"/>
      <c r="I436" t="s">
        <v>1450</v>
      </c>
      <c r="J436" t="s">
        <v>114</v>
      </c>
      <c r="K436" s="73">
        <v>45288.741666666669</v>
      </c>
    </row>
    <row r="437" spans="1:11" x14ac:dyDescent="0.25">
      <c r="A437">
        <v>651</v>
      </c>
      <c r="B437" t="s">
        <v>1413</v>
      </c>
      <c r="C437" t="s">
        <v>118</v>
      </c>
      <c r="D437">
        <v>133</v>
      </c>
      <c r="E437">
        <v>1133</v>
      </c>
      <c r="F437" t="s">
        <v>1414</v>
      </c>
      <c r="G437" t="s">
        <v>1415</v>
      </c>
      <c r="H437"/>
      <c r="I437" t="s">
        <v>1450</v>
      </c>
      <c r="J437" t="s">
        <v>114</v>
      </c>
      <c r="K437" s="73">
        <v>45288.741666666669</v>
      </c>
    </row>
    <row r="438" spans="1:11" x14ac:dyDescent="0.25">
      <c r="A438">
        <v>652</v>
      </c>
      <c r="B438" t="s">
        <v>1416</v>
      </c>
      <c r="C438" t="s">
        <v>118</v>
      </c>
      <c r="D438">
        <v>198</v>
      </c>
      <c r="E438">
        <v>1198</v>
      </c>
      <c r="F438" t="s">
        <v>1417</v>
      </c>
      <c r="G438" t="s">
        <v>1418</v>
      </c>
      <c r="H438"/>
      <c r="I438" t="s">
        <v>1450</v>
      </c>
      <c r="J438" t="s">
        <v>114</v>
      </c>
      <c r="K438" s="73">
        <v>45288.741666666669</v>
      </c>
    </row>
    <row r="439" spans="1:11" x14ac:dyDescent="0.25">
      <c r="A439">
        <v>653</v>
      </c>
      <c r="B439" t="s">
        <v>1419</v>
      </c>
      <c r="C439" t="s">
        <v>118</v>
      </c>
      <c r="D439">
        <v>166</v>
      </c>
      <c r="E439">
        <v>1166</v>
      </c>
      <c r="F439" t="s">
        <v>1420</v>
      </c>
      <c r="G439" t="s">
        <v>1421</v>
      </c>
      <c r="H439"/>
      <c r="I439" t="s">
        <v>1450</v>
      </c>
      <c r="J439" t="s">
        <v>114</v>
      </c>
      <c r="K439" s="73">
        <v>45288.741666666669</v>
      </c>
    </row>
    <row r="440" spans="1:11" x14ac:dyDescent="0.25">
      <c r="A440">
        <v>654</v>
      </c>
      <c r="B440" t="s">
        <v>1422</v>
      </c>
      <c r="C440" t="s">
        <v>118</v>
      </c>
      <c r="D440">
        <v>187</v>
      </c>
      <c r="E440">
        <v>1187</v>
      </c>
      <c r="F440" t="s">
        <v>1423</v>
      </c>
      <c r="G440" t="s">
        <v>1424</v>
      </c>
      <c r="H440"/>
      <c r="I440" t="s">
        <v>1450</v>
      </c>
      <c r="J440" t="s">
        <v>114</v>
      </c>
      <c r="K440" s="73">
        <v>45288.741666666669</v>
      </c>
    </row>
    <row r="441" spans="1:11" x14ac:dyDescent="0.25">
      <c r="A441">
        <v>655</v>
      </c>
      <c r="B441" t="s">
        <v>1425</v>
      </c>
      <c r="C441" t="s">
        <v>118</v>
      </c>
      <c r="D441">
        <v>160</v>
      </c>
      <c r="E441">
        <v>1160</v>
      </c>
      <c r="F441" t="s">
        <v>1426</v>
      </c>
      <c r="G441" t="s">
        <v>1427</v>
      </c>
      <c r="H441"/>
      <c r="I441" t="s">
        <v>1450</v>
      </c>
      <c r="J441" t="s">
        <v>114</v>
      </c>
      <c r="K441" s="73">
        <v>45288.741666666669</v>
      </c>
    </row>
    <row r="442" spans="1:11" x14ac:dyDescent="0.25">
      <c r="A442">
        <v>656</v>
      </c>
      <c r="B442" t="s">
        <v>1428</v>
      </c>
      <c r="C442" t="s">
        <v>118</v>
      </c>
      <c r="D442">
        <v>30</v>
      </c>
      <c r="E442">
        <v>1030</v>
      </c>
      <c r="F442" t="s">
        <v>1429</v>
      </c>
      <c r="G442" t="s">
        <v>1430</v>
      </c>
      <c r="H442"/>
      <c r="I442" t="s">
        <v>1450</v>
      </c>
      <c r="J442" t="s">
        <v>114</v>
      </c>
      <c r="K442" s="73">
        <v>45288.741666666669</v>
      </c>
    </row>
    <row r="443" spans="1:11" x14ac:dyDescent="0.25">
      <c r="A443">
        <v>657</v>
      </c>
      <c r="B443" t="s">
        <v>1431</v>
      </c>
      <c r="C443" t="s">
        <v>118</v>
      </c>
      <c r="D443">
        <v>58</v>
      </c>
      <c r="E443">
        <v>1058</v>
      </c>
      <c r="F443" t="s">
        <v>1432</v>
      </c>
      <c r="G443" t="s">
        <v>1433</v>
      </c>
      <c r="H443"/>
      <c r="I443" t="s">
        <v>1450</v>
      </c>
      <c r="J443" t="s">
        <v>114</v>
      </c>
      <c r="K443" s="73">
        <v>45288.741666666669</v>
      </c>
    </row>
    <row r="444" spans="1:11" x14ac:dyDescent="0.25">
      <c r="A444">
        <v>658</v>
      </c>
      <c r="B444" t="s">
        <v>1434</v>
      </c>
      <c r="C444" t="s">
        <v>118</v>
      </c>
      <c r="D444">
        <v>92</v>
      </c>
      <c r="E444">
        <v>1092</v>
      </c>
      <c r="F444" t="s">
        <v>1435</v>
      </c>
      <c r="G444" t="s">
        <v>1436</v>
      </c>
      <c r="H444"/>
      <c r="I444" t="s">
        <v>1450</v>
      </c>
      <c r="J444" t="s">
        <v>114</v>
      </c>
      <c r="K444" s="73">
        <v>45288.741666666669</v>
      </c>
    </row>
    <row r="445" spans="1:11" x14ac:dyDescent="0.25">
      <c r="A445">
        <v>659</v>
      </c>
      <c r="B445" t="s">
        <v>1434</v>
      </c>
      <c r="C445" t="s">
        <v>118</v>
      </c>
      <c r="D445">
        <v>94</v>
      </c>
      <c r="E445">
        <v>1094</v>
      </c>
      <c r="F445" t="s">
        <v>1435</v>
      </c>
      <c r="G445" t="s">
        <v>1436</v>
      </c>
      <c r="H445"/>
      <c r="I445" t="s">
        <v>1450</v>
      </c>
      <c r="J445" t="s">
        <v>114</v>
      </c>
      <c r="K445" s="73">
        <v>45288.741666666669</v>
      </c>
    </row>
    <row r="446" spans="1:11" x14ac:dyDescent="0.25">
      <c r="A446">
        <v>660</v>
      </c>
      <c r="B446" t="s">
        <v>1437</v>
      </c>
      <c r="C446" t="s">
        <v>118</v>
      </c>
      <c r="D446">
        <v>194</v>
      </c>
      <c r="E446">
        <v>1194</v>
      </c>
      <c r="F446" t="s">
        <v>1438</v>
      </c>
      <c r="G446" t="s">
        <v>1439</v>
      </c>
      <c r="H446"/>
      <c r="I446" t="s">
        <v>1450</v>
      </c>
      <c r="J446" t="s">
        <v>114</v>
      </c>
      <c r="K446" s="73">
        <v>45288.741666666669</v>
      </c>
    </row>
    <row r="447" spans="1:11" x14ac:dyDescent="0.25">
      <c r="A447">
        <v>661</v>
      </c>
      <c r="B447" t="s">
        <v>1440</v>
      </c>
      <c r="C447" t="s">
        <v>118</v>
      </c>
      <c r="D447">
        <v>333</v>
      </c>
      <c r="E447">
        <v>1333</v>
      </c>
      <c r="F447" t="s">
        <v>1441</v>
      </c>
      <c r="G447" t="s">
        <v>1442</v>
      </c>
      <c r="H447"/>
      <c r="I447" t="s">
        <v>1450</v>
      </c>
      <c r="J447" t="s">
        <v>114</v>
      </c>
      <c r="K447" s="73">
        <v>45288.741666666669</v>
      </c>
    </row>
    <row r="448" spans="1:11" x14ac:dyDescent="0.25">
      <c r="A448">
        <v>662</v>
      </c>
      <c r="B448" t="s">
        <v>1443</v>
      </c>
      <c r="C448" t="s">
        <v>118</v>
      </c>
      <c r="D448">
        <v>42</v>
      </c>
      <c r="E448">
        <v>1042</v>
      </c>
      <c r="F448" t="s">
        <v>1444</v>
      </c>
      <c r="G448" t="s">
        <v>1445</v>
      </c>
      <c r="H448"/>
      <c r="I448" t="s">
        <v>1450</v>
      </c>
      <c r="J448" t="s">
        <v>114</v>
      </c>
      <c r="K448" s="73">
        <v>45288.741666666669</v>
      </c>
    </row>
    <row r="449" spans="1:11" x14ac:dyDescent="0.25">
      <c r="A449">
        <v>663</v>
      </c>
      <c r="B449" t="s">
        <v>1446</v>
      </c>
      <c r="C449" t="s">
        <v>118</v>
      </c>
      <c r="D449">
        <v>188</v>
      </c>
      <c r="E449">
        <v>1188</v>
      </c>
      <c r="F449" t="s">
        <v>1447</v>
      </c>
      <c r="G449" t="s">
        <v>1448</v>
      </c>
      <c r="H449"/>
      <c r="I449" t="s">
        <v>1450</v>
      </c>
      <c r="J449" t="s">
        <v>114</v>
      </c>
      <c r="K449" s="73">
        <v>45288.741666666669</v>
      </c>
    </row>
    <row r="450" spans="1:11" x14ac:dyDescent="0.25">
      <c r="A450">
        <v>664</v>
      </c>
      <c r="B450" s="2" t="s">
        <v>1452</v>
      </c>
      <c r="C450" s="2" t="s">
        <v>118</v>
      </c>
      <c r="D450">
        <v>664</v>
      </c>
      <c r="E450">
        <v>664</v>
      </c>
      <c r="F450" s="2" t="s">
        <v>1453</v>
      </c>
      <c r="G450" s="2" t="s">
        <v>1454</v>
      </c>
      <c r="H450"/>
      <c r="I450" s="2" t="s">
        <v>1449</v>
      </c>
      <c r="J450" s="2" t="s">
        <v>114</v>
      </c>
      <c r="K450" s="129">
        <v>45348.721580983794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  <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4" tint="0.39997558519241921"/>
  </sheetPr>
  <dimension ref="A2:F60"/>
  <sheetViews>
    <sheetView workbookViewId="0">
      <selection activeCell="E15" sqref="E15"/>
    </sheetView>
  </sheetViews>
  <sheetFormatPr defaultRowHeight="15" x14ac:dyDescent="0.25"/>
  <cols>
    <col min="1" max="5" width="16.140625" customWidth="1"/>
    <col min="6" max="6" width="12.140625" customWidth="1"/>
  </cols>
  <sheetData>
    <row r="2" spans="1:6" ht="15.75" thickBot="1" x14ac:dyDescent="0.3"/>
    <row r="3" spans="1:6" x14ac:dyDescent="0.25">
      <c r="A3" s="166" t="s">
        <v>10</v>
      </c>
      <c r="B3" s="168"/>
      <c r="C3" s="169"/>
      <c r="D3" s="170"/>
      <c r="E3" s="124">
        <f ca="1">TODAY()</f>
        <v>45398</v>
      </c>
    </row>
    <row r="4" spans="1:6" ht="15.75" thickBot="1" x14ac:dyDescent="0.3">
      <c r="A4" s="167"/>
      <c r="B4" s="140"/>
      <c r="C4" s="142"/>
      <c r="D4" s="171"/>
      <c r="E4" s="125"/>
    </row>
    <row r="5" spans="1:6" s="122" customFormat="1" ht="25.15" customHeight="1" thickBot="1" x14ac:dyDescent="0.3">
      <c r="A5" s="119" t="s">
        <v>108</v>
      </c>
      <c r="B5" s="120">
        <f>SUM(B8:B27)</f>
        <v>4068</v>
      </c>
      <c r="C5" s="119" t="s">
        <v>109</v>
      </c>
      <c r="D5" s="120">
        <v>4285</v>
      </c>
      <c r="E5" s="119" t="s">
        <v>115</v>
      </c>
      <c r="F5" s="121">
        <f>D5-B5</f>
        <v>217</v>
      </c>
    </row>
    <row r="6" spans="1:6" x14ac:dyDescent="0.25">
      <c r="A6" s="172" t="s">
        <v>110</v>
      </c>
      <c r="B6" s="174" t="s">
        <v>111</v>
      </c>
      <c r="C6" s="175" t="s">
        <v>112</v>
      </c>
    </row>
    <row r="7" spans="1:6" x14ac:dyDescent="0.25">
      <c r="A7" s="173"/>
      <c r="B7" s="175"/>
      <c r="C7" s="175"/>
    </row>
    <row r="8" spans="1:6" x14ac:dyDescent="0.25">
      <c r="A8" s="123" t="s">
        <v>113</v>
      </c>
      <c r="B8" s="123">
        <v>1000</v>
      </c>
      <c r="C8" s="123">
        <v>4.7300000000000004</v>
      </c>
    </row>
    <row r="9" spans="1:6" x14ac:dyDescent="0.25">
      <c r="A9" s="123" t="s">
        <v>113</v>
      </c>
      <c r="B9" s="123">
        <v>200</v>
      </c>
      <c r="C9" s="123">
        <v>4.78</v>
      </c>
    </row>
    <row r="10" spans="1:6" x14ac:dyDescent="0.25">
      <c r="A10" s="123" t="s">
        <v>113</v>
      </c>
      <c r="B10" s="123">
        <v>1000</v>
      </c>
      <c r="C10" s="123">
        <v>4.43</v>
      </c>
    </row>
    <row r="11" spans="1:6" x14ac:dyDescent="0.25">
      <c r="A11" s="123" t="s">
        <v>113</v>
      </c>
      <c r="B11" s="123">
        <v>234</v>
      </c>
      <c r="C11" s="123">
        <v>4.4800000000000004</v>
      </c>
    </row>
    <row r="12" spans="1:6" x14ac:dyDescent="0.25">
      <c r="A12" s="123" t="s">
        <v>113</v>
      </c>
      <c r="B12" s="123">
        <v>1234</v>
      </c>
      <c r="C12" s="123">
        <v>2.4918999999999998</v>
      </c>
    </row>
    <row r="13" spans="1:6" x14ac:dyDescent="0.25">
      <c r="A13" s="123" t="s">
        <v>113</v>
      </c>
      <c r="B13" s="123">
        <v>40</v>
      </c>
      <c r="C13" s="123">
        <v>3.6304000000000003</v>
      </c>
    </row>
    <row r="14" spans="1:6" x14ac:dyDescent="0.25">
      <c r="A14" s="123" t="s">
        <v>113</v>
      </c>
      <c r="B14" s="123">
        <v>360</v>
      </c>
      <c r="C14" s="123">
        <v>2.5</v>
      </c>
    </row>
    <row r="15" spans="1:6" x14ac:dyDescent="0.25">
      <c r="A15" s="123"/>
      <c r="B15" s="123"/>
      <c r="C15" s="123"/>
    </row>
    <row r="16" spans="1:6" x14ac:dyDescent="0.25">
      <c r="A16" s="123"/>
      <c r="B16" s="123"/>
      <c r="C16" s="123"/>
    </row>
    <row r="17" spans="1:3" x14ac:dyDescent="0.25">
      <c r="A17" s="123"/>
      <c r="B17" s="123"/>
      <c r="C17" s="123"/>
    </row>
    <row r="18" spans="1:3" x14ac:dyDescent="0.25">
      <c r="A18" s="123"/>
      <c r="B18" s="123"/>
      <c r="C18" s="123"/>
    </row>
    <row r="19" spans="1:3" x14ac:dyDescent="0.25">
      <c r="A19" s="123"/>
      <c r="B19" s="123"/>
      <c r="C19" s="123"/>
    </row>
    <row r="20" spans="1:3" x14ac:dyDescent="0.25">
      <c r="A20" s="123"/>
      <c r="B20" s="123"/>
      <c r="C20" s="123"/>
    </row>
    <row r="21" spans="1:3" x14ac:dyDescent="0.25">
      <c r="A21" s="123"/>
      <c r="B21" s="123"/>
      <c r="C21" s="123"/>
    </row>
    <row r="22" spans="1:3" x14ac:dyDescent="0.25">
      <c r="A22" s="123"/>
      <c r="B22" s="123"/>
      <c r="C22" s="123"/>
    </row>
    <row r="23" spans="1:3" x14ac:dyDescent="0.25">
      <c r="A23" s="123"/>
      <c r="B23" s="123"/>
      <c r="C23" s="123"/>
    </row>
    <row r="24" spans="1:3" x14ac:dyDescent="0.25">
      <c r="A24" s="123"/>
      <c r="B24" s="123"/>
      <c r="C24" s="123"/>
    </row>
    <row r="25" spans="1:3" x14ac:dyDescent="0.25">
      <c r="A25" s="123"/>
      <c r="B25" s="123"/>
      <c r="C25" s="123"/>
    </row>
    <row r="26" spans="1:3" x14ac:dyDescent="0.25">
      <c r="A26" s="123"/>
    </row>
    <row r="27" spans="1:3" x14ac:dyDescent="0.25">
      <c r="A27" s="123"/>
    </row>
    <row r="28" spans="1:3" x14ac:dyDescent="0.25">
      <c r="A28" s="123"/>
    </row>
    <row r="29" spans="1:3" x14ac:dyDescent="0.25">
      <c r="A29" s="123"/>
    </row>
    <row r="30" spans="1:3" x14ac:dyDescent="0.25">
      <c r="A30" s="123"/>
    </row>
    <row r="31" spans="1:3" x14ac:dyDescent="0.25">
      <c r="A31" s="123"/>
    </row>
    <row r="32" spans="1:3" x14ac:dyDescent="0.25">
      <c r="A32" s="123"/>
    </row>
    <row r="33" spans="1:1" x14ac:dyDescent="0.25">
      <c r="A33" s="123"/>
    </row>
    <row r="34" spans="1:1" x14ac:dyDescent="0.25">
      <c r="A34" s="123"/>
    </row>
    <row r="35" spans="1:1" x14ac:dyDescent="0.25">
      <c r="A35" s="123"/>
    </row>
    <row r="36" spans="1:1" x14ac:dyDescent="0.25">
      <c r="A36" s="123"/>
    </row>
    <row r="37" spans="1:1" x14ac:dyDescent="0.25">
      <c r="A37" s="123"/>
    </row>
    <row r="38" spans="1:1" x14ac:dyDescent="0.25">
      <c r="A38" s="123"/>
    </row>
    <row r="39" spans="1:1" x14ac:dyDescent="0.25">
      <c r="A39" s="123"/>
    </row>
    <row r="40" spans="1:1" x14ac:dyDescent="0.25">
      <c r="A40" s="123"/>
    </row>
    <row r="41" spans="1:1" x14ac:dyDescent="0.25">
      <c r="A41" s="123"/>
    </row>
    <row r="42" spans="1:1" x14ac:dyDescent="0.25">
      <c r="A42" s="123"/>
    </row>
    <row r="43" spans="1:1" x14ac:dyDescent="0.25">
      <c r="A43" s="123"/>
    </row>
    <row r="44" spans="1:1" x14ac:dyDescent="0.25">
      <c r="A44" s="123"/>
    </row>
    <row r="45" spans="1:1" x14ac:dyDescent="0.25">
      <c r="A45" s="123"/>
    </row>
    <row r="46" spans="1:1" x14ac:dyDescent="0.25">
      <c r="A46" s="123"/>
    </row>
    <row r="47" spans="1:1" x14ac:dyDescent="0.25">
      <c r="A47" s="123"/>
    </row>
    <row r="48" spans="1:1" x14ac:dyDescent="0.25">
      <c r="A48" s="123"/>
    </row>
    <row r="49" spans="1:1" x14ac:dyDescent="0.25">
      <c r="A49" s="123"/>
    </row>
    <row r="50" spans="1:1" x14ac:dyDescent="0.25">
      <c r="A50" s="123"/>
    </row>
    <row r="51" spans="1:1" x14ac:dyDescent="0.25">
      <c r="A51" s="123"/>
    </row>
    <row r="52" spans="1:1" x14ac:dyDescent="0.25">
      <c r="A52" s="123"/>
    </row>
    <row r="53" spans="1:1" x14ac:dyDescent="0.25">
      <c r="A53" s="123"/>
    </row>
    <row r="54" spans="1:1" x14ac:dyDescent="0.25">
      <c r="A54" s="123"/>
    </row>
    <row r="55" spans="1:1" x14ac:dyDescent="0.25">
      <c r="A55" s="123"/>
    </row>
    <row r="56" spans="1:1" x14ac:dyDescent="0.25">
      <c r="A56" s="123"/>
    </row>
    <row r="57" spans="1:1" x14ac:dyDescent="0.25">
      <c r="A57" s="123"/>
    </row>
    <row r="58" spans="1:1" x14ac:dyDescent="0.25">
      <c r="A58" s="123"/>
    </row>
    <row r="59" spans="1:1" x14ac:dyDescent="0.25">
      <c r="A59" s="123"/>
    </row>
    <row r="60" spans="1:1" x14ac:dyDescent="0.25">
      <c r="A60" s="123"/>
    </row>
  </sheetData>
  <protectedRanges>
    <protectedRange algorithmName="SHA-512" hashValue="1jJWfUXWRRT08/cshb+Zq/RAMTya5nSG8yWpGVBg0Dfqhe3vup+3W9p/IBZi/Wrrv1DDhqG9wt/eD6EO1fnNvQ==" saltValue="VWP5arczVApFJ9oxlz3YOA==" spinCount="100000" sqref="B7:AF7" name="Range2_3_2"/>
  </protectedRanges>
  <mergeCells count="5">
    <mergeCell ref="A3:A4"/>
    <mergeCell ref="B3:D4"/>
    <mergeCell ref="A6:A7"/>
    <mergeCell ref="B6:B7"/>
    <mergeCell ref="C6:C7"/>
  </mergeCell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CustomerData!$B$1:$B$90</xm:f>
          </x14:formula1>
          <xm:sqref>A8:A60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G100"/>
  <sheetViews>
    <sheetView workbookViewId="0">
      <selection activeCell="J7" sqref="J7"/>
    </sheetView>
  </sheetViews>
  <sheetFormatPr defaultRowHeight="15" x14ac:dyDescent="0.25"/>
  <cols>
    <col min="1" max="1" width="10.140625" customWidth="1"/>
    <col min="2" max="2" width="12.5703125" customWidth="1"/>
    <col min="3" max="3" width="14.28515625" customWidth="1"/>
    <col min="4" max="4" width="28.85546875" bestFit="1" customWidth="1"/>
    <col min="5" max="5" width="29.7109375" bestFit="1" customWidth="1"/>
    <col min="6" max="6" width="29.85546875" bestFit="1" customWidth="1"/>
    <col min="7" max="7" width="21.140625" hidden="1" customWidth="1"/>
    <col min="8" max="9" width="21" bestFit="1" customWidth="1"/>
  </cols>
  <sheetData>
    <row r="1" spans="1:7" x14ac:dyDescent="0.25">
      <c r="A1" s="139" t="s">
        <v>10</v>
      </c>
      <c r="B1" s="141"/>
      <c r="C1" s="141"/>
      <c r="D1" s="141"/>
      <c r="E1" s="176">
        <f ca="1">TODAY()+1</f>
        <v>45399</v>
      </c>
    </row>
    <row r="2" spans="1:7" ht="15.75" thickBot="1" x14ac:dyDescent="0.3">
      <c r="A2" s="140"/>
      <c r="B2" s="142"/>
      <c r="C2" s="142"/>
      <c r="D2" s="142"/>
      <c r="E2" s="177"/>
    </row>
    <row r="3" spans="1:7" ht="21.6" customHeight="1" x14ac:dyDescent="0.25">
      <c r="E3" s="126"/>
    </row>
    <row r="4" spans="1:7" x14ac:dyDescent="0.25">
      <c r="A4" s="51" t="s">
        <v>20</v>
      </c>
      <c r="B4" s="52" t="s">
        <v>14</v>
      </c>
      <c r="C4" s="52" t="s">
        <v>16</v>
      </c>
      <c r="D4" s="52" t="s">
        <v>102</v>
      </c>
      <c r="E4" s="52" t="s">
        <v>103</v>
      </c>
      <c r="F4" s="52" t="s">
        <v>104</v>
      </c>
      <c r="G4" s="52" t="s">
        <v>105</v>
      </c>
    </row>
    <row r="5" spans="1:7" x14ac:dyDescent="0.25">
      <c r="A5" s="24">
        <v>1</v>
      </c>
      <c r="B5" s="25">
        <v>0</v>
      </c>
      <c r="C5" s="25">
        <v>0.15</v>
      </c>
      <c r="D5" s="25">
        <f>'Rate calc'!AA4</f>
        <v>5.13</v>
      </c>
      <c r="E5" s="25">
        <f>'Rate calc'!V4</f>
        <v>6.43</v>
      </c>
      <c r="F5" s="25">
        <f>'Rate calc'!W4</f>
        <v>0</v>
      </c>
      <c r="G5" s="25">
        <v>0</v>
      </c>
    </row>
    <row r="6" spans="1:7" x14ac:dyDescent="0.25">
      <c r="A6" s="24">
        <v>2</v>
      </c>
      <c r="B6" s="25">
        <v>0.15</v>
      </c>
      <c r="C6" s="25">
        <v>0.3</v>
      </c>
      <c r="D6" s="25">
        <f>'Rate calc'!AA5</f>
        <v>5.13</v>
      </c>
      <c r="E6" s="25">
        <f>'Rate calc'!V5</f>
        <v>6</v>
      </c>
      <c r="F6" s="25">
        <f>'Rate calc'!W5</f>
        <v>0</v>
      </c>
      <c r="G6" s="25">
        <v>0</v>
      </c>
    </row>
    <row r="7" spans="1:7" x14ac:dyDescent="0.25">
      <c r="A7" s="24">
        <v>3</v>
      </c>
      <c r="B7" s="25">
        <v>0.3</v>
      </c>
      <c r="C7" s="25">
        <v>0.45</v>
      </c>
      <c r="D7" s="25">
        <f>'Rate calc'!AA6</f>
        <v>5.13</v>
      </c>
      <c r="E7" s="25">
        <f>'Rate calc'!V6</f>
        <v>5.76</v>
      </c>
      <c r="F7" s="25">
        <f>'Rate calc'!W6</f>
        <v>0</v>
      </c>
      <c r="G7" s="25">
        <v>0</v>
      </c>
    </row>
    <row r="8" spans="1:7" x14ac:dyDescent="0.25">
      <c r="A8" s="24">
        <v>4</v>
      </c>
      <c r="B8" s="25">
        <v>0.45</v>
      </c>
      <c r="C8" s="25">
        <v>1</v>
      </c>
      <c r="D8" s="25">
        <f>'Rate calc'!AA7</f>
        <v>5.13</v>
      </c>
      <c r="E8" s="25">
        <f>'Rate calc'!V7</f>
        <v>5.57</v>
      </c>
      <c r="F8" s="25">
        <f>'Rate calc'!W7</f>
        <v>0</v>
      </c>
      <c r="G8" s="25">
        <v>0</v>
      </c>
    </row>
    <row r="9" spans="1:7" x14ac:dyDescent="0.25">
      <c r="A9" s="24">
        <v>5</v>
      </c>
      <c r="B9" s="25">
        <v>1</v>
      </c>
      <c r="C9" s="25">
        <v>1.1499999999999999</v>
      </c>
      <c r="D9" s="25">
        <f>'Rate calc'!AA8</f>
        <v>5.13</v>
      </c>
      <c r="E9" s="25">
        <f>'Rate calc'!V8</f>
        <v>5.71</v>
      </c>
      <c r="F9" s="25">
        <f>'Rate calc'!W8</f>
        <v>0</v>
      </c>
      <c r="G9" s="25">
        <v>0</v>
      </c>
    </row>
    <row r="10" spans="1:7" x14ac:dyDescent="0.25">
      <c r="A10" s="24">
        <v>6</v>
      </c>
      <c r="B10" s="25">
        <v>1.1499999999999999</v>
      </c>
      <c r="C10" s="25">
        <v>1.3</v>
      </c>
      <c r="D10" s="25">
        <f>'Rate calc'!AA9</f>
        <v>5.13</v>
      </c>
      <c r="E10" s="25">
        <f>'Rate calc'!V9</f>
        <v>5.71</v>
      </c>
      <c r="F10" s="25">
        <f>'Rate calc'!W9</f>
        <v>0</v>
      </c>
      <c r="G10" s="25">
        <v>0</v>
      </c>
    </row>
    <row r="11" spans="1:7" x14ac:dyDescent="0.25">
      <c r="A11" s="24">
        <v>7</v>
      </c>
      <c r="B11" s="25">
        <v>1.3</v>
      </c>
      <c r="C11" s="25">
        <v>1.45</v>
      </c>
      <c r="D11" s="25">
        <f>'Rate calc'!AA10</f>
        <v>5.13</v>
      </c>
      <c r="E11" s="25">
        <f>'Rate calc'!V10</f>
        <v>5.63</v>
      </c>
      <c r="F11" s="25">
        <f>'Rate calc'!W10</f>
        <v>0</v>
      </c>
      <c r="G11" s="25">
        <v>0</v>
      </c>
    </row>
    <row r="12" spans="1:7" x14ac:dyDescent="0.25">
      <c r="A12" s="24">
        <v>8</v>
      </c>
      <c r="B12" s="25">
        <v>1.45</v>
      </c>
      <c r="C12" s="25">
        <v>2</v>
      </c>
      <c r="D12" s="25">
        <f>'Rate calc'!AA11</f>
        <v>5.13</v>
      </c>
      <c r="E12" s="25">
        <f>'Rate calc'!V11</f>
        <v>5.52</v>
      </c>
      <c r="F12" s="25">
        <f>'Rate calc'!W11</f>
        <v>0</v>
      </c>
      <c r="G12" s="25">
        <v>0</v>
      </c>
    </row>
    <row r="13" spans="1:7" x14ac:dyDescent="0.25">
      <c r="A13" s="24">
        <v>9</v>
      </c>
      <c r="B13" s="25">
        <v>2</v>
      </c>
      <c r="C13" s="25">
        <v>2.15</v>
      </c>
      <c r="D13" s="25">
        <f>'Rate calc'!AA12</f>
        <v>5.13</v>
      </c>
      <c r="E13" s="25">
        <f>'Rate calc'!V12</f>
        <v>5.41</v>
      </c>
      <c r="F13" s="25">
        <f>'Rate calc'!W12</f>
        <v>0</v>
      </c>
      <c r="G13" s="25">
        <v>0</v>
      </c>
    </row>
    <row r="14" spans="1:7" x14ac:dyDescent="0.25">
      <c r="A14" s="24">
        <v>10</v>
      </c>
      <c r="B14" s="25">
        <v>2.15</v>
      </c>
      <c r="C14" s="25">
        <v>2.2999999999999998</v>
      </c>
      <c r="D14" s="25">
        <f>'Rate calc'!AA13</f>
        <v>5.13</v>
      </c>
      <c r="E14" s="25">
        <f>'Rate calc'!V13</f>
        <v>5.28</v>
      </c>
      <c r="F14" s="25">
        <f>'Rate calc'!W13</f>
        <v>0</v>
      </c>
      <c r="G14" s="25">
        <v>0</v>
      </c>
    </row>
    <row r="15" spans="1:7" x14ac:dyDescent="0.25">
      <c r="A15" s="24">
        <v>11</v>
      </c>
      <c r="B15" s="25">
        <v>2.2999999999999998</v>
      </c>
      <c r="C15" s="25">
        <v>2.4500000000000002</v>
      </c>
      <c r="D15" s="25">
        <f>'Rate calc'!AA14</f>
        <v>5.13</v>
      </c>
      <c r="E15" s="25">
        <f>'Rate calc'!V14</f>
        <v>5.26</v>
      </c>
      <c r="F15" s="25">
        <f>'Rate calc'!W14</f>
        <v>0</v>
      </c>
      <c r="G15" s="25">
        <v>0</v>
      </c>
    </row>
    <row r="16" spans="1:7" x14ac:dyDescent="0.25">
      <c r="A16" s="24">
        <v>12</v>
      </c>
      <c r="B16" s="25">
        <v>2.4500000000000002</v>
      </c>
      <c r="C16" s="25">
        <v>3</v>
      </c>
      <c r="D16" s="25">
        <f>'Rate calc'!AA15</f>
        <v>5.13</v>
      </c>
      <c r="E16" s="25">
        <f>'Rate calc'!V15</f>
        <v>5.25</v>
      </c>
      <c r="F16" s="25">
        <f>'Rate calc'!W15</f>
        <v>0</v>
      </c>
      <c r="G16" s="25">
        <v>0</v>
      </c>
    </row>
    <row r="17" spans="1:7" x14ac:dyDescent="0.25">
      <c r="A17" s="24">
        <v>13</v>
      </c>
      <c r="B17" s="25">
        <v>3</v>
      </c>
      <c r="C17" s="25">
        <v>3.15</v>
      </c>
      <c r="D17" s="25">
        <f>'Rate calc'!AA16</f>
        <v>5.13</v>
      </c>
      <c r="E17" s="25">
        <f>'Rate calc'!V16</f>
        <v>4.7300000000000004</v>
      </c>
      <c r="F17" s="25">
        <f>'Rate calc'!W16</f>
        <v>0</v>
      </c>
      <c r="G17" s="25">
        <v>0</v>
      </c>
    </row>
    <row r="18" spans="1:7" x14ac:dyDescent="0.25">
      <c r="A18" s="24">
        <v>14</v>
      </c>
      <c r="B18" s="25">
        <v>3.15</v>
      </c>
      <c r="C18" s="25">
        <v>3.3</v>
      </c>
      <c r="D18" s="25">
        <f>'Rate calc'!AA17</f>
        <v>5.13</v>
      </c>
      <c r="E18" s="25">
        <f>'Rate calc'!V17</f>
        <v>4.83</v>
      </c>
      <c r="F18" s="25">
        <f>'Rate calc'!W17</f>
        <v>0</v>
      </c>
      <c r="G18" s="25">
        <v>0</v>
      </c>
    </row>
    <row r="19" spans="1:7" x14ac:dyDescent="0.25">
      <c r="A19" s="24">
        <v>15</v>
      </c>
      <c r="B19" s="25">
        <v>3.3</v>
      </c>
      <c r="C19" s="25">
        <v>3.45</v>
      </c>
      <c r="D19" s="25">
        <f>'Rate calc'!AA18</f>
        <v>5.13</v>
      </c>
      <c r="E19" s="25">
        <f>'Rate calc'!V18</f>
        <v>4.8499999999999996</v>
      </c>
      <c r="F19" s="25">
        <f>'Rate calc'!W18</f>
        <v>0</v>
      </c>
      <c r="G19" s="25">
        <v>0</v>
      </c>
    </row>
    <row r="20" spans="1:7" x14ac:dyDescent="0.25">
      <c r="A20" s="24">
        <v>16</v>
      </c>
      <c r="B20" s="25">
        <v>3.45</v>
      </c>
      <c r="C20" s="25">
        <v>4</v>
      </c>
      <c r="D20" s="25">
        <f>'Rate calc'!AA19</f>
        <v>5.13</v>
      </c>
      <c r="E20" s="25">
        <f>'Rate calc'!V19</f>
        <v>4.7</v>
      </c>
      <c r="F20" s="25">
        <f>'Rate calc'!W19</f>
        <v>0</v>
      </c>
      <c r="G20" s="25">
        <v>0</v>
      </c>
    </row>
    <row r="21" spans="1:7" x14ac:dyDescent="0.25">
      <c r="A21" s="24">
        <v>17</v>
      </c>
      <c r="B21" s="25">
        <v>4</v>
      </c>
      <c r="C21" s="25">
        <v>4.1500000000000004</v>
      </c>
      <c r="D21" s="25">
        <f>'Rate calc'!AA20</f>
        <v>5.13</v>
      </c>
      <c r="E21" s="25">
        <f>'Rate calc'!V20</f>
        <v>5</v>
      </c>
      <c r="F21" s="25">
        <f>'Rate calc'!W20</f>
        <v>0</v>
      </c>
      <c r="G21" s="25">
        <v>0</v>
      </c>
    </row>
    <row r="22" spans="1:7" x14ac:dyDescent="0.25">
      <c r="A22" s="24">
        <v>18</v>
      </c>
      <c r="B22" s="25">
        <v>4.1500000000000004</v>
      </c>
      <c r="C22" s="25">
        <v>4.3</v>
      </c>
      <c r="D22" s="25">
        <f>'Rate calc'!AA21</f>
        <v>5.13</v>
      </c>
      <c r="E22" s="25">
        <f>'Rate calc'!V21</f>
        <v>5.35</v>
      </c>
      <c r="F22" s="25">
        <f>'Rate calc'!W21</f>
        <v>0</v>
      </c>
      <c r="G22" s="25">
        <v>0</v>
      </c>
    </row>
    <row r="23" spans="1:7" x14ac:dyDescent="0.25">
      <c r="A23" s="24">
        <v>19</v>
      </c>
      <c r="B23" s="25">
        <v>4.3</v>
      </c>
      <c r="C23" s="25">
        <v>4.45</v>
      </c>
      <c r="D23" s="25">
        <f>'Rate calc'!AA22</f>
        <v>5.13</v>
      </c>
      <c r="E23" s="25">
        <f>'Rate calc'!V22</f>
        <v>5.14</v>
      </c>
      <c r="F23" s="25">
        <f>'Rate calc'!W22</f>
        <v>0</v>
      </c>
      <c r="G23" s="25">
        <v>0</v>
      </c>
    </row>
    <row r="24" spans="1:7" x14ac:dyDescent="0.25">
      <c r="A24" s="24">
        <v>20</v>
      </c>
      <c r="B24" s="25">
        <v>4.45</v>
      </c>
      <c r="C24" s="25">
        <v>5</v>
      </c>
      <c r="D24" s="25">
        <f>'Rate calc'!AA23</f>
        <v>5.13</v>
      </c>
      <c r="E24" s="25">
        <f>'Rate calc'!V23</f>
        <v>5.36</v>
      </c>
      <c r="F24" s="25">
        <f>'Rate calc'!W23</f>
        <v>0</v>
      </c>
      <c r="G24" s="25">
        <v>0</v>
      </c>
    </row>
    <row r="25" spans="1:7" x14ac:dyDescent="0.25">
      <c r="A25" s="24">
        <v>21</v>
      </c>
      <c r="B25" s="25">
        <v>5</v>
      </c>
      <c r="C25" s="25">
        <v>5.15</v>
      </c>
      <c r="D25" s="25">
        <f>'Rate calc'!AA24</f>
        <v>5.13</v>
      </c>
      <c r="E25" s="25">
        <f>'Rate calc'!V24</f>
        <v>5.73</v>
      </c>
      <c r="F25" s="25">
        <f>'Rate calc'!W24</f>
        <v>0</v>
      </c>
      <c r="G25" s="25">
        <v>0</v>
      </c>
    </row>
    <row r="26" spans="1:7" x14ac:dyDescent="0.25">
      <c r="A26" s="24">
        <v>22</v>
      </c>
      <c r="B26" s="25">
        <v>5.15</v>
      </c>
      <c r="C26" s="25">
        <v>5.3</v>
      </c>
      <c r="D26" s="25">
        <f>'Rate calc'!AA25</f>
        <v>5.13</v>
      </c>
      <c r="E26" s="25">
        <f>'Rate calc'!V25</f>
        <v>5.56</v>
      </c>
      <c r="F26" s="25">
        <f>'Rate calc'!W25</f>
        <v>0</v>
      </c>
      <c r="G26" s="25">
        <v>0</v>
      </c>
    </row>
    <row r="27" spans="1:7" x14ac:dyDescent="0.25">
      <c r="A27" s="24">
        <v>23</v>
      </c>
      <c r="B27" s="25">
        <v>5.3</v>
      </c>
      <c r="C27" s="25">
        <v>5.45</v>
      </c>
      <c r="D27" s="25">
        <f>'Rate calc'!AA26</f>
        <v>5.13</v>
      </c>
      <c r="E27" s="25">
        <f>'Rate calc'!V26</f>
        <v>5.26</v>
      </c>
      <c r="F27" s="25">
        <f>'Rate calc'!W26</f>
        <v>0</v>
      </c>
      <c r="G27" s="25">
        <v>0</v>
      </c>
    </row>
    <row r="28" spans="1:7" x14ac:dyDescent="0.25">
      <c r="A28" s="24">
        <v>24</v>
      </c>
      <c r="B28" s="25">
        <v>5.45</v>
      </c>
      <c r="C28" s="25">
        <v>6</v>
      </c>
      <c r="D28" s="25">
        <f>'Rate calc'!AA27</f>
        <v>5.13</v>
      </c>
      <c r="E28" s="25">
        <f>'Rate calc'!V27</f>
        <v>4.87</v>
      </c>
      <c r="F28" s="25">
        <f>'Rate calc'!W27</f>
        <v>0</v>
      </c>
      <c r="G28" s="25">
        <v>0</v>
      </c>
    </row>
    <row r="29" spans="1:7" x14ac:dyDescent="0.25">
      <c r="A29" s="24">
        <v>25</v>
      </c>
      <c r="B29" s="25">
        <v>6</v>
      </c>
      <c r="C29" s="25">
        <v>6.15</v>
      </c>
      <c r="D29" s="25">
        <f>'Rate calc'!AA28</f>
        <v>5.13</v>
      </c>
      <c r="E29" s="25">
        <f>'Rate calc'!V28</f>
        <v>5.62</v>
      </c>
      <c r="F29" s="25">
        <f>'Rate calc'!W28</f>
        <v>0</v>
      </c>
      <c r="G29" s="25">
        <v>0</v>
      </c>
    </row>
    <row r="30" spans="1:7" x14ac:dyDescent="0.25">
      <c r="A30" s="24">
        <v>26</v>
      </c>
      <c r="B30" s="25">
        <v>6.15</v>
      </c>
      <c r="C30" s="25">
        <v>6.3</v>
      </c>
      <c r="D30" s="25">
        <f>'Rate calc'!AA29</f>
        <v>5.13</v>
      </c>
      <c r="E30" s="25">
        <f>'Rate calc'!V29</f>
        <v>5.87</v>
      </c>
      <c r="F30" s="25">
        <f>'Rate calc'!W29</f>
        <v>0</v>
      </c>
      <c r="G30" s="25">
        <v>0</v>
      </c>
    </row>
    <row r="31" spans="1:7" x14ac:dyDescent="0.25">
      <c r="A31" s="24">
        <v>27</v>
      </c>
      <c r="B31" s="25">
        <v>6.3</v>
      </c>
      <c r="C31" s="25">
        <v>6.45</v>
      </c>
      <c r="D31" s="25">
        <f>'Rate calc'!AA30</f>
        <v>5.13</v>
      </c>
      <c r="E31" s="25">
        <f>'Rate calc'!V30</f>
        <v>7.03</v>
      </c>
      <c r="F31" s="25">
        <f>'Rate calc'!W30</f>
        <v>0</v>
      </c>
      <c r="G31" s="25">
        <v>0</v>
      </c>
    </row>
    <row r="32" spans="1:7" x14ac:dyDescent="0.25">
      <c r="A32" s="24">
        <v>28</v>
      </c>
      <c r="B32" s="25">
        <v>6.45</v>
      </c>
      <c r="C32" s="25">
        <v>7</v>
      </c>
      <c r="D32" s="25">
        <f>'Rate calc'!AA31</f>
        <v>5.13</v>
      </c>
      <c r="E32" s="25">
        <f>'Rate calc'!V31</f>
        <v>7.86</v>
      </c>
      <c r="F32" s="25">
        <f>'Rate calc'!W31</f>
        <v>0</v>
      </c>
      <c r="G32" s="25">
        <v>0</v>
      </c>
    </row>
    <row r="33" spans="1:7" x14ac:dyDescent="0.25">
      <c r="A33" s="24">
        <v>29</v>
      </c>
      <c r="B33" s="25">
        <v>7</v>
      </c>
      <c r="C33" s="25">
        <v>7.15</v>
      </c>
      <c r="D33" s="25">
        <f>'Rate calc'!AA32</f>
        <v>5.13</v>
      </c>
      <c r="E33" s="25">
        <f>'Rate calc'!V32</f>
        <v>7.29</v>
      </c>
      <c r="F33" s="25">
        <f>'Rate calc'!W32</f>
        <v>0</v>
      </c>
      <c r="G33" s="25">
        <v>0</v>
      </c>
    </row>
    <row r="34" spans="1:7" x14ac:dyDescent="0.25">
      <c r="A34" s="24">
        <v>30</v>
      </c>
      <c r="B34" s="25">
        <v>7.15</v>
      </c>
      <c r="C34" s="25">
        <v>7.3</v>
      </c>
      <c r="D34" s="25">
        <f>'Rate calc'!AA33</f>
        <v>5.13</v>
      </c>
      <c r="E34" s="25">
        <f>'Rate calc'!V33</f>
        <v>7.09</v>
      </c>
      <c r="F34" s="25">
        <f>'Rate calc'!W33</f>
        <v>0</v>
      </c>
      <c r="G34" s="25">
        <v>0</v>
      </c>
    </row>
    <row r="35" spans="1:7" x14ac:dyDescent="0.25">
      <c r="A35" s="24">
        <v>31</v>
      </c>
      <c r="B35" s="25">
        <v>7.3</v>
      </c>
      <c r="C35" s="25">
        <v>7.45</v>
      </c>
      <c r="D35" s="25">
        <f>'Rate calc'!AA34</f>
        <v>5.13</v>
      </c>
      <c r="E35" s="25">
        <f>'Rate calc'!V34</f>
        <v>6.1</v>
      </c>
      <c r="F35" s="25">
        <f>'Rate calc'!W34</f>
        <v>0</v>
      </c>
      <c r="G35" s="25">
        <v>0</v>
      </c>
    </row>
    <row r="36" spans="1:7" x14ac:dyDescent="0.25">
      <c r="A36" s="24">
        <v>32</v>
      </c>
      <c r="B36" s="25">
        <v>7.45</v>
      </c>
      <c r="C36" s="25">
        <v>8</v>
      </c>
      <c r="D36" s="25">
        <f>'Rate calc'!AA35</f>
        <v>5.13</v>
      </c>
      <c r="E36" s="25">
        <f>'Rate calc'!V35</f>
        <v>4.8499999999999996</v>
      </c>
      <c r="F36" s="25">
        <f>'Rate calc'!W35</f>
        <v>0</v>
      </c>
      <c r="G36" s="25">
        <v>0</v>
      </c>
    </row>
    <row r="37" spans="1:7" x14ac:dyDescent="0.25">
      <c r="A37" s="24">
        <v>33</v>
      </c>
      <c r="B37" s="25">
        <v>8</v>
      </c>
      <c r="C37" s="25">
        <v>8.15</v>
      </c>
      <c r="D37" s="25">
        <f>'Rate calc'!AA36</f>
        <v>5.13</v>
      </c>
      <c r="E37" s="25">
        <f>'Rate calc'!V36</f>
        <v>4.54</v>
      </c>
      <c r="F37" s="25">
        <f>'Rate calc'!W36</f>
        <v>0</v>
      </c>
      <c r="G37" s="25">
        <v>0</v>
      </c>
    </row>
    <row r="38" spans="1:7" x14ac:dyDescent="0.25">
      <c r="A38" s="24">
        <v>34</v>
      </c>
      <c r="B38" s="25">
        <v>8.15</v>
      </c>
      <c r="C38" s="28">
        <v>8.3000000000000007</v>
      </c>
      <c r="D38" s="25">
        <f>'Rate calc'!AA37</f>
        <v>5.13</v>
      </c>
      <c r="E38" s="25">
        <f>'Rate calc'!V37</f>
        <v>4.58</v>
      </c>
      <c r="F38" s="25">
        <f>'Rate calc'!W37</f>
        <v>0</v>
      </c>
      <c r="G38" s="25">
        <v>0</v>
      </c>
    </row>
    <row r="39" spans="1:7" x14ac:dyDescent="0.25">
      <c r="A39" s="24">
        <v>35</v>
      </c>
      <c r="B39" s="25">
        <v>8.3000000000000007</v>
      </c>
      <c r="C39" s="25">
        <v>8.4499999999999993</v>
      </c>
      <c r="D39" s="25">
        <f>'Rate calc'!AA38</f>
        <v>5.13</v>
      </c>
      <c r="E39" s="25">
        <f>'Rate calc'!V38</f>
        <v>4.54</v>
      </c>
      <c r="F39" s="25">
        <f>'Rate calc'!W38</f>
        <v>0</v>
      </c>
      <c r="G39" s="25">
        <v>0</v>
      </c>
    </row>
    <row r="40" spans="1:7" x14ac:dyDescent="0.25">
      <c r="A40" s="24">
        <v>36</v>
      </c>
      <c r="B40" s="25">
        <v>8.4499999999999993</v>
      </c>
      <c r="C40" s="25">
        <v>9</v>
      </c>
      <c r="D40" s="25">
        <f>'Rate calc'!AA39</f>
        <v>5.13</v>
      </c>
      <c r="E40" s="25">
        <f>'Rate calc'!V39</f>
        <v>4.53</v>
      </c>
      <c r="F40" s="25">
        <f>'Rate calc'!W39</f>
        <v>0</v>
      </c>
      <c r="G40" s="25">
        <v>0</v>
      </c>
    </row>
    <row r="41" spans="1:7" x14ac:dyDescent="0.25">
      <c r="A41" s="24">
        <v>37</v>
      </c>
      <c r="B41" s="25">
        <v>9</v>
      </c>
      <c r="C41" s="25">
        <v>9.15</v>
      </c>
      <c r="D41" s="25">
        <f>'Rate calc'!AA40</f>
        <v>5.13</v>
      </c>
      <c r="E41" s="25">
        <f>'Rate calc'!V40</f>
        <v>4.55</v>
      </c>
      <c r="F41" s="25">
        <f>'Rate calc'!W40</f>
        <v>0</v>
      </c>
      <c r="G41" s="25">
        <v>0</v>
      </c>
    </row>
    <row r="42" spans="1:7" x14ac:dyDescent="0.25">
      <c r="A42" s="24">
        <v>38</v>
      </c>
      <c r="B42" s="28">
        <v>9.15</v>
      </c>
      <c r="C42" s="28">
        <v>9.3000000000000007</v>
      </c>
      <c r="D42" s="25">
        <f>'Rate calc'!AA41</f>
        <v>5.13</v>
      </c>
      <c r="E42" s="25">
        <f>'Rate calc'!V41</f>
        <v>4.55</v>
      </c>
      <c r="F42" s="25">
        <f>'Rate calc'!W41</f>
        <v>0</v>
      </c>
      <c r="G42" s="25">
        <v>0</v>
      </c>
    </row>
    <row r="43" spans="1:7" x14ac:dyDescent="0.25">
      <c r="A43" s="24">
        <v>39</v>
      </c>
      <c r="B43" s="25">
        <v>9.3000000000000007</v>
      </c>
      <c r="C43" s="25">
        <v>9.4499999999999993</v>
      </c>
      <c r="D43" s="25">
        <f>'Rate calc'!AA42</f>
        <v>5.13</v>
      </c>
      <c r="E43" s="25">
        <f>'Rate calc'!V42</f>
        <v>4.59</v>
      </c>
      <c r="F43" s="25">
        <f>'Rate calc'!W42</f>
        <v>0</v>
      </c>
      <c r="G43" s="25">
        <v>0</v>
      </c>
    </row>
    <row r="44" spans="1:7" x14ac:dyDescent="0.25">
      <c r="A44" s="24">
        <v>40</v>
      </c>
      <c r="B44" s="25">
        <v>9.4499999999999993</v>
      </c>
      <c r="C44" s="25">
        <v>10</v>
      </c>
      <c r="D44" s="25">
        <f>'Rate calc'!AA43</f>
        <v>5.13</v>
      </c>
      <c r="E44" s="25">
        <f>'Rate calc'!V43</f>
        <v>4.8099999999999996</v>
      </c>
      <c r="F44" s="25">
        <f>'Rate calc'!W43</f>
        <v>0</v>
      </c>
      <c r="G44" s="25">
        <v>0</v>
      </c>
    </row>
    <row r="45" spans="1:7" x14ac:dyDescent="0.25">
      <c r="A45" s="24">
        <v>41</v>
      </c>
      <c r="B45" s="25">
        <v>10</v>
      </c>
      <c r="C45" s="25">
        <v>10.15</v>
      </c>
      <c r="D45" s="25">
        <f>'Rate calc'!AA44</f>
        <v>5.13</v>
      </c>
      <c r="E45" s="25">
        <f>'Rate calc'!V44</f>
        <v>4.45</v>
      </c>
      <c r="F45" s="25">
        <f>'Rate calc'!W44</f>
        <v>0</v>
      </c>
      <c r="G45" s="25">
        <v>0</v>
      </c>
    </row>
    <row r="46" spans="1:7" x14ac:dyDescent="0.25">
      <c r="A46" s="24">
        <v>42</v>
      </c>
      <c r="B46" s="25">
        <v>10.15</v>
      </c>
      <c r="C46" s="25">
        <v>10.3</v>
      </c>
      <c r="D46" s="25">
        <f>'Rate calc'!AA45</f>
        <v>5.13</v>
      </c>
      <c r="E46" s="25">
        <f>'Rate calc'!V45</f>
        <v>4.5599999999999996</v>
      </c>
      <c r="F46" s="25">
        <f>'Rate calc'!W45</f>
        <v>0</v>
      </c>
      <c r="G46" s="25">
        <v>0</v>
      </c>
    </row>
    <row r="47" spans="1:7" x14ac:dyDescent="0.25">
      <c r="A47" s="24">
        <v>43</v>
      </c>
      <c r="B47" s="25">
        <v>10.3</v>
      </c>
      <c r="C47" s="25">
        <v>10.45</v>
      </c>
      <c r="D47" s="25">
        <f>'Rate calc'!AA46</f>
        <v>5.13</v>
      </c>
      <c r="E47" s="25">
        <f>'Rate calc'!V46</f>
        <v>4.62</v>
      </c>
      <c r="F47" s="25">
        <f>'Rate calc'!W46</f>
        <v>0</v>
      </c>
      <c r="G47" s="25">
        <v>0</v>
      </c>
    </row>
    <row r="48" spans="1:7" x14ac:dyDescent="0.25">
      <c r="A48" s="24">
        <v>44</v>
      </c>
      <c r="B48" s="25">
        <v>10.45</v>
      </c>
      <c r="C48" s="25">
        <v>11</v>
      </c>
      <c r="D48" s="25">
        <f>'Rate calc'!AA47</f>
        <v>5.13</v>
      </c>
      <c r="E48" s="25">
        <f>'Rate calc'!V47</f>
        <v>4.6399999999999997</v>
      </c>
      <c r="F48" s="25">
        <f>'Rate calc'!W47</f>
        <v>0</v>
      </c>
      <c r="G48" s="25">
        <v>0</v>
      </c>
    </row>
    <row r="49" spans="1:7" x14ac:dyDescent="0.25">
      <c r="A49" s="24">
        <v>45</v>
      </c>
      <c r="B49" s="25">
        <v>11</v>
      </c>
      <c r="C49" s="25">
        <v>11.15</v>
      </c>
      <c r="D49" s="25">
        <f>'Rate calc'!AA48</f>
        <v>5.13</v>
      </c>
      <c r="E49" s="25">
        <f>'Rate calc'!V48</f>
        <v>4.51</v>
      </c>
      <c r="F49" s="25">
        <f>'Rate calc'!W48</f>
        <v>0</v>
      </c>
      <c r="G49" s="25">
        <v>0</v>
      </c>
    </row>
    <row r="50" spans="1:7" x14ac:dyDescent="0.25">
      <c r="A50" s="24">
        <v>46</v>
      </c>
      <c r="B50" s="25">
        <v>11.15</v>
      </c>
      <c r="C50" s="25">
        <v>11.3</v>
      </c>
      <c r="D50" s="25">
        <f>'Rate calc'!AA49</f>
        <v>5.13</v>
      </c>
      <c r="E50" s="25">
        <f>'Rate calc'!V49</f>
        <v>4.55</v>
      </c>
      <c r="F50" s="25">
        <f>'Rate calc'!W49</f>
        <v>0</v>
      </c>
      <c r="G50" s="25">
        <v>0</v>
      </c>
    </row>
    <row r="51" spans="1:7" x14ac:dyDescent="0.25">
      <c r="A51" s="24">
        <v>47</v>
      </c>
      <c r="B51" s="25">
        <v>11.3</v>
      </c>
      <c r="C51" s="25">
        <v>11.45</v>
      </c>
      <c r="D51" s="25">
        <f>'Rate calc'!AA50</f>
        <v>5.13</v>
      </c>
      <c r="E51" s="25">
        <f>'Rate calc'!V50</f>
        <v>4.46</v>
      </c>
      <c r="F51" s="25">
        <f>'Rate calc'!W50</f>
        <v>0</v>
      </c>
      <c r="G51" s="25">
        <v>0</v>
      </c>
    </row>
    <row r="52" spans="1:7" x14ac:dyDescent="0.25">
      <c r="A52" s="24">
        <v>48</v>
      </c>
      <c r="B52" s="25">
        <v>11.45</v>
      </c>
      <c r="C52" s="25">
        <v>12</v>
      </c>
      <c r="D52" s="25">
        <f>'Rate calc'!AA51</f>
        <v>5.13</v>
      </c>
      <c r="E52" s="25">
        <f>'Rate calc'!V51</f>
        <v>4.29</v>
      </c>
      <c r="F52" s="25">
        <f>'Rate calc'!W51</f>
        <v>0</v>
      </c>
      <c r="G52" s="25">
        <v>0</v>
      </c>
    </row>
    <row r="53" spans="1:7" x14ac:dyDescent="0.25">
      <c r="A53" s="24">
        <v>49</v>
      </c>
      <c r="B53" s="25">
        <v>12</v>
      </c>
      <c r="C53" s="25">
        <v>12.15</v>
      </c>
      <c r="D53" s="25">
        <f>'Rate calc'!AA52</f>
        <v>5.13</v>
      </c>
      <c r="E53" s="25">
        <f>'Rate calc'!V52</f>
        <v>3.99</v>
      </c>
      <c r="F53" s="25">
        <f>'Rate calc'!W52</f>
        <v>0</v>
      </c>
      <c r="G53" s="25">
        <v>0</v>
      </c>
    </row>
    <row r="54" spans="1:7" x14ac:dyDescent="0.25">
      <c r="A54" s="24">
        <v>50</v>
      </c>
      <c r="B54" s="25">
        <v>12.15</v>
      </c>
      <c r="C54" s="25">
        <v>12.3</v>
      </c>
      <c r="D54" s="25">
        <f>'Rate calc'!AA53</f>
        <v>5.13</v>
      </c>
      <c r="E54" s="25">
        <f>'Rate calc'!V53</f>
        <v>3.99</v>
      </c>
      <c r="F54" s="25">
        <f>'Rate calc'!W53</f>
        <v>0</v>
      </c>
      <c r="G54" s="25">
        <v>0</v>
      </c>
    </row>
    <row r="55" spans="1:7" x14ac:dyDescent="0.25">
      <c r="A55" s="24">
        <v>51</v>
      </c>
      <c r="B55" s="25">
        <v>12.3</v>
      </c>
      <c r="C55" s="25">
        <v>12.45</v>
      </c>
      <c r="D55" s="25">
        <f>'Rate calc'!AA54</f>
        <v>5.13</v>
      </c>
      <c r="E55" s="25">
        <f>'Rate calc'!V54</f>
        <v>3.73</v>
      </c>
      <c r="F55" s="25">
        <f>'Rate calc'!W54</f>
        <v>0</v>
      </c>
      <c r="G55" s="25">
        <v>0</v>
      </c>
    </row>
    <row r="56" spans="1:7" x14ac:dyDescent="0.25">
      <c r="A56" s="24">
        <v>52</v>
      </c>
      <c r="B56" s="25">
        <v>12.45</v>
      </c>
      <c r="C56" s="25">
        <v>13</v>
      </c>
      <c r="D56" s="25">
        <f>'Rate calc'!AA55</f>
        <v>5.13</v>
      </c>
      <c r="E56" s="25">
        <f>'Rate calc'!V55</f>
        <v>3.66</v>
      </c>
      <c r="F56" s="25">
        <f>'Rate calc'!W55</f>
        <v>0</v>
      </c>
      <c r="G56" s="25">
        <v>0</v>
      </c>
    </row>
    <row r="57" spans="1:7" x14ac:dyDescent="0.25">
      <c r="A57" s="24">
        <v>53</v>
      </c>
      <c r="B57" s="25">
        <v>13</v>
      </c>
      <c r="C57" s="25">
        <v>13.15</v>
      </c>
      <c r="D57" s="25">
        <f>'Rate calc'!AA56</f>
        <v>5.13</v>
      </c>
      <c r="E57" s="25">
        <f>'Rate calc'!V56</f>
        <v>3.57</v>
      </c>
      <c r="F57" s="25">
        <f>'Rate calc'!W56</f>
        <v>0</v>
      </c>
      <c r="G57" s="25">
        <v>0</v>
      </c>
    </row>
    <row r="58" spans="1:7" x14ac:dyDescent="0.25">
      <c r="A58" s="24">
        <v>54</v>
      </c>
      <c r="B58" s="25">
        <v>13.15</v>
      </c>
      <c r="C58" s="25">
        <v>13.3</v>
      </c>
      <c r="D58" s="25">
        <f>'Rate calc'!AA57</f>
        <v>5.13</v>
      </c>
      <c r="E58" s="25">
        <f>'Rate calc'!V57</f>
        <v>3.57</v>
      </c>
      <c r="F58" s="25">
        <f>'Rate calc'!W57</f>
        <v>0</v>
      </c>
      <c r="G58" s="25">
        <v>0</v>
      </c>
    </row>
    <row r="59" spans="1:7" x14ac:dyDescent="0.25">
      <c r="A59" s="24">
        <v>55</v>
      </c>
      <c r="B59" s="25">
        <v>13.3</v>
      </c>
      <c r="C59" s="25">
        <v>13.45</v>
      </c>
      <c r="D59" s="25">
        <f>'Rate calc'!AA58</f>
        <v>5.13</v>
      </c>
      <c r="E59" s="25">
        <f>'Rate calc'!V58</f>
        <v>3.58</v>
      </c>
      <c r="F59" s="25">
        <f>'Rate calc'!W58</f>
        <v>0</v>
      </c>
      <c r="G59" s="25">
        <v>0</v>
      </c>
    </row>
    <row r="60" spans="1:7" x14ac:dyDescent="0.25">
      <c r="A60" s="24">
        <v>56</v>
      </c>
      <c r="B60" s="25">
        <v>13.45</v>
      </c>
      <c r="C60" s="25">
        <v>14</v>
      </c>
      <c r="D60" s="25">
        <f>'Rate calc'!AA59</f>
        <v>5.13</v>
      </c>
      <c r="E60" s="25">
        <f>'Rate calc'!V59</f>
        <v>3.58</v>
      </c>
      <c r="F60" s="25">
        <f>'Rate calc'!W59</f>
        <v>0</v>
      </c>
      <c r="G60" s="25">
        <v>0</v>
      </c>
    </row>
    <row r="61" spans="1:7" x14ac:dyDescent="0.25">
      <c r="A61" s="24">
        <v>57</v>
      </c>
      <c r="B61" s="25">
        <v>14</v>
      </c>
      <c r="C61" s="25">
        <v>14.15</v>
      </c>
      <c r="D61" s="25">
        <f>'Rate calc'!AA60</f>
        <v>5.13</v>
      </c>
      <c r="E61" s="25">
        <f>'Rate calc'!V60</f>
        <v>3.77</v>
      </c>
      <c r="F61" s="25">
        <f>'Rate calc'!W60</f>
        <v>0</v>
      </c>
      <c r="G61" s="25">
        <v>0</v>
      </c>
    </row>
    <row r="62" spans="1:7" x14ac:dyDescent="0.25">
      <c r="A62" s="24">
        <v>58</v>
      </c>
      <c r="B62" s="25">
        <v>14.15</v>
      </c>
      <c r="C62" s="25">
        <v>14.3</v>
      </c>
      <c r="D62" s="25">
        <f>'Rate calc'!AA61</f>
        <v>5.13</v>
      </c>
      <c r="E62" s="25">
        <f>'Rate calc'!V61</f>
        <v>3.87</v>
      </c>
      <c r="F62" s="25">
        <f>'Rate calc'!W61</f>
        <v>0</v>
      </c>
      <c r="G62" s="25">
        <v>0</v>
      </c>
    </row>
    <row r="63" spans="1:7" x14ac:dyDescent="0.25">
      <c r="A63" s="24">
        <v>59</v>
      </c>
      <c r="B63" s="25">
        <v>14.3</v>
      </c>
      <c r="C63" s="25">
        <v>14.45</v>
      </c>
      <c r="D63" s="25">
        <f>'Rate calc'!AA62</f>
        <v>5.13</v>
      </c>
      <c r="E63" s="25">
        <f>'Rate calc'!V62</f>
        <v>3.77</v>
      </c>
      <c r="F63" s="25">
        <f>'Rate calc'!W62</f>
        <v>0</v>
      </c>
      <c r="G63" s="25">
        <v>0</v>
      </c>
    </row>
    <row r="64" spans="1:7" x14ac:dyDescent="0.25">
      <c r="A64" s="24">
        <v>60</v>
      </c>
      <c r="B64" s="25">
        <v>14.45</v>
      </c>
      <c r="C64" s="25">
        <v>15</v>
      </c>
      <c r="D64" s="25">
        <f>'Rate calc'!AA63</f>
        <v>5.13</v>
      </c>
      <c r="E64" s="25">
        <f>'Rate calc'!V63</f>
        <v>3.89</v>
      </c>
      <c r="F64" s="25">
        <f>'Rate calc'!W63</f>
        <v>0</v>
      </c>
      <c r="G64" s="25">
        <v>0</v>
      </c>
    </row>
    <row r="65" spans="1:7" x14ac:dyDescent="0.25">
      <c r="A65" s="24">
        <v>61</v>
      </c>
      <c r="B65" s="25">
        <v>15</v>
      </c>
      <c r="C65" s="25">
        <v>15.15</v>
      </c>
      <c r="D65" s="25">
        <f>'Rate calc'!AA64</f>
        <v>5.13</v>
      </c>
      <c r="E65" s="25">
        <f>'Rate calc'!V64</f>
        <v>4.5199999999999996</v>
      </c>
      <c r="F65" s="25">
        <f>'Rate calc'!W64</f>
        <v>0</v>
      </c>
      <c r="G65" s="25">
        <v>0</v>
      </c>
    </row>
    <row r="66" spans="1:7" x14ac:dyDescent="0.25">
      <c r="A66" s="24">
        <v>62</v>
      </c>
      <c r="B66" s="25">
        <v>15.15</v>
      </c>
      <c r="C66" s="25">
        <v>15.3</v>
      </c>
      <c r="D66" s="25">
        <f>'Rate calc'!AA65</f>
        <v>5.13</v>
      </c>
      <c r="E66" s="25">
        <f>'Rate calc'!V65</f>
        <v>4.5599999999999996</v>
      </c>
      <c r="F66" s="25">
        <f>'Rate calc'!W65</f>
        <v>0</v>
      </c>
      <c r="G66" s="25">
        <v>0</v>
      </c>
    </row>
    <row r="67" spans="1:7" x14ac:dyDescent="0.25">
      <c r="A67" s="24">
        <v>63</v>
      </c>
      <c r="B67" s="25">
        <v>15.3</v>
      </c>
      <c r="C67" s="25">
        <v>15.45</v>
      </c>
      <c r="D67" s="25">
        <f>'Rate calc'!AA66</f>
        <v>5.13</v>
      </c>
      <c r="E67" s="25">
        <f>'Rate calc'!V66</f>
        <v>4.51</v>
      </c>
      <c r="F67" s="25">
        <f>'Rate calc'!W66</f>
        <v>0</v>
      </c>
      <c r="G67" s="25">
        <v>0</v>
      </c>
    </row>
    <row r="68" spans="1:7" x14ac:dyDescent="0.25">
      <c r="A68" s="24">
        <v>64</v>
      </c>
      <c r="B68" s="25">
        <v>15.45</v>
      </c>
      <c r="C68" s="25">
        <v>16</v>
      </c>
      <c r="D68" s="25">
        <f>'Rate calc'!AA67</f>
        <v>5.13</v>
      </c>
      <c r="E68" s="25">
        <f>'Rate calc'!V67</f>
        <v>4.5599999999999996</v>
      </c>
      <c r="F68" s="25">
        <f>'Rate calc'!W67</f>
        <v>0</v>
      </c>
      <c r="G68" s="25">
        <v>0</v>
      </c>
    </row>
    <row r="69" spans="1:7" x14ac:dyDescent="0.25">
      <c r="A69" s="24">
        <v>65</v>
      </c>
      <c r="B69" s="25">
        <v>16</v>
      </c>
      <c r="C69" s="25">
        <v>16.149999999999999</v>
      </c>
      <c r="D69" s="25">
        <f>'Rate calc'!AA68</f>
        <v>5.13</v>
      </c>
      <c r="E69" s="25">
        <f>'Rate calc'!V68</f>
        <v>4.83</v>
      </c>
      <c r="F69" s="25">
        <f>'Rate calc'!W68</f>
        <v>0</v>
      </c>
      <c r="G69" s="25">
        <v>0</v>
      </c>
    </row>
    <row r="70" spans="1:7" x14ac:dyDescent="0.25">
      <c r="A70" s="24">
        <v>66</v>
      </c>
      <c r="B70" s="25">
        <v>16.149999999999999</v>
      </c>
      <c r="C70" s="25">
        <v>16.3</v>
      </c>
      <c r="D70" s="25">
        <f>'Rate calc'!AA69</f>
        <v>5.13</v>
      </c>
      <c r="E70" s="25">
        <f>'Rate calc'!V69</f>
        <v>4.88</v>
      </c>
      <c r="F70" s="25">
        <f>'Rate calc'!W69</f>
        <v>0</v>
      </c>
      <c r="G70" s="25">
        <v>0</v>
      </c>
    </row>
    <row r="71" spans="1:7" x14ac:dyDescent="0.25">
      <c r="A71" s="24">
        <v>67</v>
      </c>
      <c r="B71" s="25">
        <v>16.3</v>
      </c>
      <c r="C71" s="25">
        <v>16.45</v>
      </c>
      <c r="D71" s="25">
        <f>'Rate calc'!AA70</f>
        <v>5.13</v>
      </c>
      <c r="E71" s="25">
        <f>'Rate calc'!V70</f>
        <v>5.03</v>
      </c>
      <c r="F71" s="25">
        <f>'Rate calc'!W70</f>
        <v>0</v>
      </c>
      <c r="G71" s="25">
        <v>0</v>
      </c>
    </row>
    <row r="72" spans="1:7" x14ac:dyDescent="0.25">
      <c r="A72" s="24">
        <v>68</v>
      </c>
      <c r="B72" s="25">
        <v>16.45</v>
      </c>
      <c r="C72" s="25">
        <v>17</v>
      </c>
      <c r="D72" s="25">
        <f>'Rate calc'!AA71</f>
        <v>5.13</v>
      </c>
      <c r="E72" s="25">
        <f>'Rate calc'!V71</f>
        <v>5.42</v>
      </c>
      <c r="F72" s="25">
        <f>'Rate calc'!W71</f>
        <v>0</v>
      </c>
      <c r="G72" s="25">
        <v>0</v>
      </c>
    </row>
    <row r="73" spans="1:7" x14ac:dyDescent="0.25">
      <c r="A73" s="24">
        <v>69</v>
      </c>
      <c r="B73" s="25">
        <v>17</v>
      </c>
      <c r="C73" s="25">
        <v>17.149999999999999</v>
      </c>
      <c r="D73" s="25">
        <f>'Rate calc'!AA72</f>
        <v>5.13</v>
      </c>
      <c r="E73" s="25">
        <f>'Rate calc'!V72</f>
        <v>4.6100000000000003</v>
      </c>
      <c r="F73" s="25">
        <f>'Rate calc'!W72</f>
        <v>0</v>
      </c>
      <c r="G73" s="25">
        <v>0</v>
      </c>
    </row>
    <row r="74" spans="1:7" x14ac:dyDescent="0.25">
      <c r="A74" s="24">
        <v>70</v>
      </c>
      <c r="B74" s="25">
        <v>17.149999999999999</v>
      </c>
      <c r="C74" s="25">
        <v>17.3</v>
      </c>
      <c r="D74" s="25">
        <f>'Rate calc'!AA73</f>
        <v>5.13</v>
      </c>
      <c r="E74" s="25">
        <f>'Rate calc'!V73</f>
        <v>4.57</v>
      </c>
      <c r="F74" s="25">
        <f>'Rate calc'!W73</f>
        <v>0</v>
      </c>
      <c r="G74" s="25">
        <v>0</v>
      </c>
    </row>
    <row r="75" spans="1:7" x14ac:dyDescent="0.25">
      <c r="A75" s="24">
        <v>71</v>
      </c>
      <c r="B75" s="25">
        <v>17.3</v>
      </c>
      <c r="C75" s="25">
        <v>17.45</v>
      </c>
      <c r="D75" s="25">
        <f>'Rate calc'!AA74</f>
        <v>5.13</v>
      </c>
      <c r="E75" s="25">
        <f>'Rate calc'!V74</f>
        <v>4.59</v>
      </c>
      <c r="F75" s="25">
        <f>'Rate calc'!W74</f>
        <v>0</v>
      </c>
      <c r="G75" s="25">
        <v>0</v>
      </c>
    </row>
    <row r="76" spans="1:7" x14ac:dyDescent="0.25">
      <c r="A76" s="24">
        <v>72</v>
      </c>
      <c r="B76" s="25">
        <v>17.45</v>
      </c>
      <c r="C76" s="25">
        <v>18</v>
      </c>
      <c r="D76" s="25">
        <f>'Rate calc'!AA75</f>
        <v>5.13</v>
      </c>
      <c r="E76" s="25">
        <f>'Rate calc'!V75</f>
        <v>4.63</v>
      </c>
      <c r="F76" s="25">
        <f>'Rate calc'!W75</f>
        <v>0</v>
      </c>
      <c r="G76" s="25">
        <v>0</v>
      </c>
    </row>
    <row r="77" spans="1:7" x14ac:dyDescent="0.25">
      <c r="A77" s="24">
        <v>73</v>
      </c>
      <c r="B77" s="25">
        <v>18</v>
      </c>
      <c r="C77" s="25">
        <v>18.149999999999999</v>
      </c>
      <c r="D77" s="25">
        <f>'Rate calc'!AA76</f>
        <v>5.13</v>
      </c>
      <c r="E77" s="25">
        <f>'Rate calc'!V76</f>
        <v>4.8899999999999997</v>
      </c>
      <c r="F77" s="25">
        <f>'Rate calc'!W76</f>
        <v>0</v>
      </c>
      <c r="G77" s="25">
        <v>0</v>
      </c>
    </row>
    <row r="78" spans="1:7" x14ac:dyDescent="0.25">
      <c r="A78" s="24">
        <v>74</v>
      </c>
      <c r="B78" s="25">
        <v>18.149999999999999</v>
      </c>
      <c r="C78" s="25">
        <v>18.3</v>
      </c>
      <c r="D78" s="25">
        <f>'Rate calc'!AA77</f>
        <v>5.13</v>
      </c>
      <c r="E78" s="25">
        <f>'Rate calc'!V77</f>
        <v>5.7</v>
      </c>
      <c r="F78" s="25">
        <f>'Rate calc'!W77</f>
        <v>0</v>
      </c>
      <c r="G78" s="25">
        <v>0</v>
      </c>
    </row>
    <row r="79" spans="1:7" x14ac:dyDescent="0.25">
      <c r="A79" s="24">
        <v>75</v>
      </c>
      <c r="B79" s="25">
        <v>18.3</v>
      </c>
      <c r="C79" s="25">
        <v>18.45</v>
      </c>
      <c r="D79" s="25">
        <f>'Rate calc'!AA78</f>
        <v>5.13</v>
      </c>
      <c r="E79" s="25">
        <f>'Rate calc'!V78</f>
        <v>7.17</v>
      </c>
      <c r="F79" s="25">
        <f>'Rate calc'!W78</f>
        <v>0</v>
      </c>
      <c r="G79" s="25">
        <v>0</v>
      </c>
    </row>
    <row r="80" spans="1:7" x14ac:dyDescent="0.25">
      <c r="A80" s="24">
        <v>76</v>
      </c>
      <c r="B80" s="25">
        <v>18.45</v>
      </c>
      <c r="C80" s="25">
        <v>19</v>
      </c>
      <c r="D80" s="25">
        <f>'Rate calc'!AA79</f>
        <v>5.13</v>
      </c>
      <c r="E80" s="25">
        <f>'Rate calc'!V79</f>
        <v>7.96</v>
      </c>
      <c r="F80" s="25">
        <f>'Rate calc'!W79</f>
        <v>0</v>
      </c>
      <c r="G80" s="25">
        <v>0</v>
      </c>
    </row>
    <row r="81" spans="1:7" x14ac:dyDescent="0.25">
      <c r="A81" s="24">
        <v>77</v>
      </c>
      <c r="B81" s="25">
        <v>19</v>
      </c>
      <c r="C81" s="25">
        <v>19.149999999999999</v>
      </c>
      <c r="D81" s="25">
        <f>'Rate calc'!AA80</f>
        <v>5.13</v>
      </c>
      <c r="E81" s="25">
        <f>'Rate calc'!V80</f>
        <v>9.01</v>
      </c>
      <c r="F81" s="25">
        <f>'Rate calc'!W80</f>
        <v>0</v>
      </c>
      <c r="G81" s="25">
        <v>0</v>
      </c>
    </row>
    <row r="82" spans="1:7" x14ac:dyDescent="0.25">
      <c r="A82" s="24">
        <v>78</v>
      </c>
      <c r="B82" s="25">
        <v>19.149999999999999</v>
      </c>
      <c r="C82" s="25">
        <v>19.3</v>
      </c>
      <c r="D82" s="25">
        <f>'Rate calc'!AA81</f>
        <v>5.13</v>
      </c>
      <c r="E82" s="25">
        <f>'Rate calc'!V81</f>
        <v>8.15</v>
      </c>
      <c r="F82" s="25">
        <f>'Rate calc'!W81</f>
        <v>0</v>
      </c>
      <c r="G82" s="25">
        <v>0</v>
      </c>
    </row>
    <row r="83" spans="1:7" x14ac:dyDescent="0.25">
      <c r="A83" s="24">
        <v>79</v>
      </c>
      <c r="B83" s="25">
        <v>19.3</v>
      </c>
      <c r="C83" s="25">
        <v>19.45</v>
      </c>
      <c r="D83" s="25">
        <f>'Rate calc'!AA82</f>
        <v>5.13</v>
      </c>
      <c r="E83" s="25">
        <f>'Rate calc'!V82</f>
        <v>7.84</v>
      </c>
      <c r="F83" s="25">
        <f>'Rate calc'!W82</f>
        <v>0</v>
      </c>
      <c r="G83" s="25">
        <v>0</v>
      </c>
    </row>
    <row r="84" spans="1:7" x14ac:dyDescent="0.25">
      <c r="A84" s="24">
        <v>80</v>
      </c>
      <c r="B84" s="25">
        <v>19.45</v>
      </c>
      <c r="C84" s="25">
        <v>20</v>
      </c>
      <c r="D84" s="25">
        <f>'Rate calc'!AA83</f>
        <v>5.13</v>
      </c>
      <c r="E84" s="25">
        <f>'Rate calc'!V83</f>
        <v>7.77</v>
      </c>
      <c r="F84" s="25">
        <f>'Rate calc'!W83</f>
        <v>0</v>
      </c>
      <c r="G84" s="25">
        <v>0</v>
      </c>
    </row>
    <row r="85" spans="1:7" x14ac:dyDescent="0.25">
      <c r="A85" s="24">
        <v>81</v>
      </c>
      <c r="B85" s="25">
        <v>20</v>
      </c>
      <c r="C85" s="25">
        <v>20.149999999999999</v>
      </c>
      <c r="D85" s="25">
        <f>'Rate calc'!AA84</f>
        <v>5.13</v>
      </c>
      <c r="E85" s="25">
        <f>'Rate calc'!V84</f>
        <v>7.64</v>
      </c>
      <c r="F85" s="25">
        <f>'Rate calc'!W84</f>
        <v>0</v>
      </c>
      <c r="G85" s="25">
        <v>0</v>
      </c>
    </row>
    <row r="86" spans="1:7" x14ac:dyDescent="0.25">
      <c r="A86" s="24">
        <v>82</v>
      </c>
      <c r="B86" s="25">
        <v>20.149999999999999</v>
      </c>
      <c r="C86" s="25">
        <v>20.3</v>
      </c>
      <c r="D86" s="25">
        <f>'Rate calc'!AA85</f>
        <v>5.13</v>
      </c>
      <c r="E86" s="25">
        <f>'Rate calc'!V85</f>
        <v>7.38</v>
      </c>
      <c r="F86" s="25">
        <f>'Rate calc'!W85</f>
        <v>0</v>
      </c>
      <c r="G86" s="25">
        <v>0</v>
      </c>
    </row>
    <row r="87" spans="1:7" x14ac:dyDescent="0.25">
      <c r="A87" s="24">
        <v>83</v>
      </c>
      <c r="B87" s="25">
        <v>20.3</v>
      </c>
      <c r="C87" s="25">
        <v>20.45</v>
      </c>
      <c r="D87" s="25">
        <f>'Rate calc'!AA86</f>
        <v>5.13</v>
      </c>
      <c r="E87" s="25">
        <f>'Rate calc'!V86</f>
        <v>7.03</v>
      </c>
      <c r="F87" s="25">
        <f>'Rate calc'!W86</f>
        <v>0</v>
      </c>
      <c r="G87" s="25">
        <v>0</v>
      </c>
    </row>
    <row r="88" spans="1:7" x14ac:dyDescent="0.25">
      <c r="A88" s="24">
        <v>84</v>
      </c>
      <c r="B88" s="25">
        <v>20.45</v>
      </c>
      <c r="C88" s="25">
        <v>21</v>
      </c>
      <c r="D88" s="25">
        <f>'Rate calc'!AA87</f>
        <v>5.13</v>
      </c>
      <c r="E88" s="25">
        <f>'Rate calc'!V87</f>
        <v>7.02</v>
      </c>
      <c r="F88" s="25">
        <f>'Rate calc'!W87</f>
        <v>0</v>
      </c>
      <c r="G88" s="25">
        <v>0</v>
      </c>
    </row>
    <row r="89" spans="1:7" x14ac:dyDescent="0.25">
      <c r="A89" s="24">
        <v>85</v>
      </c>
      <c r="B89" s="25">
        <v>21</v>
      </c>
      <c r="C89" s="25">
        <v>21.15</v>
      </c>
      <c r="D89" s="25">
        <f>'Rate calc'!AA88</f>
        <v>5.13</v>
      </c>
      <c r="E89" s="25">
        <f>'Rate calc'!V88</f>
        <v>7.37</v>
      </c>
      <c r="F89" s="25">
        <f>'Rate calc'!W88</f>
        <v>0</v>
      </c>
      <c r="G89" s="25">
        <v>0</v>
      </c>
    </row>
    <row r="90" spans="1:7" x14ac:dyDescent="0.25">
      <c r="A90" s="24">
        <v>86</v>
      </c>
      <c r="B90" s="25">
        <v>21.15</v>
      </c>
      <c r="C90" s="25">
        <v>21.3</v>
      </c>
      <c r="D90" s="25">
        <f>'Rate calc'!AA89</f>
        <v>5.13</v>
      </c>
      <c r="E90" s="25">
        <f>'Rate calc'!V89</f>
        <v>7.02</v>
      </c>
      <c r="F90" s="25">
        <f>'Rate calc'!W89</f>
        <v>0</v>
      </c>
      <c r="G90" s="25">
        <v>0</v>
      </c>
    </row>
    <row r="91" spans="1:7" x14ac:dyDescent="0.25">
      <c r="A91" s="24">
        <v>87</v>
      </c>
      <c r="B91" s="25">
        <v>21.3</v>
      </c>
      <c r="C91" s="25">
        <v>21.45</v>
      </c>
      <c r="D91" s="25">
        <f>'Rate calc'!AA90</f>
        <v>5.13</v>
      </c>
      <c r="E91" s="25">
        <f>'Rate calc'!V90</f>
        <v>6.03</v>
      </c>
      <c r="F91" s="25">
        <f>'Rate calc'!W90</f>
        <v>0</v>
      </c>
      <c r="G91" s="25">
        <v>0</v>
      </c>
    </row>
    <row r="92" spans="1:7" x14ac:dyDescent="0.25">
      <c r="A92" s="24">
        <v>88</v>
      </c>
      <c r="B92" s="25">
        <v>21.45</v>
      </c>
      <c r="C92" s="25">
        <v>22</v>
      </c>
      <c r="D92" s="25">
        <f>'Rate calc'!AA91</f>
        <v>5.13</v>
      </c>
      <c r="E92" s="25">
        <f>'Rate calc'!V91</f>
        <v>5.5</v>
      </c>
      <c r="F92" s="25">
        <f>'Rate calc'!W91</f>
        <v>0</v>
      </c>
      <c r="G92" s="25">
        <v>0</v>
      </c>
    </row>
    <row r="93" spans="1:7" x14ac:dyDescent="0.25">
      <c r="A93" s="24">
        <v>89</v>
      </c>
      <c r="B93" s="25">
        <v>22</v>
      </c>
      <c r="C93" s="25">
        <v>22.15</v>
      </c>
      <c r="D93" s="25">
        <f>'Rate calc'!AA92</f>
        <v>5.13</v>
      </c>
      <c r="E93" s="25">
        <f>'Rate calc'!V92</f>
        <v>6.24</v>
      </c>
      <c r="F93" s="25">
        <f>'Rate calc'!W92</f>
        <v>0</v>
      </c>
      <c r="G93" s="25">
        <v>0</v>
      </c>
    </row>
    <row r="94" spans="1:7" x14ac:dyDescent="0.25">
      <c r="A94" s="24">
        <v>90</v>
      </c>
      <c r="B94" s="25">
        <v>22.15</v>
      </c>
      <c r="C94" s="25">
        <v>22.3</v>
      </c>
      <c r="D94" s="25">
        <f>'Rate calc'!AA93</f>
        <v>5.13</v>
      </c>
      <c r="E94" s="25">
        <f>'Rate calc'!V93</f>
        <v>6.5</v>
      </c>
      <c r="F94" s="25">
        <f>'Rate calc'!W93</f>
        <v>0</v>
      </c>
      <c r="G94" s="25">
        <v>0</v>
      </c>
    </row>
    <row r="95" spans="1:7" x14ac:dyDescent="0.25">
      <c r="A95" s="24">
        <v>91</v>
      </c>
      <c r="B95" s="25">
        <v>22.3</v>
      </c>
      <c r="C95" s="25">
        <v>22.45</v>
      </c>
      <c r="D95" s="25">
        <f>'Rate calc'!AA94</f>
        <v>5.13</v>
      </c>
      <c r="E95" s="25">
        <f>'Rate calc'!V94</f>
        <v>6.22</v>
      </c>
      <c r="F95" s="25">
        <f>'Rate calc'!W94</f>
        <v>0</v>
      </c>
      <c r="G95" s="25">
        <v>0</v>
      </c>
    </row>
    <row r="96" spans="1:7" x14ac:dyDescent="0.25">
      <c r="A96" s="24">
        <v>92</v>
      </c>
      <c r="B96" s="25">
        <v>22.45</v>
      </c>
      <c r="C96" s="25">
        <v>23</v>
      </c>
      <c r="D96" s="25">
        <f>'Rate calc'!AA95</f>
        <v>5.13</v>
      </c>
      <c r="E96" s="25">
        <f>'Rate calc'!V95</f>
        <v>6.47</v>
      </c>
      <c r="F96" s="25">
        <f>'Rate calc'!W95</f>
        <v>0</v>
      </c>
      <c r="G96" s="25">
        <v>0</v>
      </c>
    </row>
    <row r="97" spans="1:7" x14ac:dyDescent="0.25">
      <c r="A97" s="24">
        <v>93</v>
      </c>
      <c r="B97" s="25">
        <v>23</v>
      </c>
      <c r="C97" s="25">
        <v>23.15</v>
      </c>
      <c r="D97" s="25">
        <f>'Rate calc'!AA96</f>
        <v>5.13</v>
      </c>
      <c r="E97" s="25">
        <f>'Rate calc'!V96</f>
        <v>6.2</v>
      </c>
      <c r="F97" s="25">
        <f>'Rate calc'!W96</f>
        <v>0</v>
      </c>
      <c r="G97" s="25">
        <v>0</v>
      </c>
    </row>
    <row r="98" spans="1:7" x14ac:dyDescent="0.25">
      <c r="A98" s="24">
        <v>94</v>
      </c>
      <c r="B98" s="25">
        <v>23.15</v>
      </c>
      <c r="C98" s="25">
        <v>23.3</v>
      </c>
      <c r="D98" s="25">
        <f>'Rate calc'!AA97</f>
        <v>5.13</v>
      </c>
      <c r="E98" s="25">
        <f>'Rate calc'!V97</f>
        <v>6.93</v>
      </c>
      <c r="F98" s="25">
        <f>'Rate calc'!W97</f>
        <v>0</v>
      </c>
      <c r="G98" s="25">
        <v>0</v>
      </c>
    </row>
    <row r="99" spans="1:7" x14ac:dyDescent="0.25">
      <c r="A99" s="24">
        <v>95</v>
      </c>
      <c r="B99" s="25">
        <v>23.3</v>
      </c>
      <c r="C99" s="25">
        <v>23.45</v>
      </c>
      <c r="D99" s="25">
        <f>'Rate calc'!AA98</f>
        <v>5.13</v>
      </c>
      <c r="E99" s="25">
        <f>'Rate calc'!V98</f>
        <v>6.94</v>
      </c>
      <c r="F99" s="25">
        <f>'Rate calc'!W98</f>
        <v>0</v>
      </c>
      <c r="G99" s="25">
        <v>0</v>
      </c>
    </row>
    <row r="100" spans="1:7" x14ac:dyDescent="0.25">
      <c r="A100" s="76">
        <v>96</v>
      </c>
      <c r="B100" s="25">
        <v>23.45</v>
      </c>
      <c r="C100" s="25">
        <v>24</v>
      </c>
      <c r="D100" s="25">
        <f>'Rate calc'!AA99</f>
        <v>5.13</v>
      </c>
      <c r="E100" s="25">
        <f>'Rate calc'!V99</f>
        <v>6.91</v>
      </c>
      <c r="F100" s="25">
        <f>'Rate calc'!W99</f>
        <v>0</v>
      </c>
      <c r="G100" s="25">
        <v>0</v>
      </c>
    </row>
  </sheetData>
  <mergeCells count="3">
    <mergeCell ref="A1:A2"/>
    <mergeCell ref="B1:D2"/>
    <mergeCell ref="E1:E2"/>
  </mergeCells>
  <pageMargins left="0.7" right="0.7" top="0.75" bottom="0.75" header="0.3" footer="0.3"/>
  <pageSetup orientation="portrait" horizontalDpi="1200" verticalDpi="1200" r:id="rId1"/>
  <customProperties>
    <customPr name="EpmWorksheetKeyString_GUID" r:id="rId2"/>
  </customPropertie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A99"/>
  <sheetViews>
    <sheetView zoomScale="85" zoomScaleNormal="85" workbookViewId="0">
      <selection activeCell="A36" sqref="A36"/>
    </sheetView>
  </sheetViews>
  <sheetFormatPr defaultColWidth="12.42578125" defaultRowHeight="15" x14ac:dyDescent="0.25"/>
  <cols>
    <col min="1" max="1" width="10.42578125" bestFit="1" customWidth="1"/>
    <col min="2" max="2" width="4.140625" bestFit="1" customWidth="1"/>
    <col min="3" max="3" width="9.42578125" bestFit="1" customWidth="1"/>
    <col min="4" max="4" width="8" bestFit="1" customWidth="1"/>
    <col min="5" max="5" width="9" bestFit="1" customWidth="1"/>
    <col min="6" max="6" width="6.42578125" bestFit="1" customWidth="1"/>
    <col min="7" max="7" width="6.5703125" bestFit="1" customWidth="1"/>
    <col min="8" max="9" width="5.5703125" bestFit="1" customWidth="1"/>
    <col min="10" max="10" width="6.5703125" bestFit="1" customWidth="1"/>
    <col min="11" max="12" width="5.5703125" bestFit="1" customWidth="1"/>
    <col min="13" max="13" width="6.5703125" bestFit="1" customWidth="1"/>
    <col min="14" max="15" width="5.5703125" bestFit="1" customWidth="1"/>
    <col min="16" max="16" width="6.5703125" bestFit="1" customWidth="1"/>
    <col min="17" max="18" width="5.5703125" bestFit="1" customWidth="1"/>
    <col min="19" max="19" width="6.5703125" bestFit="1" customWidth="1"/>
    <col min="20" max="20" width="5.5703125" bestFit="1" customWidth="1"/>
    <col min="21" max="21" width="4.85546875" customWidth="1"/>
    <col min="22" max="22" width="12.42578125" customWidth="1"/>
    <col min="23" max="23" width="11.42578125" customWidth="1"/>
    <col min="24" max="24" width="10.140625" customWidth="1"/>
    <col min="25" max="25" width="6.28515625" customWidth="1"/>
    <col min="26" max="26" width="7.5703125" customWidth="1"/>
    <col min="27" max="27" width="10.7109375" style="2" customWidth="1"/>
  </cols>
  <sheetData>
    <row r="1" spans="1:27" ht="19.5" thickBot="1" x14ac:dyDescent="0.35">
      <c r="A1" s="189" t="s">
        <v>100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1"/>
    </row>
    <row r="2" spans="1:27" x14ac:dyDescent="0.25">
      <c r="A2" s="192" t="s">
        <v>86</v>
      </c>
      <c r="B2" s="194" t="s">
        <v>87</v>
      </c>
      <c r="C2" s="196" t="s">
        <v>88</v>
      </c>
      <c r="D2" s="197"/>
      <c r="E2" s="197"/>
      <c r="F2" s="197" t="s">
        <v>89</v>
      </c>
      <c r="G2" s="197"/>
      <c r="H2" s="198"/>
      <c r="I2" s="199" t="s">
        <v>90</v>
      </c>
      <c r="J2" s="187"/>
      <c r="K2" s="187"/>
      <c r="L2" s="187" t="s">
        <v>91</v>
      </c>
      <c r="M2" s="187"/>
      <c r="N2" s="188"/>
      <c r="O2" s="180" t="s">
        <v>92</v>
      </c>
      <c r="P2" s="181"/>
      <c r="Q2" s="181"/>
      <c r="R2" s="181" t="s">
        <v>93</v>
      </c>
      <c r="S2" s="181"/>
      <c r="T2" s="182"/>
      <c r="V2" s="183" t="s">
        <v>94</v>
      </c>
      <c r="W2" s="185" t="s">
        <v>95</v>
      </c>
      <c r="X2" s="112"/>
      <c r="Z2" s="185" t="s">
        <v>96</v>
      </c>
      <c r="AA2" s="178" t="s">
        <v>101</v>
      </c>
    </row>
    <row r="3" spans="1:27" ht="15.75" thickBot="1" x14ac:dyDescent="0.3">
      <c r="A3" s="193"/>
      <c r="B3" s="195"/>
      <c r="C3" s="78" t="s">
        <v>97</v>
      </c>
      <c r="D3" s="79" t="s">
        <v>98</v>
      </c>
      <c r="E3" s="80" t="s">
        <v>99</v>
      </c>
      <c r="F3" s="81" t="s">
        <v>97</v>
      </c>
      <c r="G3" s="79" t="s">
        <v>98</v>
      </c>
      <c r="H3" s="82" t="s">
        <v>99</v>
      </c>
      <c r="I3" s="78" t="s">
        <v>97</v>
      </c>
      <c r="J3" s="79" t="s">
        <v>98</v>
      </c>
      <c r="K3" s="80" t="s">
        <v>99</v>
      </c>
      <c r="L3" s="81" t="s">
        <v>97</v>
      </c>
      <c r="M3" s="79" t="s">
        <v>98</v>
      </c>
      <c r="N3" s="82" t="s">
        <v>99</v>
      </c>
      <c r="O3" s="78" t="s">
        <v>97</v>
      </c>
      <c r="P3" s="79" t="s">
        <v>98</v>
      </c>
      <c r="Q3" s="80" t="s">
        <v>99</v>
      </c>
      <c r="R3" s="81" t="s">
        <v>97</v>
      </c>
      <c r="S3" s="79" t="s">
        <v>98</v>
      </c>
      <c r="T3" s="82" t="s">
        <v>99</v>
      </c>
      <c r="V3" s="184"/>
      <c r="W3" s="186"/>
      <c r="X3" s="112"/>
      <c r="Z3" s="186"/>
      <c r="AA3" s="179"/>
    </row>
    <row r="4" spans="1:27" ht="15.75" thickBot="1" x14ac:dyDescent="0.3">
      <c r="A4" s="83">
        <f ca="1">DCEntry_STG_1!E3</f>
        <v>45398</v>
      </c>
      <c r="B4" s="84">
        <v>1</v>
      </c>
      <c r="C4" s="85">
        <v>441.1</v>
      </c>
      <c r="D4" s="86">
        <v>286.33999999999997</v>
      </c>
      <c r="E4" s="86"/>
      <c r="F4" s="86">
        <v>7.3650000000000002</v>
      </c>
      <c r="G4" s="86">
        <v>5.0000600000000004</v>
      </c>
      <c r="H4" s="87"/>
      <c r="I4" s="88">
        <v>0</v>
      </c>
      <c r="J4" s="89">
        <v>0</v>
      </c>
      <c r="K4" s="89">
        <v>0</v>
      </c>
      <c r="L4" s="89">
        <v>0</v>
      </c>
      <c r="M4" s="89">
        <v>0</v>
      </c>
      <c r="N4" s="90">
        <v>0</v>
      </c>
      <c r="O4" s="88">
        <v>0</v>
      </c>
      <c r="P4" s="89">
        <v>0</v>
      </c>
      <c r="Q4" s="89">
        <v>0</v>
      </c>
      <c r="R4" s="89">
        <v>0</v>
      </c>
      <c r="S4" s="89">
        <v>0</v>
      </c>
      <c r="T4" s="90">
        <v>0</v>
      </c>
      <c r="V4" s="105">
        <f>IFERROR(ROUND(((C4*F4)+(I4*L4)+(O4*R4)+(D4*G4)+(J4*M4)+(P4*S4))/(C4+D4+I4+J4+O4+P4),2),0)</f>
        <v>6.43</v>
      </c>
      <c r="W4" s="105">
        <f>IFERROR(ROUND(((E4*H4)+(K4*N4)+(Q4*T4))/(E4+K4+Q4),2),0)</f>
        <v>0</v>
      </c>
      <c r="X4" s="74"/>
      <c r="Z4" s="106">
        <f t="shared" ref="Z4:Z35" si="0">MAX(V4:X4)</f>
        <v>6.43</v>
      </c>
      <c r="AA4" s="108">
        <f>ROUND((SUMPRODUCT(C4:C99,F4:F99)+SUMPRODUCT(D4:D99,G4:G99))/SUM(C4:C99,D4:D99),2)</f>
        <v>5.13</v>
      </c>
    </row>
    <row r="5" spans="1:27" x14ac:dyDescent="0.25">
      <c r="A5" s="92">
        <f ca="1">$A$4</f>
        <v>45398</v>
      </c>
      <c r="B5" s="93">
        <v>2</v>
      </c>
      <c r="C5" s="88">
        <v>430.29999999999995</v>
      </c>
      <c r="D5" s="89">
        <v>230.13</v>
      </c>
      <c r="E5" s="89"/>
      <c r="F5" s="89">
        <v>6.5318399999999999</v>
      </c>
      <c r="G5" s="89">
        <v>5.0002500000000003</v>
      </c>
      <c r="H5" s="90"/>
      <c r="I5" s="88">
        <v>0</v>
      </c>
      <c r="J5" s="89">
        <v>0</v>
      </c>
      <c r="K5" s="89">
        <v>0</v>
      </c>
      <c r="L5" s="89">
        <v>0</v>
      </c>
      <c r="M5" s="89">
        <v>0</v>
      </c>
      <c r="N5" s="90">
        <v>0</v>
      </c>
      <c r="O5" s="88">
        <v>0</v>
      </c>
      <c r="P5" s="89">
        <v>0</v>
      </c>
      <c r="Q5" s="89">
        <v>0</v>
      </c>
      <c r="R5" s="89">
        <v>0</v>
      </c>
      <c r="S5" s="89">
        <v>0</v>
      </c>
      <c r="T5" s="90">
        <v>0</v>
      </c>
      <c r="V5" s="105">
        <f t="shared" ref="V5:V68" si="1">IFERROR(ROUND(((C5*F5)+(I5*L5)+(O5*R5)+(D5*G5)+(J5*M5)+(P5*S5))/(C5+D5+I5+J5+O5+P5),2),0)</f>
        <v>6</v>
      </c>
      <c r="W5" s="111">
        <f t="shared" ref="W5:W68" si="2">IFERROR(ROUND(((E5*H5)+(K5*N5)+(Q5*T5))/(E5+K5+Q5),2),0)</f>
        <v>0</v>
      </c>
      <c r="X5" s="74"/>
      <c r="Z5" s="91">
        <f t="shared" si="0"/>
        <v>6</v>
      </c>
      <c r="AA5" s="107">
        <f>AA4</f>
        <v>5.13</v>
      </c>
    </row>
    <row r="6" spans="1:27" x14ac:dyDescent="0.25">
      <c r="A6" s="92">
        <f t="shared" ref="A6:A69" ca="1" si="3">$A$4</f>
        <v>45398</v>
      </c>
      <c r="B6" s="93">
        <v>3</v>
      </c>
      <c r="C6" s="88">
        <v>472.3</v>
      </c>
      <c r="D6" s="89">
        <v>171.36</v>
      </c>
      <c r="E6" s="89"/>
      <c r="F6" s="89">
        <v>6.0318100000000001</v>
      </c>
      <c r="G6" s="89">
        <v>5.0004399999999993</v>
      </c>
      <c r="H6" s="90"/>
      <c r="I6" s="88">
        <v>0</v>
      </c>
      <c r="J6" s="89">
        <v>0</v>
      </c>
      <c r="K6" s="89">
        <v>0</v>
      </c>
      <c r="L6" s="89">
        <v>0</v>
      </c>
      <c r="M6" s="89">
        <v>0</v>
      </c>
      <c r="N6" s="90">
        <v>0</v>
      </c>
      <c r="O6" s="88">
        <v>0</v>
      </c>
      <c r="P6" s="89">
        <v>0</v>
      </c>
      <c r="Q6" s="89">
        <v>0</v>
      </c>
      <c r="R6" s="89">
        <v>0</v>
      </c>
      <c r="S6" s="89">
        <v>0</v>
      </c>
      <c r="T6" s="90">
        <v>0</v>
      </c>
      <c r="V6" s="105">
        <f t="shared" si="1"/>
        <v>5.76</v>
      </c>
      <c r="W6" s="111">
        <f t="shared" si="2"/>
        <v>0</v>
      </c>
      <c r="X6" s="74"/>
      <c r="Z6" s="91">
        <f t="shared" si="0"/>
        <v>5.76</v>
      </c>
      <c r="AA6" s="107">
        <f t="shared" ref="AA6:AA69" si="4">AA5</f>
        <v>5.13</v>
      </c>
    </row>
    <row r="7" spans="1:27" x14ac:dyDescent="0.25">
      <c r="A7" s="92">
        <f t="shared" ca="1" si="3"/>
        <v>45398</v>
      </c>
      <c r="B7" s="93">
        <v>4</v>
      </c>
      <c r="C7" s="88">
        <v>478</v>
      </c>
      <c r="D7" s="89">
        <v>274.97000000000003</v>
      </c>
      <c r="E7" s="89"/>
      <c r="F7" s="89">
        <v>5.8999899999999998</v>
      </c>
      <c r="G7" s="89">
        <v>5.0001000000000007</v>
      </c>
      <c r="H7" s="90"/>
      <c r="I7" s="88">
        <v>0</v>
      </c>
      <c r="J7" s="89">
        <v>0</v>
      </c>
      <c r="K7" s="89">
        <v>0</v>
      </c>
      <c r="L7" s="89">
        <v>0</v>
      </c>
      <c r="M7" s="89">
        <v>0</v>
      </c>
      <c r="N7" s="90">
        <v>0</v>
      </c>
      <c r="O7" s="88">
        <v>0</v>
      </c>
      <c r="P7" s="89">
        <v>0</v>
      </c>
      <c r="Q7" s="89">
        <v>0</v>
      </c>
      <c r="R7" s="89">
        <v>0</v>
      </c>
      <c r="S7" s="89">
        <v>0</v>
      </c>
      <c r="T7" s="90">
        <v>0</v>
      </c>
      <c r="V7" s="105">
        <f t="shared" si="1"/>
        <v>5.57</v>
      </c>
      <c r="W7" s="111">
        <f t="shared" si="2"/>
        <v>0</v>
      </c>
      <c r="X7" s="74"/>
      <c r="Z7" s="91">
        <f t="shared" si="0"/>
        <v>5.57</v>
      </c>
      <c r="AA7" s="107">
        <f t="shared" si="4"/>
        <v>5.13</v>
      </c>
    </row>
    <row r="8" spans="1:27" x14ac:dyDescent="0.25">
      <c r="A8" s="92">
        <f t="shared" ca="1" si="3"/>
        <v>45398</v>
      </c>
      <c r="B8" s="93">
        <v>5</v>
      </c>
      <c r="C8" s="88">
        <v>475.29999999999995</v>
      </c>
      <c r="D8" s="89">
        <v>198.18</v>
      </c>
      <c r="E8" s="89"/>
      <c r="F8" s="89">
        <v>5.9994700000000005</v>
      </c>
      <c r="G8" s="89">
        <v>5.0003500000000001</v>
      </c>
      <c r="H8" s="90"/>
      <c r="I8" s="88">
        <v>0</v>
      </c>
      <c r="J8" s="89">
        <v>0</v>
      </c>
      <c r="K8" s="89">
        <v>0</v>
      </c>
      <c r="L8" s="89">
        <v>0</v>
      </c>
      <c r="M8" s="89">
        <v>0</v>
      </c>
      <c r="N8" s="90">
        <v>0</v>
      </c>
      <c r="O8" s="88">
        <v>0</v>
      </c>
      <c r="P8" s="89">
        <v>0</v>
      </c>
      <c r="Q8" s="89">
        <v>0</v>
      </c>
      <c r="R8" s="89">
        <v>0</v>
      </c>
      <c r="S8" s="89">
        <v>0</v>
      </c>
      <c r="T8" s="90">
        <v>0</v>
      </c>
      <c r="V8" s="105">
        <f t="shared" si="1"/>
        <v>5.71</v>
      </c>
      <c r="W8" s="111">
        <f t="shared" si="2"/>
        <v>0</v>
      </c>
      <c r="X8" s="74"/>
      <c r="Z8" s="91">
        <f t="shared" si="0"/>
        <v>5.71</v>
      </c>
      <c r="AA8" s="107">
        <f t="shared" si="4"/>
        <v>5.13</v>
      </c>
    </row>
    <row r="9" spans="1:27" x14ac:dyDescent="0.25">
      <c r="A9" s="92">
        <f t="shared" ca="1" si="3"/>
        <v>45398</v>
      </c>
      <c r="B9" s="93">
        <v>6</v>
      </c>
      <c r="C9" s="88">
        <v>482.5</v>
      </c>
      <c r="D9" s="89">
        <v>198.63</v>
      </c>
      <c r="E9" s="89"/>
      <c r="F9" s="89">
        <v>5.9994899999999998</v>
      </c>
      <c r="G9" s="89">
        <v>5.0003500000000001</v>
      </c>
      <c r="H9" s="90"/>
      <c r="I9" s="88">
        <v>0</v>
      </c>
      <c r="J9" s="89">
        <v>0</v>
      </c>
      <c r="K9" s="89">
        <v>0</v>
      </c>
      <c r="L9" s="89">
        <v>0</v>
      </c>
      <c r="M9" s="89">
        <v>0</v>
      </c>
      <c r="N9" s="90">
        <v>0</v>
      </c>
      <c r="O9" s="88">
        <v>0</v>
      </c>
      <c r="P9" s="89">
        <v>0</v>
      </c>
      <c r="Q9" s="89">
        <v>0</v>
      </c>
      <c r="R9" s="89">
        <v>0</v>
      </c>
      <c r="S9" s="89">
        <v>0</v>
      </c>
      <c r="T9" s="90">
        <v>0</v>
      </c>
      <c r="V9" s="105">
        <f t="shared" si="1"/>
        <v>5.71</v>
      </c>
      <c r="W9" s="111">
        <f t="shared" si="2"/>
        <v>0</v>
      </c>
      <c r="X9" s="74"/>
      <c r="Z9" s="91">
        <f t="shared" si="0"/>
        <v>5.71</v>
      </c>
      <c r="AA9" s="107">
        <f t="shared" si="4"/>
        <v>5.13</v>
      </c>
    </row>
    <row r="10" spans="1:27" x14ac:dyDescent="0.25">
      <c r="A10" s="92">
        <f t="shared" ca="1" si="3"/>
        <v>45398</v>
      </c>
      <c r="B10" s="93">
        <v>7</v>
      </c>
      <c r="C10" s="88">
        <v>486.29999999999995</v>
      </c>
      <c r="D10" s="89">
        <v>213.18</v>
      </c>
      <c r="E10" s="89"/>
      <c r="F10" s="89">
        <v>5.8997099999999998</v>
      </c>
      <c r="G10" s="89">
        <v>5.0003000000000002</v>
      </c>
      <c r="H10" s="90"/>
      <c r="I10" s="88">
        <v>0</v>
      </c>
      <c r="J10" s="89">
        <v>0</v>
      </c>
      <c r="K10" s="89">
        <v>0</v>
      </c>
      <c r="L10" s="89">
        <v>0</v>
      </c>
      <c r="M10" s="89">
        <v>0</v>
      </c>
      <c r="N10" s="90">
        <v>0</v>
      </c>
      <c r="O10" s="88">
        <v>0</v>
      </c>
      <c r="P10" s="89">
        <v>0</v>
      </c>
      <c r="Q10" s="89">
        <v>0</v>
      </c>
      <c r="R10" s="89">
        <v>0</v>
      </c>
      <c r="S10" s="89">
        <v>0</v>
      </c>
      <c r="T10" s="90">
        <v>0</v>
      </c>
      <c r="V10" s="105">
        <f t="shared" si="1"/>
        <v>5.63</v>
      </c>
      <c r="W10" s="111">
        <f t="shared" si="2"/>
        <v>0</v>
      </c>
      <c r="X10" s="74"/>
      <c r="Z10" s="91">
        <f t="shared" si="0"/>
        <v>5.63</v>
      </c>
      <c r="AA10" s="107">
        <f t="shared" si="4"/>
        <v>5.13</v>
      </c>
    </row>
    <row r="11" spans="1:27" x14ac:dyDescent="0.25">
      <c r="A11" s="92">
        <f t="shared" ca="1" si="3"/>
        <v>45398</v>
      </c>
      <c r="B11" s="93">
        <v>8</v>
      </c>
      <c r="C11" s="88">
        <v>485.29999999999995</v>
      </c>
      <c r="D11" s="89">
        <v>148.22999999999999</v>
      </c>
      <c r="E11" s="89"/>
      <c r="F11" s="89">
        <v>5.6779299999999999</v>
      </c>
      <c r="G11" s="89">
        <v>5.0005200000000007</v>
      </c>
      <c r="H11" s="90"/>
      <c r="I11" s="88">
        <v>0</v>
      </c>
      <c r="J11" s="89">
        <v>0</v>
      </c>
      <c r="K11" s="89">
        <v>0</v>
      </c>
      <c r="L11" s="89">
        <v>0</v>
      </c>
      <c r="M11" s="89">
        <v>0</v>
      </c>
      <c r="N11" s="90">
        <v>0</v>
      </c>
      <c r="O11" s="88">
        <v>0</v>
      </c>
      <c r="P11" s="89">
        <v>0</v>
      </c>
      <c r="Q11" s="89">
        <v>0</v>
      </c>
      <c r="R11" s="89">
        <v>0</v>
      </c>
      <c r="S11" s="89">
        <v>0</v>
      </c>
      <c r="T11" s="90">
        <v>0</v>
      </c>
      <c r="V11" s="105">
        <f t="shared" si="1"/>
        <v>5.52</v>
      </c>
      <c r="W11" s="111">
        <f t="shared" si="2"/>
        <v>0</v>
      </c>
      <c r="X11" s="74"/>
      <c r="Z11" s="91">
        <f t="shared" si="0"/>
        <v>5.52</v>
      </c>
      <c r="AA11" s="107">
        <f t="shared" si="4"/>
        <v>5.13</v>
      </c>
    </row>
    <row r="12" spans="1:27" x14ac:dyDescent="0.25">
      <c r="A12" s="92">
        <f t="shared" ca="1" si="3"/>
        <v>45398</v>
      </c>
      <c r="B12" s="93">
        <v>9</v>
      </c>
      <c r="C12" s="88">
        <v>479.6</v>
      </c>
      <c r="D12" s="89">
        <v>98.02</v>
      </c>
      <c r="E12" s="89"/>
      <c r="F12" s="89">
        <v>5.4993999999999996</v>
      </c>
      <c r="G12" s="89">
        <v>5.0000600000000004</v>
      </c>
      <c r="H12" s="90"/>
      <c r="I12" s="88">
        <v>0</v>
      </c>
      <c r="J12" s="89">
        <v>0</v>
      </c>
      <c r="K12" s="89">
        <v>0</v>
      </c>
      <c r="L12" s="89">
        <v>0</v>
      </c>
      <c r="M12" s="89">
        <v>0</v>
      </c>
      <c r="N12" s="90">
        <v>0</v>
      </c>
      <c r="O12" s="88">
        <v>0</v>
      </c>
      <c r="P12" s="89">
        <v>0</v>
      </c>
      <c r="Q12" s="89">
        <v>0</v>
      </c>
      <c r="R12" s="89">
        <v>0</v>
      </c>
      <c r="S12" s="89">
        <v>0</v>
      </c>
      <c r="T12" s="90">
        <v>0</v>
      </c>
      <c r="V12" s="105">
        <f t="shared" si="1"/>
        <v>5.41</v>
      </c>
      <c r="W12" s="111">
        <f t="shared" si="2"/>
        <v>0</v>
      </c>
      <c r="X12" s="74"/>
      <c r="Z12" s="91">
        <f t="shared" si="0"/>
        <v>5.41</v>
      </c>
      <c r="AA12" s="107">
        <f t="shared" si="4"/>
        <v>5.13</v>
      </c>
    </row>
    <row r="13" spans="1:27" x14ac:dyDescent="0.25">
      <c r="A13" s="92">
        <f t="shared" ca="1" si="3"/>
        <v>45398</v>
      </c>
      <c r="B13" s="93">
        <v>10</v>
      </c>
      <c r="C13" s="88">
        <v>476.3</v>
      </c>
      <c r="D13" s="89">
        <v>104</v>
      </c>
      <c r="E13" s="89"/>
      <c r="F13" s="89">
        <v>5.4998100000000001</v>
      </c>
      <c r="G13" s="89">
        <v>4.3008100000000002</v>
      </c>
      <c r="H13" s="90"/>
      <c r="I13" s="88">
        <v>0</v>
      </c>
      <c r="J13" s="89">
        <v>0</v>
      </c>
      <c r="K13" s="89">
        <v>0</v>
      </c>
      <c r="L13" s="89">
        <v>0</v>
      </c>
      <c r="M13" s="89">
        <v>0</v>
      </c>
      <c r="N13" s="90">
        <v>0</v>
      </c>
      <c r="O13" s="88">
        <v>0</v>
      </c>
      <c r="P13" s="89">
        <v>0</v>
      </c>
      <c r="Q13" s="89">
        <v>0</v>
      </c>
      <c r="R13" s="89">
        <v>0</v>
      </c>
      <c r="S13" s="89">
        <v>0</v>
      </c>
      <c r="T13" s="90">
        <v>0</v>
      </c>
      <c r="V13" s="105">
        <f t="shared" si="1"/>
        <v>5.28</v>
      </c>
      <c r="W13" s="111">
        <f t="shared" si="2"/>
        <v>0</v>
      </c>
      <c r="X13" s="74"/>
      <c r="Z13" s="91">
        <f t="shared" si="0"/>
        <v>5.28</v>
      </c>
      <c r="AA13" s="107">
        <f t="shared" si="4"/>
        <v>5.13</v>
      </c>
    </row>
    <row r="14" spans="1:27" x14ac:dyDescent="0.25">
      <c r="A14" s="92">
        <f t="shared" ca="1" si="3"/>
        <v>45398</v>
      </c>
      <c r="B14" s="93">
        <v>11</v>
      </c>
      <c r="C14" s="88">
        <v>469.29999999999995</v>
      </c>
      <c r="D14" s="89">
        <v>104</v>
      </c>
      <c r="E14" s="89"/>
      <c r="F14" s="89">
        <v>5.4998900000000006</v>
      </c>
      <c r="G14" s="89">
        <v>4.2007399999999997</v>
      </c>
      <c r="H14" s="90"/>
      <c r="I14" s="88">
        <v>0</v>
      </c>
      <c r="J14" s="89">
        <v>0</v>
      </c>
      <c r="K14" s="89">
        <v>0</v>
      </c>
      <c r="L14" s="89">
        <v>0</v>
      </c>
      <c r="M14" s="89">
        <v>0</v>
      </c>
      <c r="N14" s="90">
        <v>0</v>
      </c>
      <c r="O14" s="88">
        <v>0</v>
      </c>
      <c r="P14" s="89">
        <v>0</v>
      </c>
      <c r="Q14" s="89">
        <v>0</v>
      </c>
      <c r="R14" s="89">
        <v>0</v>
      </c>
      <c r="S14" s="89">
        <v>0</v>
      </c>
      <c r="T14" s="90">
        <v>0</v>
      </c>
      <c r="V14" s="105">
        <f t="shared" si="1"/>
        <v>5.26</v>
      </c>
      <c r="W14" s="111">
        <f t="shared" si="2"/>
        <v>0</v>
      </c>
      <c r="X14" s="74"/>
      <c r="Z14" s="91">
        <f t="shared" si="0"/>
        <v>5.26</v>
      </c>
      <c r="AA14" s="107">
        <f t="shared" si="4"/>
        <v>5.13</v>
      </c>
    </row>
    <row r="15" spans="1:27" x14ac:dyDescent="0.25">
      <c r="A15" s="92">
        <f t="shared" ca="1" si="3"/>
        <v>45398</v>
      </c>
      <c r="B15" s="93">
        <v>12</v>
      </c>
      <c r="C15" s="88">
        <v>474.4</v>
      </c>
      <c r="D15" s="89">
        <v>104</v>
      </c>
      <c r="E15" s="89"/>
      <c r="F15" s="89">
        <v>5.4990899999999998</v>
      </c>
      <c r="G15" s="89">
        <v>4.1008900000000006</v>
      </c>
      <c r="H15" s="90"/>
      <c r="I15" s="88">
        <v>0</v>
      </c>
      <c r="J15" s="89">
        <v>0</v>
      </c>
      <c r="K15" s="89">
        <v>0</v>
      </c>
      <c r="L15" s="89">
        <v>0</v>
      </c>
      <c r="M15" s="89">
        <v>0</v>
      </c>
      <c r="N15" s="90">
        <v>0</v>
      </c>
      <c r="O15" s="88">
        <v>0</v>
      </c>
      <c r="P15" s="89">
        <v>0</v>
      </c>
      <c r="Q15" s="89">
        <v>0</v>
      </c>
      <c r="R15" s="89">
        <v>0</v>
      </c>
      <c r="S15" s="89">
        <v>0</v>
      </c>
      <c r="T15" s="90">
        <v>0</v>
      </c>
      <c r="V15" s="105">
        <f t="shared" si="1"/>
        <v>5.25</v>
      </c>
      <c r="W15" s="111">
        <f t="shared" si="2"/>
        <v>0</v>
      </c>
      <c r="X15" s="74"/>
      <c r="Z15" s="91">
        <f t="shared" si="0"/>
        <v>5.25</v>
      </c>
      <c r="AA15" s="107">
        <f t="shared" si="4"/>
        <v>5.13</v>
      </c>
    </row>
    <row r="16" spans="1:27" x14ac:dyDescent="0.25">
      <c r="A16" s="92">
        <f t="shared" ca="1" si="3"/>
        <v>45398</v>
      </c>
      <c r="B16" s="93">
        <v>13</v>
      </c>
      <c r="C16" s="88">
        <v>247.76</v>
      </c>
      <c r="D16" s="89">
        <v>104</v>
      </c>
      <c r="E16" s="89"/>
      <c r="F16" s="89">
        <v>4.9490800000000004</v>
      </c>
      <c r="G16" s="89">
        <v>4.2009600000000002</v>
      </c>
      <c r="H16" s="90"/>
      <c r="I16" s="88">
        <v>0</v>
      </c>
      <c r="J16" s="89">
        <v>0</v>
      </c>
      <c r="K16" s="89">
        <v>0</v>
      </c>
      <c r="L16" s="89">
        <v>0</v>
      </c>
      <c r="M16" s="89">
        <v>0</v>
      </c>
      <c r="N16" s="90">
        <v>0</v>
      </c>
      <c r="O16" s="88">
        <v>0</v>
      </c>
      <c r="P16" s="89">
        <v>0</v>
      </c>
      <c r="Q16" s="89">
        <v>0</v>
      </c>
      <c r="R16" s="89">
        <v>0</v>
      </c>
      <c r="S16" s="89">
        <v>0</v>
      </c>
      <c r="T16" s="90">
        <v>0</v>
      </c>
      <c r="V16" s="105">
        <f t="shared" si="1"/>
        <v>4.7300000000000004</v>
      </c>
      <c r="W16" s="111">
        <f t="shared" si="2"/>
        <v>0</v>
      </c>
      <c r="X16" s="74"/>
      <c r="Z16" s="91">
        <f t="shared" si="0"/>
        <v>4.7300000000000004</v>
      </c>
      <c r="AA16" s="107">
        <f t="shared" si="4"/>
        <v>5.13</v>
      </c>
    </row>
    <row r="17" spans="1:27" x14ac:dyDescent="0.25">
      <c r="A17" s="92">
        <f t="shared" ca="1" si="3"/>
        <v>45398</v>
      </c>
      <c r="B17" s="93">
        <v>14</v>
      </c>
      <c r="C17" s="88">
        <v>382.29999999999995</v>
      </c>
      <c r="D17" s="89">
        <v>104</v>
      </c>
      <c r="E17" s="89"/>
      <c r="F17" s="89">
        <v>4.9993500000000006</v>
      </c>
      <c r="G17" s="89">
        <v>4.20092</v>
      </c>
      <c r="H17" s="90"/>
      <c r="I17" s="88">
        <v>0</v>
      </c>
      <c r="J17" s="89">
        <v>0</v>
      </c>
      <c r="K17" s="89">
        <v>0</v>
      </c>
      <c r="L17" s="89">
        <v>0</v>
      </c>
      <c r="M17" s="89">
        <v>0</v>
      </c>
      <c r="N17" s="90">
        <v>0</v>
      </c>
      <c r="O17" s="88">
        <v>0</v>
      </c>
      <c r="P17" s="89">
        <v>0</v>
      </c>
      <c r="Q17" s="89">
        <v>0</v>
      </c>
      <c r="R17" s="89">
        <v>0</v>
      </c>
      <c r="S17" s="89">
        <v>0</v>
      </c>
      <c r="T17" s="90">
        <v>0</v>
      </c>
      <c r="V17" s="105">
        <f t="shared" si="1"/>
        <v>4.83</v>
      </c>
      <c r="W17" s="111">
        <f t="shared" si="2"/>
        <v>0</v>
      </c>
      <c r="X17" s="74"/>
      <c r="Z17" s="91">
        <f t="shared" si="0"/>
        <v>4.83</v>
      </c>
      <c r="AA17" s="107">
        <f t="shared" si="4"/>
        <v>5.13</v>
      </c>
    </row>
    <row r="18" spans="1:27" x14ac:dyDescent="0.25">
      <c r="A18" s="92">
        <f t="shared" ca="1" si="3"/>
        <v>45398</v>
      </c>
      <c r="B18" s="93">
        <v>15</v>
      </c>
      <c r="C18" s="88">
        <v>386.9</v>
      </c>
      <c r="D18" s="89">
        <v>104</v>
      </c>
      <c r="E18" s="89"/>
      <c r="F18" s="89">
        <v>4.9991700000000003</v>
      </c>
      <c r="G18" s="89">
        <v>4.3000100000000003</v>
      </c>
      <c r="H18" s="90"/>
      <c r="I18" s="88">
        <v>0</v>
      </c>
      <c r="J18" s="89">
        <v>0</v>
      </c>
      <c r="K18" s="89">
        <v>0</v>
      </c>
      <c r="L18" s="89">
        <v>0</v>
      </c>
      <c r="M18" s="89">
        <v>0</v>
      </c>
      <c r="N18" s="90">
        <v>0</v>
      </c>
      <c r="O18" s="88">
        <v>0</v>
      </c>
      <c r="P18" s="89">
        <v>0</v>
      </c>
      <c r="Q18" s="89">
        <v>0</v>
      </c>
      <c r="R18" s="89">
        <v>0</v>
      </c>
      <c r="S18" s="89">
        <v>0</v>
      </c>
      <c r="T18" s="90">
        <v>0</v>
      </c>
      <c r="V18" s="105">
        <f t="shared" si="1"/>
        <v>4.8499999999999996</v>
      </c>
      <c r="W18" s="111">
        <f t="shared" si="2"/>
        <v>0</v>
      </c>
      <c r="X18" s="74"/>
      <c r="Z18" s="91">
        <f t="shared" si="0"/>
        <v>4.8499999999999996</v>
      </c>
      <c r="AA18" s="107">
        <f t="shared" si="4"/>
        <v>5.13</v>
      </c>
    </row>
    <row r="19" spans="1:27" x14ac:dyDescent="0.25">
      <c r="A19" s="92">
        <f t="shared" ca="1" si="3"/>
        <v>45398</v>
      </c>
      <c r="B19" s="93">
        <v>16</v>
      </c>
      <c r="C19" s="88">
        <v>368.2</v>
      </c>
      <c r="D19" s="89">
        <v>157.46</v>
      </c>
      <c r="E19" s="89"/>
      <c r="F19" s="89">
        <v>4.99986</v>
      </c>
      <c r="G19" s="89">
        <v>4.0008400000000002</v>
      </c>
      <c r="H19" s="90"/>
      <c r="I19" s="88">
        <v>0</v>
      </c>
      <c r="J19" s="89">
        <v>0</v>
      </c>
      <c r="K19" s="89">
        <v>0</v>
      </c>
      <c r="L19" s="89">
        <v>0</v>
      </c>
      <c r="M19" s="89">
        <v>0</v>
      </c>
      <c r="N19" s="90">
        <v>0</v>
      </c>
      <c r="O19" s="88">
        <v>0</v>
      </c>
      <c r="P19" s="89">
        <v>0</v>
      </c>
      <c r="Q19" s="89">
        <v>0</v>
      </c>
      <c r="R19" s="89">
        <v>0</v>
      </c>
      <c r="S19" s="89">
        <v>0</v>
      </c>
      <c r="T19" s="90">
        <v>0</v>
      </c>
      <c r="V19" s="105">
        <f t="shared" si="1"/>
        <v>4.7</v>
      </c>
      <c r="W19" s="111">
        <f t="shared" si="2"/>
        <v>0</v>
      </c>
      <c r="X19" s="74"/>
      <c r="Z19" s="91">
        <f t="shared" si="0"/>
        <v>4.7</v>
      </c>
      <c r="AA19" s="107">
        <f t="shared" si="4"/>
        <v>5.13</v>
      </c>
    </row>
    <row r="20" spans="1:27" x14ac:dyDescent="0.25">
      <c r="A20" s="92">
        <f t="shared" ca="1" si="3"/>
        <v>45398</v>
      </c>
      <c r="B20" s="93">
        <v>17</v>
      </c>
      <c r="C20" s="88">
        <v>458.4</v>
      </c>
      <c r="D20" s="89">
        <v>217</v>
      </c>
      <c r="E20" s="89"/>
      <c r="F20" s="89">
        <v>4.9995699999999994</v>
      </c>
      <c r="G20" s="89">
        <v>5.0003500000000001</v>
      </c>
      <c r="H20" s="90"/>
      <c r="I20" s="88">
        <v>0</v>
      </c>
      <c r="J20" s="89">
        <v>0</v>
      </c>
      <c r="K20" s="89">
        <v>0</v>
      </c>
      <c r="L20" s="89">
        <v>0</v>
      </c>
      <c r="M20" s="89">
        <v>0</v>
      </c>
      <c r="N20" s="90">
        <v>0</v>
      </c>
      <c r="O20" s="88">
        <v>0</v>
      </c>
      <c r="P20" s="89">
        <v>0</v>
      </c>
      <c r="Q20" s="89">
        <v>0</v>
      </c>
      <c r="R20" s="89">
        <v>0</v>
      </c>
      <c r="S20" s="89">
        <v>0</v>
      </c>
      <c r="T20" s="90">
        <v>0</v>
      </c>
      <c r="V20" s="105">
        <f t="shared" si="1"/>
        <v>5</v>
      </c>
      <c r="W20" s="111">
        <f t="shared" si="2"/>
        <v>0</v>
      </c>
      <c r="X20" s="74"/>
      <c r="Z20" s="91">
        <f t="shared" si="0"/>
        <v>5</v>
      </c>
      <c r="AA20" s="107">
        <f t="shared" si="4"/>
        <v>5.13</v>
      </c>
    </row>
    <row r="21" spans="1:27" x14ac:dyDescent="0.25">
      <c r="A21" s="92">
        <f t="shared" ca="1" si="3"/>
        <v>45398</v>
      </c>
      <c r="B21" s="93">
        <v>18</v>
      </c>
      <c r="C21" s="88">
        <v>458</v>
      </c>
      <c r="D21" s="89">
        <v>198.4</v>
      </c>
      <c r="E21" s="89"/>
      <c r="F21" s="89">
        <v>5.4990899999999998</v>
      </c>
      <c r="G21" s="89">
        <v>5.0004200000000001</v>
      </c>
      <c r="H21" s="90"/>
      <c r="I21" s="88">
        <v>0</v>
      </c>
      <c r="J21" s="89">
        <v>0</v>
      </c>
      <c r="K21" s="89">
        <v>0</v>
      </c>
      <c r="L21" s="89">
        <v>0</v>
      </c>
      <c r="M21" s="89">
        <v>0</v>
      </c>
      <c r="N21" s="90">
        <v>0</v>
      </c>
      <c r="O21" s="88">
        <v>0</v>
      </c>
      <c r="P21" s="89">
        <v>0</v>
      </c>
      <c r="Q21" s="89">
        <v>0</v>
      </c>
      <c r="R21" s="89">
        <v>0</v>
      </c>
      <c r="S21" s="89">
        <v>0</v>
      </c>
      <c r="T21" s="90">
        <v>0</v>
      </c>
      <c r="V21" s="105">
        <f t="shared" si="1"/>
        <v>5.35</v>
      </c>
      <c r="W21" s="111">
        <f t="shared" si="2"/>
        <v>0</v>
      </c>
      <c r="X21" s="74"/>
      <c r="Z21" s="91">
        <f t="shared" si="0"/>
        <v>5.35</v>
      </c>
      <c r="AA21" s="107">
        <f t="shared" si="4"/>
        <v>5.13</v>
      </c>
    </row>
    <row r="22" spans="1:27" x14ac:dyDescent="0.25">
      <c r="A22" s="92">
        <f t="shared" ca="1" si="3"/>
        <v>45398</v>
      </c>
      <c r="B22" s="93">
        <v>19</v>
      </c>
      <c r="C22" s="88">
        <v>454.6</v>
      </c>
      <c r="D22" s="89">
        <v>191.4</v>
      </c>
      <c r="E22" s="89"/>
      <c r="F22" s="89">
        <v>5.1966700000000001</v>
      </c>
      <c r="G22" s="89">
        <v>5.0004399999999993</v>
      </c>
      <c r="H22" s="90"/>
      <c r="I22" s="88">
        <v>0</v>
      </c>
      <c r="J22" s="89">
        <v>0</v>
      </c>
      <c r="K22" s="89">
        <v>0</v>
      </c>
      <c r="L22" s="89">
        <v>0</v>
      </c>
      <c r="M22" s="89">
        <v>0</v>
      </c>
      <c r="N22" s="90">
        <v>0</v>
      </c>
      <c r="O22" s="88">
        <v>0</v>
      </c>
      <c r="P22" s="89">
        <v>0</v>
      </c>
      <c r="Q22" s="89">
        <v>0</v>
      </c>
      <c r="R22" s="89">
        <v>0</v>
      </c>
      <c r="S22" s="89">
        <v>0</v>
      </c>
      <c r="T22" s="90">
        <v>0</v>
      </c>
      <c r="V22" s="105">
        <f t="shared" si="1"/>
        <v>5.14</v>
      </c>
      <c r="W22" s="111">
        <f t="shared" si="2"/>
        <v>0</v>
      </c>
      <c r="X22" s="74"/>
      <c r="Z22" s="91">
        <f t="shared" si="0"/>
        <v>5.14</v>
      </c>
      <c r="AA22" s="107">
        <f t="shared" si="4"/>
        <v>5.13</v>
      </c>
    </row>
    <row r="23" spans="1:27" x14ac:dyDescent="0.25">
      <c r="A23" s="92">
        <f t="shared" ca="1" si="3"/>
        <v>45398</v>
      </c>
      <c r="B23" s="93">
        <v>20</v>
      </c>
      <c r="C23" s="88">
        <v>454.5</v>
      </c>
      <c r="D23" s="89">
        <v>160.30000000000001</v>
      </c>
      <c r="E23" s="89"/>
      <c r="F23" s="89">
        <v>5.4803000000000006</v>
      </c>
      <c r="G23" s="89">
        <v>5.00054</v>
      </c>
      <c r="H23" s="90"/>
      <c r="I23" s="88">
        <v>0</v>
      </c>
      <c r="J23" s="89">
        <v>0</v>
      </c>
      <c r="K23" s="89">
        <v>0</v>
      </c>
      <c r="L23" s="89">
        <v>0</v>
      </c>
      <c r="M23" s="89">
        <v>0</v>
      </c>
      <c r="N23" s="90">
        <v>0</v>
      </c>
      <c r="O23" s="88">
        <v>0</v>
      </c>
      <c r="P23" s="89">
        <v>0</v>
      </c>
      <c r="Q23" s="89">
        <v>0</v>
      </c>
      <c r="R23" s="89">
        <v>0</v>
      </c>
      <c r="S23" s="89">
        <v>0</v>
      </c>
      <c r="T23" s="90">
        <v>0</v>
      </c>
      <c r="V23" s="105">
        <f t="shared" si="1"/>
        <v>5.36</v>
      </c>
      <c r="W23" s="111">
        <f t="shared" si="2"/>
        <v>0</v>
      </c>
      <c r="X23" s="74"/>
      <c r="Z23" s="91">
        <f t="shared" si="0"/>
        <v>5.36</v>
      </c>
      <c r="AA23" s="107">
        <f t="shared" si="4"/>
        <v>5.13</v>
      </c>
    </row>
    <row r="24" spans="1:27" x14ac:dyDescent="0.25">
      <c r="A24" s="92">
        <f t="shared" ca="1" si="3"/>
        <v>45398</v>
      </c>
      <c r="B24" s="93">
        <v>21</v>
      </c>
      <c r="C24" s="88">
        <v>474.6</v>
      </c>
      <c r="D24" s="89">
        <v>110</v>
      </c>
      <c r="E24" s="89"/>
      <c r="F24" s="89">
        <v>5.8997000000000002</v>
      </c>
      <c r="G24" s="89">
        <v>5.0007099999999998</v>
      </c>
      <c r="H24" s="90"/>
      <c r="I24" s="88">
        <v>0</v>
      </c>
      <c r="J24" s="89">
        <v>0</v>
      </c>
      <c r="K24" s="89">
        <v>0</v>
      </c>
      <c r="L24" s="89">
        <v>0</v>
      </c>
      <c r="M24" s="89">
        <v>0</v>
      </c>
      <c r="N24" s="90">
        <v>0</v>
      </c>
      <c r="O24" s="88">
        <v>0</v>
      </c>
      <c r="P24" s="89">
        <v>0</v>
      </c>
      <c r="Q24" s="89">
        <v>0</v>
      </c>
      <c r="R24" s="89">
        <v>0</v>
      </c>
      <c r="S24" s="89">
        <v>0</v>
      </c>
      <c r="T24" s="90">
        <v>0</v>
      </c>
      <c r="V24" s="105">
        <f t="shared" si="1"/>
        <v>5.73</v>
      </c>
      <c r="W24" s="111">
        <f t="shared" si="2"/>
        <v>0</v>
      </c>
      <c r="X24" s="74"/>
      <c r="Z24" s="91">
        <f t="shared" si="0"/>
        <v>5.73</v>
      </c>
      <c r="AA24" s="107">
        <f t="shared" si="4"/>
        <v>5.13</v>
      </c>
    </row>
    <row r="25" spans="1:27" x14ac:dyDescent="0.25">
      <c r="A25" s="92">
        <f t="shared" ca="1" si="3"/>
        <v>45398</v>
      </c>
      <c r="B25" s="93">
        <v>22</v>
      </c>
      <c r="C25" s="88">
        <v>463.6</v>
      </c>
      <c r="D25" s="89">
        <v>69.400000000000006</v>
      </c>
      <c r="E25" s="89"/>
      <c r="F25" s="89">
        <v>5.63964</v>
      </c>
      <c r="G25" s="89">
        <v>5.0008500000000007</v>
      </c>
      <c r="H25" s="90"/>
      <c r="I25" s="88">
        <v>0</v>
      </c>
      <c r="J25" s="89">
        <v>0</v>
      </c>
      <c r="K25" s="89">
        <v>0</v>
      </c>
      <c r="L25" s="89">
        <v>0</v>
      </c>
      <c r="M25" s="89">
        <v>0</v>
      </c>
      <c r="N25" s="90">
        <v>0</v>
      </c>
      <c r="O25" s="88">
        <v>0</v>
      </c>
      <c r="P25" s="89">
        <v>0</v>
      </c>
      <c r="Q25" s="89">
        <v>0</v>
      </c>
      <c r="R25" s="89">
        <v>0</v>
      </c>
      <c r="S25" s="89">
        <v>0</v>
      </c>
      <c r="T25" s="90">
        <v>0</v>
      </c>
      <c r="V25" s="105">
        <f t="shared" si="1"/>
        <v>5.56</v>
      </c>
      <c r="W25" s="111">
        <f t="shared" si="2"/>
        <v>0</v>
      </c>
      <c r="X25" s="74"/>
      <c r="Z25" s="91">
        <f t="shared" si="0"/>
        <v>5.56</v>
      </c>
      <c r="AA25" s="107">
        <f t="shared" si="4"/>
        <v>5.13</v>
      </c>
    </row>
    <row r="26" spans="1:27" x14ac:dyDescent="0.25">
      <c r="A26" s="92">
        <f t="shared" ca="1" si="3"/>
        <v>45398</v>
      </c>
      <c r="B26" s="93">
        <v>23</v>
      </c>
      <c r="C26" s="88">
        <v>444</v>
      </c>
      <c r="D26" s="89">
        <v>23</v>
      </c>
      <c r="E26" s="89"/>
      <c r="F26" s="89">
        <v>5.2608999999999995</v>
      </c>
      <c r="G26" s="89">
        <v>5.2609399999999997</v>
      </c>
      <c r="H26" s="90"/>
      <c r="I26" s="88">
        <v>0</v>
      </c>
      <c r="J26" s="89">
        <v>0</v>
      </c>
      <c r="K26" s="89">
        <v>0</v>
      </c>
      <c r="L26" s="89">
        <v>0</v>
      </c>
      <c r="M26" s="89">
        <v>0</v>
      </c>
      <c r="N26" s="90">
        <v>0</v>
      </c>
      <c r="O26" s="88">
        <v>0</v>
      </c>
      <c r="P26" s="89">
        <v>0</v>
      </c>
      <c r="Q26" s="89">
        <v>0</v>
      </c>
      <c r="R26" s="89">
        <v>0</v>
      </c>
      <c r="S26" s="89">
        <v>0</v>
      </c>
      <c r="T26" s="90">
        <v>0</v>
      </c>
      <c r="V26" s="105">
        <f t="shared" si="1"/>
        <v>5.26</v>
      </c>
      <c r="W26" s="111">
        <f t="shared" si="2"/>
        <v>0</v>
      </c>
      <c r="X26" s="74"/>
      <c r="Z26" s="91">
        <f t="shared" si="0"/>
        <v>5.26</v>
      </c>
      <c r="AA26" s="107">
        <f t="shared" si="4"/>
        <v>5.13</v>
      </c>
    </row>
    <row r="27" spans="1:27" x14ac:dyDescent="0.25">
      <c r="A27" s="92">
        <f t="shared" ca="1" si="3"/>
        <v>45398</v>
      </c>
      <c r="B27" s="93">
        <v>24</v>
      </c>
      <c r="C27" s="88">
        <v>456.4</v>
      </c>
      <c r="D27" s="89">
        <v>23</v>
      </c>
      <c r="E27" s="89"/>
      <c r="F27" s="89">
        <v>4.8485299999999993</v>
      </c>
      <c r="G27" s="89">
        <v>5.2609899999999996</v>
      </c>
      <c r="H27" s="90"/>
      <c r="I27" s="88">
        <v>0</v>
      </c>
      <c r="J27" s="89">
        <v>0</v>
      </c>
      <c r="K27" s="89">
        <v>0</v>
      </c>
      <c r="L27" s="89">
        <v>0</v>
      </c>
      <c r="M27" s="89">
        <v>0</v>
      </c>
      <c r="N27" s="90">
        <v>0</v>
      </c>
      <c r="O27" s="88">
        <v>0</v>
      </c>
      <c r="P27" s="89">
        <v>0</v>
      </c>
      <c r="Q27" s="89">
        <v>0</v>
      </c>
      <c r="R27" s="89">
        <v>0</v>
      </c>
      <c r="S27" s="89">
        <v>0</v>
      </c>
      <c r="T27" s="90">
        <v>0</v>
      </c>
      <c r="V27" s="105">
        <f t="shared" si="1"/>
        <v>4.87</v>
      </c>
      <c r="W27" s="111">
        <f t="shared" si="2"/>
        <v>0</v>
      </c>
      <c r="X27" s="74"/>
      <c r="Z27" s="91">
        <f t="shared" si="0"/>
        <v>4.87</v>
      </c>
      <c r="AA27" s="107">
        <f t="shared" si="4"/>
        <v>5.13</v>
      </c>
    </row>
    <row r="28" spans="1:27" x14ac:dyDescent="0.25">
      <c r="A28" s="92">
        <f t="shared" ca="1" si="3"/>
        <v>45398</v>
      </c>
      <c r="B28" s="93">
        <v>25</v>
      </c>
      <c r="C28" s="88">
        <v>461.3</v>
      </c>
      <c r="D28" s="89">
        <v>23</v>
      </c>
      <c r="E28" s="89"/>
      <c r="F28" s="89">
        <v>5.63591</v>
      </c>
      <c r="G28" s="89">
        <v>5.2600500000000006</v>
      </c>
      <c r="H28" s="90"/>
      <c r="I28" s="88">
        <v>0</v>
      </c>
      <c r="J28" s="89">
        <v>0</v>
      </c>
      <c r="K28" s="89">
        <v>0</v>
      </c>
      <c r="L28" s="89">
        <v>0</v>
      </c>
      <c r="M28" s="89">
        <v>0</v>
      </c>
      <c r="N28" s="90">
        <v>0</v>
      </c>
      <c r="O28" s="88">
        <v>0</v>
      </c>
      <c r="P28" s="89">
        <v>0</v>
      </c>
      <c r="Q28" s="89">
        <v>0</v>
      </c>
      <c r="R28" s="89">
        <v>0</v>
      </c>
      <c r="S28" s="89">
        <v>0</v>
      </c>
      <c r="T28" s="90">
        <v>0</v>
      </c>
      <c r="V28" s="105">
        <f t="shared" si="1"/>
        <v>5.62</v>
      </c>
      <c r="W28" s="111">
        <f t="shared" si="2"/>
        <v>0</v>
      </c>
      <c r="X28" s="74"/>
      <c r="Z28" s="91">
        <f t="shared" si="0"/>
        <v>5.62</v>
      </c>
      <c r="AA28" s="107">
        <f t="shared" si="4"/>
        <v>5.13</v>
      </c>
    </row>
    <row r="29" spans="1:27" x14ac:dyDescent="0.25">
      <c r="A29" s="92">
        <f t="shared" ca="1" si="3"/>
        <v>45398</v>
      </c>
      <c r="B29" s="93">
        <v>26</v>
      </c>
      <c r="C29" s="88">
        <v>480.5</v>
      </c>
      <c r="D29" s="89">
        <v>23</v>
      </c>
      <c r="E29" s="89"/>
      <c r="F29" s="89">
        <v>5.8995299999999995</v>
      </c>
      <c r="G29" s="89">
        <v>5.2605399999999998</v>
      </c>
      <c r="H29" s="90"/>
      <c r="I29" s="88">
        <v>0</v>
      </c>
      <c r="J29" s="89">
        <v>0</v>
      </c>
      <c r="K29" s="89">
        <v>0</v>
      </c>
      <c r="L29" s="89">
        <v>0</v>
      </c>
      <c r="M29" s="89">
        <v>0</v>
      </c>
      <c r="N29" s="90">
        <v>0</v>
      </c>
      <c r="O29" s="88">
        <v>0</v>
      </c>
      <c r="P29" s="89">
        <v>0</v>
      </c>
      <c r="Q29" s="89">
        <v>0</v>
      </c>
      <c r="R29" s="89">
        <v>0</v>
      </c>
      <c r="S29" s="89">
        <v>0</v>
      </c>
      <c r="T29" s="90">
        <v>0</v>
      </c>
      <c r="V29" s="105">
        <f t="shared" si="1"/>
        <v>5.87</v>
      </c>
      <c r="W29" s="111">
        <f t="shared" si="2"/>
        <v>0</v>
      </c>
      <c r="X29" s="74"/>
      <c r="Z29" s="91">
        <f t="shared" si="0"/>
        <v>5.87</v>
      </c>
      <c r="AA29" s="107">
        <f t="shared" si="4"/>
        <v>5.13</v>
      </c>
    </row>
    <row r="30" spans="1:27" x14ac:dyDescent="0.25">
      <c r="A30" s="92">
        <f t="shared" ca="1" si="3"/>
        <v>45398</v>
      </c>
      <c r="B30" s="93">
        <v>27</v>
      </c>
      <c r="C30" s="88">
        <v>538.1</v>
      </c>
      <c r="D30" s="89">
        <v>23</v>
      </c>
      <c r="E30" s="89"/>
      <c r="F30" s="89">
        <v>7.1097399999999995</v>
      </c>
      <c r="G30" s="89">
        <v>5.2605600000000008</v>
      </c>
      <c r="H30" s="90"/>
      <c r="I30" s="88">
        <v>0</v>
      </c>
      <c r="J30" s="89">
        <v>0</v>
      </c>
      <c r="K30" s="89">
        <v>0</v>
      </c>
      <c r="L30" s="89">
        <v>0</v>
      </c>
      <c r="M30" s="89">
        <v>0</v>
      </c>
      <c r="N30" s="90">
        <v>0</v>
      </c>
      <c r="O30" s="88">
        <v>0</v>
      </c>
      <c r="P30" s="89">
        <v>0</v>
      </c>
      <c r="Q30" s="89">
        <v>0</v>
      </c>
      <c r="R30" s="89">
        <v>0</v>
      </c>
      <c r="S30" s="89">
        <v>0</v>
      </c>
      <c r="T30" s="90">
        <v>0</v>
      </c>
      <c r="V30" s="105">
        <f t="shared" si="1"/>
        <v>7.03</v>
      </c>
      <c r="W30" s="111">
        <f t="shared" si="2"/>
        <v>0</v>
      </c>
      <c r="X30" s="74"/>
      <c r="Z30" s="91">
        <f t="shared" si="0"/>
        <v>7.03</v>
      </c>
      <c r="AA30" s="107">
        <f t="shared" si="4"/>
        <v>5.13</v>
      </c>
    </row>
    <row r="31" spans="1:27" x14ac:dyDescent="0.25">
      <c r="A31" s="92">
        <f t="shared" ca="1" si="3"/>
        <v>45398</v>
      </c>
      <c r="B31" s="93">
        <v>28</v>
      </c>
      <c r="C31" s="88">
        <v>425.8</v>
      </c>
      <c r="D31" s="89">
        <v>23</v>
      </c>
      <c r="E31" s="89"/>
      <c r="F31" s="89">
        <v>8.0001599999999993</v>
      </c>
      <c r="G31" s="89">
        <v>5.2605900000000005</v>
      </c>
      <c r="H31" s="90"/>
      <c r="I31" s="88">
        <v>0</v>
      </c>
      <c r="J31" s="89">
        <v>0</v>
      </c>
      <c r="K31" s="89">
        <v>0</v>
      </c>
      <c r="L31" s="89">
        <v>0</v>
      </c>
      <c r="M31" s="89">
        <v>0</v>
      </c>
      <c r="N31" s="90">
        <v>0</v>
      </c>
      <c r="O31" s="88">
        <v>0</v>
      </c>
      <c r="P31" s="89">
        <v>0</v>
      </c>
      <c r="Q31" s="89">
        <v>0</v>
      </c>
      <c r="R31" s="89">
        <v>0</v>
      </c>
      <c r="S31" s="89">
        <v>0</v>
      </c>
      <c r="T31" s="90">
        <v>0</v>
      </c>
      <c r="V31" s="105">
        <f t="shared" si="1"/>
        <v>7.86</v>
      </c>
      <c r="W31" s="111">
        <f t="shared" si="2"/>
        <v>0</v>
      </c>
      <c r="X31" s="74"/>
      <c r="Z31" s="91">
        <f t="shared" si="0"/>
        <v>7.86</v>
      </c>
      <c r="AA31" s="107">
        <f t="shared" si="4"/>
        <v>5.13</v>
      </c>
    </row>
    <row r="32" spans="1:27" x14ac:dyDescent="0.25">
      <c r="A32" s="92">
        <f t="shared" ca="1" si="3"/>
        <v>45398</v>
      </c>
      <c r="B32" s="93">
        <v>29</v>
      </c>
      <c r="C32" s="88">
        <v>535.70000000000005</v>
      </c>
      <c r="D32" s="89">
        <v>23</v>
      </c>
      <c r="E32" s="89"/>
      <c r="F32" s="89">
        <v>7.3651299999999997</v>
      </c>
      <c r="G32" s="89">
        <v>5.5554300000000003</v>
      </c>
      <c r="H32" s="90"/>
      <c r="I32" s="88">
        <v>0</v>
      </c>
      <c r="J32" s="89">
        <v>0</v>
      </c>
      <c r="K32" s="89">
        <v>0</v>
      </c>
      <c r="L32" s="89">
        <v>0</v>
      </c>
      <c r="M32" s="89">
        <v>0</v>
      </c>
      <c r="N32" s="90">
        <v>0</v>
      </c>
      <c r="O32" s="88">
        <v>0</v>
      </c>
      <c r="P32" s="89">
        <v>0</v>
      </c>
      <c r="Q32" s="89">
        <v>0</v>
      </c>
      <c r="R32" s="89">
        <v>0</v>
      </c>
      <c r="S32" s="89">
        <v>0</v>
      </c>
      <c r="T32" s="90">
        <v>0</v>
      </c>
      <c r="V32" s="105">
        <f t="shared" si="1"/>
        <v>7.29</v>
      </c>
      <c r="W32" s="111">
        <f t="shared" si="2"/>
        <v>0</v>
      </c>
      <c r="X32" s="74"/>
      <c r="Z32" s="91">
        <f t="shared" si="0"/>
        <v>7.29</v>
      </c>
      <c r="AA32" s="107">
        <f t="shared" si="4"/>
        <v>5.13</v>
      </c>
    </row>
    <row r="33" spans="1:27" x14ac:dyDescent="0.25">
      <c r="A33" s="92">
        <f t="shared" ca="1" si="3"/>
        <v>45398</v>
      </c>
      <c r="B33" s="93">
        <v>30</v>
      </c>
      <c r="C33" s="88">
        <v>544.5</v>
      </c>
      <c r="D33" s="89">
        <v>23.1</v>
      </c>
      <c r="E33" s="89"/>
      <c r="F33" s="89">
        <v>7.109</v>
      </c>
      <c r="G33" s="89">
        <v>6.6662400000000002</v>
      </c>
      <c r="H33" s="90"/>
      <c r="I33" s="88">
        <v>0</v>
      </c>
      <c r="J33" s="89">
        <v>0</v>
      </c>
      <c r="K33" s="89">
        <v>0</v>
      </c>
      <c r="L33" s="89">
        <v>0</v>
      </c>
      <c r="M33" s="89">
        <v>0</v>
      </c>
      <c r="N33" s="90">
        <v>0</v>
      </c>
      <c r="O33" s="88">
        <v>0</v>
      </c>
      <c r="P33" s="89">
        <v>0</v>
      </c>
      <c r="Q33" s="89">
        <v>0</v>
      </c>
      <c r="R33" s="89">
        <v>0</v>
      </c>
      <c r="S33" s="89">
        <v>0</v>
      </c>
      <c r="T33" s="90">
        <v>0</v>
      </c>
      <c r="V33" s="105">
        <f t="shared" si="1"/>
        <v>7.09</v>
      </c>
      <c r="W33" s="111">
        <f t="shared" si="2"/>
        <v>0</v>
      </c>
      <c r="X33" s="74"/>
      <c r="Z33" s="91">
        <f t="shared" si="0"/>
        <v>7.09</v>
      </c>
      <c r="AA33" s="107">
        <f t="shared" si="4"/>
        <v>5.13</v>
      </c>
    </row>
    <row r="34" spans="1:27" x14ac:dyDescent="0.25">
      <c r="A34" s="92">
        <f t="shared" ca="1" si="3"/>
        <v>45398</v>
      </c>
      <c r="B34" s="93">
        <v>31</v>
      </c>
      <c r="C34" s="88">
        <v>478</v>
      </c>
      <c r="D34" s="89">
        <v>23.2</v>
      </c>
      <c r="E34" s="89"/>
      <c r="F34" s="89">
        <v>6.0693999999999999</v>
      </c>
      <c r="G34" s="89">
        <v>6.6666499999999997</v>
      </c>
      <c r="H34" s="90"/>
      <c r="I34" s="88">
        <v>0</v>
      </c>
      <c r="J34" s="89">
        <v>0</v>
      </c>
      <c r="K34" s="89">
        <v>0</v>
      </c>
      <c r="L34" s="89">
        <v>0</v>
      </c>
      <c r="M34" s="89">
        <v>0</v>
      </c>
      <c r="N34" s="90">
        <v>0</v>
      </c>
      <c r="O34" s="88">
        <v>0</v>
      </c>
      <c r="P34" s="89">
        <v>0</v>
      </c>
      <c r="Q34" s="89">
        <v>0</v>
      </c>
      <c r="R34" s="89">
        <v>0</v>
      </c>
      <c r="S34" s="89">
        <v>0</v>
      </c>
      <c r="T34" s="90">
        <v>0</v>
      </c>
      <c r="V34" s="105">
        <f t="shared" si="1"/>
        <v>6.1</v>
      </c>
      <c r="W34" s="111">
        <f t="shared" si="2"/>
        <v>0</v>
      </c>
      <c r="X34" s="74"/>
      <c r="Z34" s="91">
        <f t="shared" si="0"/>
        <v>6.1</v>
      </c>
      <c r="AA34" s="107">
        <f t="shared" si="4"/>
        <v>5.13</v>
      </c>
    </row>
    <row r="35" spans="1:27" x14ac:dyDescent="0.25">
      <c r="A35" s="92">
        <f t="shared" ca="1" si="3"/>
        <v>45398</v>
      </c>
      <c r="B35" s="93">
        <v>32</v>
      </c>
      <c r="C35" s="88">
        <v>954</v>
      </c>
      <c r="D35" s="89">
        <v>23.6</v>
      </c>
      <c r="E35" s="89"/>
      <c r="F35" s="89">
        <v>4.8053299999999997</v>
      </c>
      <c r="G35" s="89">
        <v>6.6666699999999999</v>
      </c>
      <c r="H35" s="90"/>
      <c r="I35" s="88">
        <v>0</v>
      </c>
      <c r="J35" s="89">
        <v>0</v>
      </c>
      <c r="K35" s="89">
        <v>0</v>
      </c>
      <c r="L35" s="89">
        <v>0</v>
      </c>
      <c r="M35" s="89">
        <v>0</v>
      </c>
      <c r="N35" s="90">
        <v>0</v>
      </c>
      <c r="O35" s="88">
        <v>0</v>
      </c>
      <c r="P35" s="89">
        <v>0</v>
      </c>
      <c r="Q35" s="89">
        <v>0</v>
      </c>
      <c r="R35" s="89">
        <v>0</v>
      </c>
      <c r="S35" s="89">
        <v>0</v>
      </c>
      <c r="T35" s="90">
        <v>0</v>
      </c>
      <c r="V35" s="105">
        <f t="shared" si="1"/>
        <v>4.8499999999999996</v>
      </c>
      <c r="W35" s="111">
        <f t="shared" si="2"/>
        <v>0</v>
      </c>
      <c r="X35" s="74"/>
      <c r="Z35" s="91">
        <f t="shared" si="0"/>
        <v>4.8499999999999996</v>
      </c>
      <c r="AA35" s="107">
        <f t="shared" si="4"/>
        <v>5.13</v>
      </c>
    </row>
    <row r="36" spans="1:27" x14ac:dyDescent="0.25">
      <c r="A36" s="92">
        <f t="shared" ca="1" si="3"/>
        <v>45398</v>
      </c>
      <c r="B36" s="93">
        <v>33</v>
      </c>
      <c r="C36" s="88">
        <v>1197.1499999999999</v>
      </c>
      <c r="D36" s="89">
        <v>23.8</v>
      </c>
      <c r="E36" s="89"/>
      <c r="F36" s="89">
        <v>4.5024100000000002</v>
      </c>
      <c r="G36" s="89">
        <v>6.6660399999999997</v>
      </c>
      <c r="H36" s="90"/>
      <c r="I36" s="88">
        <v>0</v>
      </c>
      <c r="J36" s="89">
        <v>0</v>
      </c>
      <c r="K36" s="89">
        <v>0</v>
      </c>
      <c r="L36" s="89">
        <v>0</v>
      </c>
      <c r="M36" s="89">
        <v>0</v>
      </c>
      <c r="N36" s="90">
        <v>0</v>
      </c>
      <c r="O36" s="88">
        <v>0</v>
      </c>
      <c r="P36" s="89">
        <v>0</v>
      </c>
      <c r="Q36" s="89">
        <v>0</v>
      </c>
      <c r="R36" s="89">
        <v>0</v>
      </c>
      <c r="S36" s="89">
        <v>0</v>
      </c>
      <c r="T36" s="90">
        <v>0</v>
      </c>
      <c r="V36" s="105">
        <f t="shared" si="1"/>
        <v>4.54</v>
      </c>
      <c r="W36" s="111">
        <f t="shared" si="2"/>
        <v>0</v>
      </c>
      <c r="X36" s="74"/>
      <c r="Z36" s="91">
        <f t="shared" ref="Z36:Z67" si="5">MAX(V36:X36)</f>
        <v>4.54</v>
      </c>
      <c r="AA36" s="107">
        <f t="shared" si="4"/>
        <v>5.13</v>
      </c>
    </row>
    <row r="37" spans="1:27" x14ac:dyDescent="0.25">
      <c r="A37" s="92">
        <f t="shared" ca="1" si="3"/>
        <v>45398</v>
      </c>
      <c r="B37" s="93">
        <v>34</v>
      </c>
      <c r="C37" s="88">
        <v>1082.7</v>
      </c>
      <c r="D37" s="89">
        <v>24.2</v>
      </c>
      <c r="E37" s="89"/>
      <c r="F37" s="89">
        <v>4.54901</v>
      </c>
      <c r="G37" s="89">
        <v>6.0009600000000001</v>
      </c>
      <c r="H37" s="90"/>
      <c r="I37" s="88">
        <v>0</v>
      </c>
      <c r="J37" s="89">
        <v>0</v>
      </c>
      <c r="K37" s="89">
        <v>0</v>
      </c>
      <c r="L37" s="89">
        <v>0</v>
      </c>
      <c r="M37" s="89">
        <v>0</v>
      </c>
      <c r="N37" s="90">
        <v>0</v>
      </c>
      <c r="O37" s="88">
        <v>0</v>
      </c>
      <c r="P37" s="89">
        <v>0</v>
      </c>
      <c r="Q37" s="89">
        <v>0</v>
      </c>
      <c r="R37" s="89">
        <v>0</v>
      </c>
      <c r="S37" s="89">
        <v>0</v>
      </c>
      <c r="T37" s="90">
        <v>0</v>
      </c>
      <c r="V37" s="105">
        <f t="shared" si="1"/>
        <v>4.58</v>
      </c>
      <c r="W37" s="111">
        <f t="shared" si="2"/>
        <v>0</v>
      </c>
      <c r="X37" s="74"/>
      <c r="Z37" s="91">
        <f t="shared" si="5"/>
        <v>4.58</v>
      </c>
      <c r="AA37" s="107">
        <f t="shared" si="4"/>
        <v>5.13</v>
      </c>
    </row>
    <row r="38" spans="1:27" x14ac:dyDescent="0.25">
      <c r="A38" s="92">
        <f t="shared" ca="1" si="3"/>
        <v>45398</v>
      </c>
      <c r="B38" s="93">
        <v>35</v>
      </c>
      <c r="C38" s="88">
        <v>1094.26</v>
      </c>
      <c r="D38" s="89">
        <v>24.4</v>
      </c>
      <c r="E38" s="89"/>
      <c r="F38" s="89">
        <v>4.5028199999999998</v>
      </c>
      <c r="G38" s="89">
        <v>6.0009100000000002</v>
      </c>
      <c r="H38" s="90"/>
      <c r="I38" s="88">
        <v>0</v>
      </c>
      <c r="J38" s="89">
        <v>0</v>
      </c>
      <c r="K38" s="89">
        <v>0</v>
      </c>
      <c r="L38" s="89">
        <v>0</v>
      </c>
      <c r="M38" s="89">
        <v>0</v>
      </c>
      <c r="N38" s="90">
        <v>0</v>
      </c>
      <c r="O38" s="88">
        <v>0</v>
      </c>
      <c r="P38" s="89">
        <v>0</v>
      </c>
      <c r="Q38" s="89">
        <v>0</v>
      </c>
      <c r="R38" s="89">
        <v>0</v>
      </c>
      <c r="S38" s="89">
        <v>0</v>
      </c>
      <c r="T38" s="90">
        <v>0</v>
      </c>
      <c r="V38" s="105">
        <f t="shared" si="1"/>
        <v>4.54</v>
      </c>
      <c r="W38" s="111">
        <f t="shared" si="2"/>
        <v>0</v>
      </c>
      <c r="X38" s="74"/>
      <c r="Z38" s="91">
        <f t="shared" si="5"/>
        <v>4.54</v>
      </c>
      <c r="AA38" s="107">
        <f t="shared" si="4"/>
        <v>5.13</v>
      </c>
    </row>
    <row r="39" spans="1:27" x14ac:dyDescent="0.25">
      <c r="A39" s="92">
        <f t="shared" ca="1" si="3"/>
        <v>45398</v>
      </c>
      <c r="B39" s="93">
        <v>36</v>
      </c>
      <c r="C39" s="88">
        <v>1075.1399999999999</v>
      </c>
      <c r="D39" s="89">
        <v>24.7</v>
      </c>
      <c r="E39" s="89"/>
      <c r="F39" s="89">
        <v>4.5029200000000005</v>
      </c>
      <c r="G39" s="89">
        <v>5.5556299999999998</v>
      </c>
      <c r="H39" s="90"/>
      <c r="I39" s="88">
        <v>0</v>
      </c>
      <c r="J39" s="89">
        <v>0</v>
      </c>
      <c r="K39" s="89">
        <v>0</v>
      </c>
      <c r="L39" s="89">
        <v>0</v>
      </c>
      <c r="M39" s="89">
        <v>0</v>
      </c>
      <c r="N39" s="90">
        <v>0</v>
      </c>
      <c r="O39" s="88">
        <v>0</v>
      </c>
      <c r="P39" s="89">
        <v>0</v>
      </c>
      <c r="Q39" s="89">
        <v>0</v>
      </c>
      <c r="R39" s="89">
        <v>0</v>
      </c>
      <c r="S39" s="89">
        <v>0</v>
      </c>
      <c r="T39" s="90">
        <v>0</v>
      </c>
      <c r="V39" s="105">
        <f t="shared" si="1"/>
        <v>4.53</v>
      </c>
      <c r="W39" s="111">
        <f t="shared" si="2"/>
        <v>0</v>
      </c>
      <c r="X39" s="74"/>
      <c r="Z39" s="91">
        <f t="shared" si="5"/>
        <v>4.53</v>
      </c>
      <c r="AA39" s="107">
        <f t="shared" si="4"/>
        <v>5.13</v>
      </c>
    </row>
    <row r="40" spans="1:27" x14ac:dyDescent="0.25">
      <c r="A40" s="92">
        <f t="shared" ca="1" si="3"/>
        <v>45398</v>
      </c>
      <c r="B40" s="93">
        <v>37</v>
      </c>
      <c r="C40" s="88">
        <v>1149.0999999999999</v>
      </c>
      <c r="D40" s="89">
        <v>24.9</v>
      </c>
      <c r="E40" s="89"/>
      <c r="F40" s="89">
        <v>4.5383999999999993</v>
      </c>
      <c r="G40" s="89">
        <v>5.2603900000000001</v>
      </c>
      <c r="H40" s="90"/>
      <c r="I40" s="88">
        <v>0</v>
      </c>
      <c r="J40" s="89">
        <v>0</v>
      </c>
      <c r="K40" s="89">
        <v>0</v>
      </c>
      <c r="L40" s="89">
        <v>0</v>
      </c>
      <c r="M40" s="89">
        <v>0</v>
      </c>
      <c r="N40" s="90">
        <v>0</v>
      </c>
      <c r="O40" s="88">
        <v>0</v>
      </c>
      <c r="P40" s="89">
        <v>0</v>
      </c>
      <c r="Q40" s="89">
        <v>0</v>
      </c>
      <c r="R40" s="89">
        <v>0</v>
      </c>
      <c r="S40" s="89">
        <v>0</v>
      </c>
      <c r="T40" s="90">
        <v>0</v>
      </c>
      <c r="V40" s="105">
        <f t="shared" si="1"/>
        <v>4.55</v>
      </c>
      <c r="W40" s="111">
        <f t="shared" si="2"/>
        <v>0</v>
      </c>
      <c r="X40" s="74"/>
      <c r="Z40" s="91">
        <f t="shared" si="5"/>
        <v>4.55</v>
      </c>
      <c r="AA40" s="107">
        <f t="shared" si="4"/>
        <v>5.13</v>
      </c>
    </row>
    <row r="41" spans="1:27" x14ac:dyDescent="0.25">
      <c r="A41" s="92">
        <f t="shared" ca="1" si="3"/>
        <v>45398</v>
      </c>
      <c r="B41" s="93">
        <v>38</v>
      </c>
      <c r="C41" s="88">
        <v>1163.7</v>
      </c>
      <c r="D41" s="89">
        <v>25.1</v>
      </c>
      <c r="E41" s="89"/>
      <c r="F41" s="89">
        <v>4.5380200000000004</v>
      </c>
      <c r="G41" s="89">
        <v>5.26004</v>
      </c>
      <c r="H41" s="90"/>
      <c r="I41" s="88">
        <v>0</v>
      </c>
      <c r="J41" s="89">
        <v>0</v>
      </c>
      <c r="K41" s="89">
        <v>0</v>
      </c>
      <c r="L41" s="89">
        <v>0</v>
      </c>
      <c r="M41" s="89">
        <v>0</v>
      </c>
      <c r="N41" s="90">
        <v>0</v>
      </c>
      <c r="O41" s="88">
        <v>0</v>
      </c>
      <c r="P41" s="89">
        <v>0</v>
      </c>
      <c r="Q41" s="89">
        <v>0</v>
      </c>
      <c r="R41" s="89">
        <v>0</v>
      </c>
      <c r="S41" s="89">
        <v>0</v>
      </c>
      <c r="T41" s="90">
        <v>0</v>
      </c>
      <c r="V41" s="105">
        <f t="shared" si="1"/>
        <v>4.55</v>
      </c>
      <c r="W41" s="111">
        <f t="shared" si="2"/>
        <v>0</v>
      </c>
      <c r="X41" s="74"/>
      <c r="Z41" s="91">
        <f t="shared" si="5"/>
        <v>4.55</v>
      </c>
      <c r="AA41" s="107">
        <f t="shared" si="4"/>
        <v>5.13</v>
      </c>
    </row>
    <row r="42" spans="1:27" x14ac:dyDescent="0.25">
      <c r="A42" s="92">
        <f t="shared" ca="1" si="3"/>
        <v>45398</v>
      </c>
      <c r="B42" s="93">
        <v>39</v>
      </c>
      <c r="C42" s="88">
        <v>878.90000000000009</v>
      </c>
      <c r="D42" s="89">
        <v>25.2</v>
      </c>
      <c r="E42" s="89"/>
      <c r="F42" s="89">
        <v>4.5707200000000006</v>
      </c>
      <c r="G42" s="89">
        <v>5.1001000000000003</v>
      </c>
      <c r="H42" s="90"/>
      <c r="I42" s="88">
        <v>0</v>
      </c>
      <c r="J42" s="89">
        <v>0</v>
      </c>
      <c r="K42" s="89">
        <v>0</v>
      </c>
      <c r="L42" s="89">
        <v>0</v>
      </c>
      <c r="M42" s="89">
        <v>0</v>
      </c>
      <c r="N42" s="90">
        <v>0</v>
      </c>
      <c r="O42" s="88">
        <v>0</v>
      </c>
      <c r="P42" s="89">
        <v>0</v>
      </c>
      <c r="Q42" s="89">
        <v>0</v>
      </c>
      <c r="R42" s="89">
        <v>0</v>
      </c>
      <c r="S42" s="89">
        <v>0</v>
      </c>
      <c r="T42" s="90">
        <v>0</v>
      </c>
      <c r="V42" s="105">
        <f t="shared" si="1"/>
        <v>4.59</v>
      </c>
      <c r="W42" s="111">
        <f t="shared" si="2"/>
        <v>0</v>
      </c>
      <c r="X42" s="74"/>
      <c r="Z42" s="91">
        <f t="shared" si="5"/>
        <v>4.59</v>
      </c>
      <c r="AA42" s="107">
        <f t="shared" si="4"/>
        <v>5.13</v>
      </c>
    </row>
    <row r="43" spans="1:27" x14ac:dyDescent="0.25">
      <c r="A43" s="92">
        <f t="shared" ca="1" si="3"/>
        <v>45398</v>
      </c>
      <c r="B43" s="93">
        <v>40</v>
      </c>
      <c r="C43" s="88">
        <v>731.33999999999992</v>
      </c>
      <c r="D43" s="89">
        <v>25.3</v>
      </c>
      <c r="E43" s="89"/>
      <c r="F43" s="89">
        <v>4.8001800000000001</v>
      </c>
      <c r="G43" s="89">
        <v>5.1000699999999997</v>
      </c>
      <c r="H43" s="90"/>
      <c r="I43" s="88">
        <v>0</v>
      </c>
      <c r="J43" s="89">
        <v>0</v>
      </c>
      <c r="K43" s="89">
        <v>0</v>
      </c>
      <c r="L43" s="89">
        <v>0</v>
      </c>
      <c r="M43" s="89">
        <v>0</v>
      </c>
      <c r="N43" s="90">
        <v>0</v>
      </c>
      <c r="O43" s="88">
        <v>0</v>
      </c>
      <c r="P43" s="89">
        <v>0</v>
      </c>
      <c r="Q43" s="89">
        <v>0</v>
      </c>
      <c r="R43" s="89">
        <v>0</v>
      </c>
      <c r="S43" s="89">
        <v>0</v>
      </c>
      <c r="T43" s="90">
        <v>0</v>
      </c>
      <c r="V43" s="105">
        <f t="shared" si="1"/>
        <v>4.8099999999999996</v>
      </c>
      <c r="W43" s="111">
        <f t="shared" si="2"/>
        <v>0</v>
      </c>
      <c r="X43" s="74"/>
      <c r="Z43" s="91">
        <f t="shared" si="5"/>
        <v>4.8099999999999996</v>
      </c>
      <c r="AA43" s="107">
        <f t="shared" si="4"/>
        <v>5.13</v>
      </c>
    </row>
    <row r="44" spans="1:27" x14ac:dyDescent="0.25">
      <c r="A44" s="92">
        <f t="shared" ca="1" si="3"/>
        <v>45398</v>
      </c>
      <c r="B44" s="93">
        <v>41</v>
      </c>
      <c r="C44" s="88">
        <v>1469.9</v>
      </c>
      <c r="D44" s="89">
        <v>25.5</v>
      </c>
      <c r="E44" s="89"/>
      <c r="F44" s="89">
        <v>4.4388399999999999</v>
      </c>
      <c r="G44" s="89">
        <v>5.2604899999999999</v>
      </c>
      <c r="H44" s="90"/>
      <c r="I44" s="88">
        <v>0</v>
      </c>
      <c r="J44" s="89">
        <v>0</v>
      </c>
      <c r="K44" s="89">
        <v>0</v>
      </c>
      <c r="L44" s="89">
        <v>0</v>
      </c>
      <c r="M44" s="89">
        <v>0</v>
      </c>
      <c r="N44" s="90">
        <v>0</v>
      </c>
      <c r="O44" s="88">
        <v>0</v>
      </c>
      <c r="P44" s="89">
        <v>0</v>
      </c>
      <c r="Q44" s="89">
        <v>0</v>
      </c>
      <c r="R44" s="89">
        <v>0</v>
      </c>
      <c r="S44" s="89">
        <v>0</v>
      </c>
      <c r="T44" s="90">
        <v>0</v>
      </c>
      <c r="V44" s="105">
        <f t="shared" si="1"/>
        <v>4.45</v>
      </c>
      <c r="W44" s="111">
        <f t="shared" si="2"/>
        <v>0</v>
      </c>
      <c r="X44" s="74"/>
      <c r="Z44" s="91">
        <f t="shared" si="5"/>
        <v>4.45</v>
      </c>
      <c r="AA44" s="107">
        <f t="shared" si="4"/>
        <v>5.13</v>
      </c>
    </row>
    <row r="45" spans="1:27" x14ac:dyDescent="0.25">
      <c r="A45" s="92">
        <f t="shared" ca="1" si="3"/>
        <v>45398</v>
      </c>
      <c r="B45" s="93">
        <v>42</v>
      </c>
      <c r="C45" s="88">
        <v>1165</v>
      </c>
      <c r="D45" s="89">
        <v>34.700000000000003</v>
      </c>
      <c r="E45" s="89"/>
      <c r="F45" s="89">
        <v>4.54739</v>
      </c>
      <c r="G45" s="89">
        <v>5.0009700000000006</v>
      </c>
      <c r="H45" s="90"/>
      <c r="I45" s="88">
        <v>0</v>
      </c>
      <c r="J45" s="89">
        <v>0</v>
      </c>
      <c r="K45" s="89">
        <v>0</v>
      </c>
      <c r="L45" s="89">
        <v>0</v>
      </c>
      <c r="M45" s="89">
        <v>0</v>
      </c>
      <c r="N45" s="90">
        <v>0</v>
      </c>
      <c r="O45" s="88">
        <v>0</v>
      </c>
      <c r="P45" s="89">
        <v>0</v>
      </c>
      <c r="Q45" s="89">
        <v>0</v>
      </c>
      <c r="R45" s="89">
        <v>0</v>
      </c>
      <c r="S45" s="89">
        <v>0</v>
      </c>
      <c r="T45" s="90">
        <v>0</v>
      </c>
      <c r="V45" s="105">
        <f t="shared" si="1"/>
        <v>4.5599999999999996</v>
      </c>
      <c r="W45" s="111">
        <f t="shared" si="2"/>
        <v>0</v>
      </c>
      <c r="X45" s="74"/>
      <c r="Z45" s="91">
        <f t="shared" si="5"/>
        <v>4.5599999999999996</v>
      </c>
      <c r="AA45" s="107">
        <f t="shared" si="4"/>
        <v>5.13</v>
      </c>
    </row>
    <row r="46" spans="1:27" x14ac:dyDescent="0.25">
      <c r="A46" s="92">
        <f t="shared" ca="1" si="3"/>
        <v>45398</v>
      </c>
      <c r="B46" s="94">
        <v>43</v>
      </c>
      <c r="C46" s="88">
        <v>1017.43</v>
      </c>
      <c r="D46" s="89">
        <v>132.20000000000002</v>
      </c>
      <c r="E46" s="89"/>
      <c r="F46" s="89">
        <v>4.5703199999999997</v>
      </c>
      <c r="G46" s="89">
        <v>5.0006499999999994</v>
      </c>
      <c r="H46" s="90"/>
      <c r="I46" s="88">
        <v>0</v>
      </c>
      <c r="J46" s="89">
        <v>0</v>
      </c>
      <c r="K46" s="89">
        <v>0</v>
      </c>
      <c r="L46" s="89">
        <v>0</v>
      </c>
      <c r="M46" s="89">
        <v>0</v>
      </c>
      <c r="N46" s="90">
        <v>0</v>
      </c>
      <c r="O46" s="88">
        <v>0</v>
      </c>
      <c r="P46" s="89">
        <v>0</v>
      </c>
      <c r="Q46" s="89">
        <v>0</v>
      </c>
      <c r="R46" s="89">
        <v>0</v>
      </c>
      <c r="S46" s="89">
        <v>0</v>
      </c>
      <c r="T46" s="90">
        <v>0</v>
      </c>
      <c r="V46" s="105">
        <f t="shared" si="1"/>
        <v>4.62</v>
      </c>
      <c r="W46" s="111">
        <f t="shared" si="2"/>
        <v>0</v>
      </c>
      <c r="X46" s="74"/>
      <c r="Z46" s="91">
        <f t="shared" si="5"/>
        <v>4.62</v>
      </c>
      <c r="AA46" s="107">
        <f t="shared" si="4"/>
        <v>5.13</v>
      </c>
    </row>
    <row r="47" spans="1:27" x14ac:dyDescent="0.25">
      <c r="A47" s="92">
        <f t="shared" ca="1" si="3"/>
        <v>45398</v>
      </c>
      <c r="B47" s="93">
        <v>44</v>
      </c>
      <c r="C47" s="88">
        <v>1099.08</v>
      </c>
      <c r="D47" s="89">
        <v>196.5</v>
      </c>
      <c r="E47" s="89"/>
      <c r="F47" s="89">
        <v>4.5701200000000002</v>
      </c>
      <c r="G47" s="89">
        <v>5.0004300000000006</v>
      </c>
      <c r="H47" s="90"/>
      <c r="I47" s="88">
        <v>0</v>
      </c>
      <c r="J47" s="89">
        <v>0</v>
      </c>
      <c r="K47" s="89">
        <v>0</v>
      </c>
      <c r="L47" s="89">
        <v>0</v>
      </c>
      <c r="M47" s="89">
        <v>0</v>
      </c>
      <c r="N47" s="90">
        <v>0</v>
      </c>
      <c r="O47" s="88">
        <v>0</v>
      </c>
      <c r="P47" s="89">
        <v>0</v>
      </c>
      <c r="Q47" s="89">
        <v>0</v>
      </c>
      <c r="R47" s="89">
        <v>0</v>
      </c>
      <c r="S47" s="89">
        <v>0</v>
      </c>
      <c r="T47" s="90">
        <v>0</v>
      </c>
      <c r="V47" s="105">
        <f t="shared" si="1"/>
        <v>4.6399999999999997</v>
      </c>
      <c r="W47" s="111">
        <f t="shared" si="2"/>
        <v>0</v>
      </c>
      <c r="X47" s="74"/>
      <c r="Z47" s="91">
        <f t="shared" si="5"/>
        <v>4.6399999999999997</v>
      </c>
      <c r="AA47" s="107">
        <f t="shared" si="4"/>
        <v>5.13</v>
      </c>
    </row>
    <row r="48" spans="1:27" x14ac:dyDescent="0.25">
      <c r="A48" s="92">
        <f t="shared" ca="1" si="3"/>
        <v>45398</v>
      </c>
      <c r="B48" s="93">
        <v>45</v>
      </c>
      <c r="C48" s="88">
        <v>1172.9000000000001</v>
      </c>
      <c r="D48" s="89">
        <v>325.89999999999998</v>
      </c>
      <c r="E48" s="89"/>
      <c r="F48" s="89">
        <v>4.4381400000000006</v>
      </c>
      <c r="G48" s="89">
        <v>4.7803100000000001</v>
      </c>
      <c r="H48" s="90"/>
      <c r="I48" s="88">
        <v>0</v>
      </c>
      <c r="J48" s="89">
        <v>0</v>
      </c>
      <c r="K48" s="89">
        <v>0</v>
      </c>
      <c r="L48" s="89">
        <v>0</v>
      </c>
      <c r="M48" s="89">
        <v>0</v>
      </c>
      <c r="N48" s="90">
        <v>0</v>
      </c>
      <c r="O48" s="88">
        <v>0</v>
      </c>
      <c r="P48" s="89">
        <v>0</v>
      </c>
      <c r="Q48" s="89">
        <v>0</v>
      </c>
      <c r="R48" s="89">
        <v>0</v>
      </c>
      <c r="S48" s="89">
        <v>0</v>
      </c>
      <c r="T48" s="90">
        <v>0</v>
      </c>
      <c r="V48" s="105">
        <f t="shared" si="1"/>
        <v>4.51</v>
      </c>
      <c r="W48" s="111">
        <f t="shared" si="2"/>
        <v>0</v>
      </c>
      <c r="X48" s="74"/>
      <c r="Z48" s="91">
        <f t="shared" si="5"/>
        <v>4.51</v>
      </c>
      <c r="AA48" s="107">
        <f t="shared" si="4"/>
        <v>5.13</v>
      </c>
    </row>
    <row r="49" spans="1:27" x14ac:dyDescent="0.25">
      <c r="A49" s="92">
        <f t="shared" ca="1" si="3"/>
        <v>45398</v>
      </c>
      <c r="B49" s="93">
        <v>46</v>
      </c>
      <c r="C49" s="88">
        <v>1172.4000000000001</v>
      </c>
      <c r="D49" s="89">
        <v>325.89999999999998</v>
      </c>
      <c r="E49" s="89"/>
      <c r="F49" s="89">
        <v>4.4880100000000001</v>
      </c>
      <c r="G49" s="89">
        <v>4.7809699999999999</v>
      </c>
      <c r="H49" s="90"/>
      <c r="I49" s="88">
        <v>0</v>
      </c>
      <c r="J49" s="89">
        <v>0</v>
      </c>
      <c r="K49" s="89">
        <v>0</v>
      </c>
      <c r="L49" s="89">
        <v>0</v>
      </c>
      <c r="M49" s="89">
        <v>0</v>
      </c>
      <c r="N49" s="90">
        <v>0</v>
      </c>
      <c r="O49" s="88">
        <v>0</v>
      </c>
      <c r="P49" s="89">
        <v>0</v>
      </c>
      <c r="Q49" s="89">
        <v>0</v>
      </c>
      <c r="R49" s="89">
        <v>0</v>
      </c>
      <c r="S49" s="89">
        <v>0</v>
      </c>
      <c r="T49" s="90">
        <v>0</v>
      </c>
      <c r="V49" s="105">
        <f t="shared" si="1"/>
        <v>4.55</v>
      </c>
      <c r="W49" s="111">
        <f t="shared" si="2"/>
        <v>0</v>
      </c>
      <c r="X49" s="74"/>
      <c r="Z49" s="91">
        <f t="shared" si="5"/>
        <v>4.55</v>
      </c>
      <c r="AA49" s="107">
        <f t="shared" si="4"/>
        <v>5.13</v>
      </c>
    </row>
    <row r="50" spans="1:27" x14ac:dyDescent="0.25">
      <c r="A50" s="92">
        <f t="shared" ca="1" si="3"/>
        <v>45398</v>
      </c>
      <c r="B50" s="93">
        <v>47</v>
      </c>
      <c r="C50" s="88">
        <v>1158.7</v>
      </c>
      <c r="D50" s="89">
        <v>325.89999999999998</v>
      </c>
      <c r="E50" s="89"/>
      <c r="F50" s="89">
        <v>4.3400100000000004</v>
      </c>
      <c r="G50" s="89">
        <v>4.8697499999999998</v>
      </c>
      <c r="H50" s="90"/>
      <c r="I50" s="88">
        <v>0</v>
      </c>
      <c r="J50" s="89">
        <v>0</v>
      </c>
      <c r="K50" s="89">
        <v>0</v>
      </c>
      <c r="L50" s="89">
        <v>0</v>
      </c>
      <c r="M50" s="89">
        <v>0</v>
      </c>
      <c r="N50" s="90">
        <v>0</v>
      </c>
      <c r="O50" s="88">
        <v>0</v>
      </c>
      <c r="P50" s="89">
        <v>0</v>
      </c>
      <c r="Q50" s="89">
        <v>0</v>
      </c>
      <c r="R50" s="89">
        <v>0</v>
      </c>
      <c r="S50" s="89">
        <v>0</v>
      </c>
      <c r="T50" s="90">
        <v>0</v>
      </c>
      <c r="V50" s="105">
        <f t="shared" si="1"/>
        <v>4.46</v>
      </c>
      <c r="W50" s="111">
        <f t="shared" si="2"/>
        <v>0</v>
      </c>
      <c r="X50" s="74"/>
      <c r="Z50" s="91">
        <f t="shared" si="5"/>
        <v>4.46</v>
      </c>
      <c r="AA50" s="107">
        <f t="shared" si="4"/>
        <v>5.13</v>
      </c>
    </row>
    <row r="51" spans="1:27" x14ac:dyDescent="0.25">
      <c r="A51" s="92">
        <f t="shared" ca="1" si="3"/>
        <v>45398</v>
      </c>
      <c r="B51" s="93">
        <v>48</v>
      </c>
      <c r="C51" s="88">
        <v>1171</v>
      </c>
      <c r="D51" s="89">
        <v>325.89999999999998</v>
      </c>
      <c r="E51" s="89"/>
      <c r="F51" s="89">
        <v>4.1539700000000002</v>
      </c>
      <c r="G51" s="89">
        <v>4.7808400000000004</v>
      </c>
      <c r="H51" s="90"/>
      <c r="I51" s="88">
        <v>0</v>
      </c>
      <c r="J51" s="89">
        <v>0</v>
      </c>
      <c r="K51" s="89">
        <v>0</v>
      </c>
      <c r="L51" s="89">
        <v>0</v>
      </c>
      <c r="M51" s="89">
        <v>0</v>
      </c>
      <c r="N51" s="90">
        <v>0</v>
      </c>
      <c r="O51" s="88">
        <v>0</v>
      </c>
      <c r="P51" s="89">
        <v>0</v>
      </c>
      <c r="Q51" s="89">
        <v>0</v>
      </c>
      <c r="R51" s="89">
        <v>0</v>
      </c>
      <c r="S51" s="89">
        <v>0</v>
      </c>
      <c r="T51" s="90">
        <v>0</v>
      </c>
      <c r="V51" s="105">
        <f t="shared" si="1"/>
        <v>4.29</v>
      </c>
      <c r="W51" s="111">
        <f t="shared" si="2"/>
        <v>0</v>
      </c>
      <c r="X51" s="74"/>
      <c r="Z51" s="91">
        <f t="shared" si="5"/>
        <v>4.29</v>
      </c>
      <c r="AA51" s="107">
        <f t="shared" si="4"/>
        <v>5.13</v>
      </c>
    </row>
    <row r="52" spans="1:27" x14ac:dyDescent="0.25">
      <c r="A52" s="92">
        <f t="shared" ca="1" si="3"/>
        <v>45398</v>
      </c>
      <c r="B52" s="93">
        <v>49</v>
      </c>
      <c r="C52" s="88">
        <v>1152.5999999999999</v>
      </c>
      <c r="D52" s="89">
        <v>125.9</v>
      </c>
      <c r="E52" s="89"/>
      <c r="F52" s="89">
        <v>3.8997700000000002</v>
      </c>
      <c r="G52" s="89">
        <v>4.8006700000000002</v>
      </c>
      <c r="H52" s="90"/>
      <c r="I52" s="88">
        <v>0</v>
      </c>
      <c r="J52" s="89">
        <v>0</v>
      </c>
      <c r="K52" s="89">
        <v>0</v>
      </c>
      <c r="L52" s="89">
        <v>0</v>
      </c>
      <c r="M52" s="89">
        <v>0</v>
      </c>
      <c r="N52" s="90">
        <v>0</v>
      </c>
      <c r="O52" s="88">
        <v>0</v>
      </c>
      <c r="P52" s="89">
        <v>0</v>
      </c>
      <c r="Q52" s="89">
        <v>0</v>
      </c>
      <c r="R52" s="89">
        <v>0</v>
      </c>
      <c r="S52" s="89">
        <v>0</v>
      </c>
      <c r="T52" s="90">
        <v>0</v>
      </c>
      <c r="V52" s="105">
        <f t="shared" si="1"/>
        <v>3.99</v>
      </c>
      <c r="W52" s="111">
        <f t="shared" si="2"/>
        <v>0</v>
      </c>
      <c r="X52" s="74"/>
      <c r="Z52" s="91">
        <f t="shared" si="5"/>
        <v>3.99</v>
      </c>
      <c r="AA52" s="107">
        <f t="shared" si="4"/>
        <v>5.13</v>
      </c>
    </row>
    <row r="53" spans="1:27" x14ac:dyDescent="0.25">
      <c r="A53" s="92">
        <f t="shared" ca="1" si="3"/>
        <v>45398</v>
      </c>
      <c r="B53" s="93">
        <v>50</v>
      </c>
      <c r="C53" s="88">
        <v>1127.4000000000001</v>
      </c>
      <c r="D53" s="89">
        <v>125.8</v>
      </c>
      <c r="E53" s="89"/>
      <c r="F53" s="89">
        <v>3.9300999999999999</v>
      </c>
      <c r="G53" s="89">
        <v>4.5009499999999996</v>
      </c>
      <c r="H53" s="90"/>
      <c r="I53" s="88">
        <v>0</v>
      </c>
      <c r="J53" s="89">
        <v>0</v>
      </c>
      <c r="K53" s="89">
        <v>0</v>
      </c>
      <c r="L53" s="89">
        <v>0</v>
      </c>
      <c r="M53" s="89">
        <v>0</v>
      </c>
      <c r="N53" s="90">
        <v>0</v>
      </c>
      <c r="O53" s="88">
        <v>0</v>
      </c>
      <c r="P53" s="89">
        <v>0</v>
      </c>
      <c r="Q53" s="89">
        <v>0</v>
      </c>
      <c r="R53" s="89">
        <v>0</v>
      </c>
      <c r="S53" s="89">
        <v>0</v>
      </c>
      <c r="T53" s="90">
        <v>0</v>
      </c>
      <c r="V53" s="105">
        <f t="shared" si="1"/>
        <v>3.99</v>
      </c>
      <c r="W53" s="111">
        <f t="shared" si="2"/>
        <v>0</v>
      </c>
      <c r="X53" s="74"/>
      <c r="Z53" s="91">
        <f t="shared" si="5"/>
        <v>3.99</v>
      </c>
      <c r="AA53" s="107">
        <f t="shared" si="4"/>
        <v>5.13</v>
      </c>
    </row>
    <row r="54" spans="1:27" x14ac:dyDescent="0.25">
      <c r="A54" s="92">
        <f t="shared" ca="1" si="3"/>
        <v>45398</v>
      </c>
      <c r="B54" s="93">
        <v>51</v>
      </c>
      <c r="C54" s="88">
        <v>1167.8000000000002</v>
      </c>
      <c r="D54" s="89">
        <v>125.7</v>
      </c>
      <c r="E54" s="89"/>
      <c r="F54" s="89">
        <v>3.65333</v>
      </c>
      <c r="G54" s="89">
        <v>4.4009399999999994</v>
      </c>
      <c r="H54" s="90"/>
      <c r="I54" s="88">
        <v>0</v>
      </c>
      <c r="J54" s="89">
        <v>0</v>
      </c>
      <c r="K54" s="89">
        <v>0</v>
      </c>
      <c r="L54" s="89">
        <v>0</v>
      </c>
      <c r="M54" s="89">
        <v>0</v>
      </c>
      <c r="N54" s="90">
        <v>0</v>
      </c>
      <c r="O54" s="88">
        <v>0</v>
      </c>
      <c r="P54" s="89">
        <v>0</v>
      </c>
      <c r="Q54" s="89">
        <v>0</v>
      </c>
      <c r="R54" s="89">
        <v>0</v>
      </c>
      <c r="S54" s="89">
        <v>0</v>
      </c>
      <c r="T54" s="90">
        <v>0</v>
      </c>
      <c r="V54" s="105">
        <f t="shared" si="1"/>
        <v>3.73</v>
      </c>
      <c r="W54" s="111">
        <f t="shared" si="2"/>
        <v>0</v>
      </c>
      <c r="X54" s="74"/>
      <c r="Z54" s="91">
        <f t="shared" si="5"/>
        <v>3.73</v>
      </c>
      <c r="AA54" s="107">
        <f t="shared" si="4"/>
        <v>5.13</v>
      </c>
    </row>
    <row r="55" spans="1:27" x14ac:dyDescent="0.25">
      <c r="A55" s="92">
        <f t="shared" ca="1" si="3"/>
        <v>45398</v>
      </c>
      <c r="B55" s="93">
        <v>52</v>
      </c>
      <c r="C55" s="88">
        <v>1121.2</v>
      </c>
      <c r="D55" s="89">
        <v>133.19</v>
      </c>
      <c r="E55" s="89"/>
      <c r="F55" s="89">
        <v>3.6181000000000001</v>
      </c>
      <c r="G55" s="89">
        <v>4.0009800000000002</v>
      </c>
      <c r="H55" s="90"/>
      <c r="I55" s="88">
        <v>0</v>
      </c>
      <c r="J55" s="89">
        <v>0</v>
      </c>
      <c r="K55" s="89">
        <v>0</v>
      </c>
      <c r="L55" s="89">
        <v>0</v>
      </c>
      <c r="M55" s="89">
        <v>0</v>
      </c>
      <c r="N55" s="90">
        <v>0</v>
      </c>
      <c r="O55" s="88">
        <v>0</v>
      </c>
      <c r="P55" s="89">
        <v>0</v>
      </c>
      <c r="Q55" s="89">
        <v>0</v>
      </c>
      <c r="R55" s="89">
        <v>0</v>
      </c>
      <c r="S55" s="89">
        <v>0</v>
      </c>
      <c r="T55" s="90">
        <v>0</v>
      </c>
      <c r="V55" s="105">
        <f t="shared" si="1"/>
        <v>3.66</v>
      </c>
      <c r="W55" s="111">
        <f t="shared" si="2"/>
        <v>0</v>
      </c>
      <c r="X55" s="74"/>
      <c r="Z55" s="91">
        <f t="shared" si="5"/>
        <v>3.66</v>
      </c>
      <c r="AA55" s="107">
        <f t="shared" si="4"/>
        <v>5.13</v>
      </c>
    </row>
    <row r="56" spans="1:27" x14ac:dyDescent="0.25">
      <c r="A56" s="92">
        <f t="shared" ca="1" si="3"/>
        <v>45398</v>
      </c>
      <c r="B56" s="93">
        <v>53</v>
      </c>
      <c r="C56" s="88">
        <v>972.97</v>
      </c>
      <c r="D56" s="89">
        <v>161.66</v>
      </c>
      <c r="E56" s="89"/>
      <c r="F56" s="89">
        <v>3.50021</v>
      </c>
      <c r="G56" s="89">
        <v>4.0008800000000004</v>
      </c>
      <c r="H56" s="90"/>
      <c r="I56" s="88">
        <v>0</v>
      </c>
      <c r="J56" s="89">
        <v>0</v>
      </c>
      <c r="K56" s="89">
        <v>0</v>
      </c>
      <c r="L56" s="89">
        <v>0</v>
      </c>
      <c r="M56" s="89">
        <v>0</v>
      </c>
      <c r="N56" s="90">
        <v>0</v>
      </c>
      <c r="O56" s="88">
        <v>0</v>
      </c>
      <c r="P56" s="89">
        <v>0</v>
      </c>
      <c r="Q56" s="89">
        <v>0</v>
      </c>
      <c r="R56" s="89">
        <v>0</v>
      </c>
      <c r="S56" s="89">
        <v>0</v>
      </c>
      <c r="T56" s="90">
        <v>0</v>
      </c>
      <c r="V56" s="105">
        <f t="shared" si="1"/>
        <v>3.57</v>
      </c>
      <c r="W56" s="111">
        <f t="shared" si="2"/>
        <v>0</v>
      </c>
      <c r="X56" s="74"/>
      <c r="Z56" s="91">
        <f t="shared" si="5"/>
        <v>3.57</v>
      </c>
      <c r="AA56" s="107">
        <f t="shared" si="4"/>
        <v>5.13</v>
      </c>
    </row>
    <row r="57" spans="1:27" x14ac:dyDescent="0.25">
      <c r="A57" s="92">
        <f t="shared" ca="1" si="3"/>
        <v>45398</v>
      </c>
      <c r="B57" s="93">
        <v>54</v>
      </c>
      <c r="C57" s="88">
        <v>954.3</v>
      </c>
      <c r="D57" s="89">
        <v>210.9</v>
      </c>
      <c r="E57" s="89"/>
      <c r="F57" s="89">
        <v>3.4775100000000001</v>
      </c>
      <c r="G57" s="89">
        <v>4.0007099999999998</v>
      </c>
      <c r="H57" s="90"/>
      <c r="I57" s="88">
        <v>0</v>
      </c>
      <c r="J57" s="89">
        <v>0</v>
      </c>
      <c r="K57" s="89">
        <v>0</v>
      </c>
      <c r="L57" s="89">
        <v>0</v>
      </c>
      <c r="M57" s="89">
        <v>0</v>
      </c>
      <c r="N57" s="90">
        <v>0</v>
      </c>
      <c r="O57" s="88">
        <v>0</v>
      </c>
      <c r="P57" s="89">
        <v>0</v>
      </c>
      <c r="Q57" s="89">
        <v>0</v>
      </c>
      <c r="R57" s="89">
        <v>0</v>
      </c>
      <c r="S57" s="89">
        <v>0</v>
      </c>
      <c r="T57" s="90">
        <v>0</v>
      </c>
      <c r="V57" s="105">
        <f t="shared" si="1"/>
        <v>3.57</v>
      </c>
      <c r="W57" s="111">
        <f t="shared" si="2"/>
        <v>0</v>
      </c>
      <c r="X57" s="74"/>
      <c r="Z57" s="91">
        <f t="shared" si="5"/>
        <v>3.57</v>
      </c>
      <c r="AA57" s="107">
        <f t="shared" si="4"/>
        <v>5.13</v>
      </c>
    </row>
    <row r="58" spans="1:27" x14ac:dyDescent="0.25">
      <c r="A58" s="92">
        <f t="shared" ca="1" si="3"/>
        <v>45398</v>
      </c>
      <c r="B58" s="93">
        <v>55</v>
      </c>
      <c r="C58" s="88">
        <v>1042.5</v>
      </c>
      <c r="D58" s="89">
        <v>125.6</v>
      </c>
      <c r="E58" s="89"/>
      <c r="F58" s="89">
        <v>3.4770700000000003</v>
      </c>
      <c r="G58" s="89">
        <v>4.4440100000000005</v>
      </c>
      <c r="H58" s="90"/>
      <c r="I58" s="88">
        <v>0</v>
      </c>
      <c r="J58" s="89">
        <v>0</v>
      </c>
      <c r="K58" s="89">
        <v>0</v>
      </c>
      <c r="L58" s="89">
        <v>0</v>
      </c>
      <c r="M58" s="89">
        <v>0</v>
      </c>
      <c r="N58" s="90">
        <v>0</v>
      </c>
      <c r="O58" s="88">
        <v>0</v>
      </c>
      <c r="P58" s="89">
        <v>0</v>
      </c>
      <c r="Q58" s="89">
        <v>0</v>
      </c>
      <c r="R58" s="89">
        <v>0</v>
      </c>
      <c r="S58" s="89">
        <v>0</v>
      </c>
      <c r="T58" s="90">
        <v>0</v>
      </c>
      <c r="V58" s="105">
        <f t="shared" si="1"/>
        <v>3.58</v>
      </c>
      <c r="W58" s="111">
        <f t="shared" si="2"/>
        <v>0</v>
      </c>
      <c r="X58" s="74"/>
      <c r="Z58" s="91">
        <f t="shared" si="5"/>
        <v>3.58</v>
      </c>
      <c r="AA58" s="107">
        <f t="shared" si="4"/>
        <v>5.13</v>
      </c>
    </row>
    <row r="59" spans="1:27" x14ac:dyDescent="0.25">
      <c r="A59" s="92">
        <f t="shared" ca="1" si="3"/>
        <v>45398</v>
      </c>
      <c r="B59" s="93">
        <v>56</v>
      </c>
      <c r="C59" s="88">
        <v>1019.4</v>
      </c>
      <c r="D59" s="89">
        <v>125.6</v>
      </c>
      <c r="E59" s="89"/>
      <c r="F59" s="89">
        <v>3.4688099999999999</v>
      </c>
      <c r="G59" s="89">
        <v>4.4440200000000001</v>
      </c>
      <c r="H59" s="90"/>
      <c r="I59" s="88">
        <v>0</v>
      </c>
      <c r="J59" s="89">
        <v>0</v>
      </c>
      <c r="K59" s="89">
        <v>0</v>
      </c>
      <c r="L59" s="89">
        <v>0</v>
      </c>
      <c r="M59" s="89">
        <v>0</v>
      </c>
      <c r="N59" s="90">
        <v>0</v>
      </c>
      <c r="O59" s="88">
        <v>0</v>
      </c>
      <c r="P59" s="89">
        <v>0</v>
      </c>
      <c r="Q59" s="89">
        <v>0</v>
      </c>
      <c r="R59" s="89">
        <v>0</v>
      </c>
      <c r="S59" s="89">
        <v>0</v>
      </c>
      <c r="T59" s="90">
        <v>0</v>
      </c>
      <c r="V59" s="105">
        <f t="shared" si="1"/>
        <v>3.58</v>
      </c>
      <c r="W59" s="111">
        <f t="shared" si="2"/>
        <v>0</v>
      </c>
      <c r="X59" s="74"/>
      <c r="Z59" s="91">
        <f t="shared" si="5"/>
        <v>3.58</v>
      </c>
      <c r="AA59" s="107">
        <f t="shared" si="4"/>
        <v>5.13</v>
      </c>
    </row>
    <row r="60" spans="1:27" x14ac:dyDescent="0.25">
      <c r="A60" s="92">
        <f t="shared" ca="1" si="3"/>
        <v>45398</v>
      </c>
      <c r="B60" s="93">
        <v>57</v>
      </c>
      <c r="C60" s="88">
        <v>690.6</v>
      </c>
      <c r="D60" s="89">
        <v>125.4</v>
      </c>
      <c r="E60" s="89"/>
      <c r="F60" s="89">
        <v>3.6497899999999999</v>
      </c>
      <c r="G60" s="89">
        <v>4.4440400000000002</v>
      </c>
      <c r="H60" s="90"/>
      <c r="I60" s="88">
        <v>0</v>
      </c>
      <c r="J60" s="89">
        <v>0</v>
      </c>
      <c r="K60" s="89">
        <v>0</v>
      </c>
      <c r="L60" s="89">
        <v>0</v>
      </c>
      <c r="M60" s="89">
        <v>0</v>
      </c>
      <c r="N60" s="90">
        <v>0</v>
      </c>
      <c r="O60" s="88">
        <v>0</v>
      </c>
      <c r="P60" s="89">
        <v>0</v>
      </c>
      <c r="Q60" s="89">
        <v>0</v>
      </c>
      <c r="R60" s="89">
        <v>0</v>
      </c>
      <c r="S60" s="89">
        <v>0</v>
      </c>
      <c r="T60" s="90">
        <v>0</v>
      </c>
      <c r="V60" s="105">
        <f t="shared" si="1"/>
        <v>3.77</v>
      </c>
      <c r="W60" s="111">
        <f t="shared" si="2"/>
        <v>0</v>
      </c>
      <c r="X60" s="74"/>
      <c r="Z60" s="91">
        <f t="shared" si="5"/>
        <v>3.77</v>
      </c>
      <c r="AA60" s="107">
        <f t="shared" si="4"/>
        <v>5.13</v>
      </c>
    </row>
    <row r="61" spans="1:27" x14ac:dyDescent="0.25">
      <c r="A61" s="92">
        <f t="shared" ca="1" si="3"/>
        <v>45398</v>
      </c>
      <c r="B61" s="93">
        <v>58</v>
      </c>
      <c r="C61" s="88">
        <v>701.5</v>
      </c>
      <c r="D61" s="89">
        <v>125.3</v>
      </c>
      <c r="E61" s="89"/>
      <c r="F61" s="89">
        <v>3.7670599999999999</v>
      </c>
      <c r="G61" s="89">
        <v>4.4213500000000003</v>
      </c>
      <c r="H61" s="90"/>
      <c r="I61" s="88">
        <v>0</v>
      </c>
      <c r="J61" s="89">
        <v>0</v>
      </c>
      <c r="K61" s="89">
        <v>0</v>
      </c>
      <c r="L61" s="89">
        <v>0</v>
      </c>
      <c r="M61" s="89">
        <v>0</v>
      </c>
      <c r="N61" s="90">
        <v>0</v>
      </c>
      <c r="O61" s="88">
        <v>0</v>
      </c>
      <c r="P61" s="89">
        <v>0</v>
      </c>
      <c r="Q61" s="89">
        <v>0</v>
      </c>
      <c r="R61" s="89">
        <v>0</v>
      </c>
      <c r="S61" s="89">
        <v>0</v>
      </c>
      <c r="T61" s="90">
        <v>0</v>
      </c>
      <c r="V61" s="105">
        <f t="shared" si="1"/>
        <v>3.87</v>
      </c>
      <c r="W61" s="111">
        <f t="shared" si="2"/>
        <v>0</v>
      </c>
      <c r="X61" s="74"/>
      <c r="Z61" s="91">
        <f t="shared" si="5"/>
        <v>3.87</v>
      </c>
      <c r="AA61" s="107">
        <f t="shared" si="4"/>
        <v>5.13</v>
      </c>
    </row>
    <row r="62" spans="1:27" x14ac:dyDescent="0.25">
      <c r="A62" s="92">
        <f t="shared" ca="1" si="3"/>
        <v>45398</v>
      </c>
      <c r="B62" s="93">
        <v>59</v>
      </c>
      <c r="C62" s="88">
        <v>751.5</v>
      </c>
      <c r="D62" s="89">
        <v>125.1</v>
      </c>
      <c r="E62" s="89"/>
      <c r="F62" s="89">
        <v>3.6539600000000001</v>
      </c>
      <c r="G62" s="89">
        <v>4.4440900000000001</v>
      </c>
      <c r="H62" s="90"/>
      <c r="I62" s="88">
        <v>0</v>
      </c>
      <c r="J62" s="89">
        <v>0</v>
      </c>
      <c r="K62" s="89">
        <v>0</v>
      </c>
      <c r="L62" s="89">
        <v>0</v>
      </c>
      <c r="M62" s="89">
        <v>0</v>
      </c>
      <c r="N62" s="90">
        <v>0</v>
      </c>
      <c r="O62" s="88">
        <v>0</v>
      </c>
      <c r="P62" s="89">
        <v>0</v>
      </c>
      <c r="Q62" s="89">
        <v>0</v>
      </c>
      <c r="R62" s="89">
        <v>0</v>
      </c>
      <c r="S62" s="89">
        <v>0</v>
      </c>
      <c r="T62" s="90">
        <v>0</v>
      </c>
      <c r="V62" s="105">
        <f t="shared" si="1"/>
        <v>3.77</v>
      </c>
      <c r="W62" s="111">
        <f t="shared" si="2"/>
        <v>0</v>
      </c>
      <c r="X62" s="74"/>
      <c r="Z62" s="91">
        <f t="shared" si="5"/>
        <v>3.77</v>
      </c>
      <c r="AA62" s="107">
        <f t="shared" si="4"/>
        <v>5.13</v>
      </c>
    </row>
    <row r="63" spans="1:27" x14ac:dyDescent="0.25">
      <c r="A63" s="92">
        <f t="shared" ca="1" si="3"/>
        <v>45398</v>
      </c>
      <c r="B63" s="93">
        <v>60</v>
      </c>
      <c r="C63" s="88">
        <v>810.4</v>
      </c>
      <c r="D63" s="89">
        <v>125.1</v>
      </c>
      <c r="E63" s="89"/>
      <c r="F63" s="89">
        <v>3.8004000000000002</v>
      </c>
      <c r="G63" s="89">
        <v>4.5009100000000002</v>
      </c>
      <c r="H63" s="90"/>
      <c r="I63" s="88">
        <v>0</v>
      </c>
      <c r="J63" s="89">
        <v>0</v>
      </c>
      <c r="K63" s="89">
        <v>0</v>
      </c>
      <c r="L63" s="89">
        <v>0</v>
      </c>
      <c r="M63" s="89">
        <v>0</v>
      </c>
      <c r="N63" s="90">
        <v>0</v>
      </c>
      <c r="O63" s="88">
        <v>0</v>
      </c>
      <c r="P63" s="89">
        <v>0</v>
      </c>
      <c r="Q63" s="89">
        <v>0</v>
      </c>
      <c r="R63" s="89">
        <v>0</v>
      </c>
      <c r="S63" s="89">
        <v>0</v>
      </c>
      <c r="T63" s="90">
        <v>0</v>
      </c>
      <c r="V63" s="105">
        <f t="shared" si="1"/>
        <v>3.89</v>
      </c>
      <c r="W63" s="111">
        <f t="shared" si="2"/>
        <v>0</v>
      </c>
      <c r="X63" s="74"/>
      <c r="Z63" s="91">
        <f t="shared" si="5"/>
        <v>3.89</v>
      </c>
      <c r="AA63" s="107">
        <f t="shared" si="4"/>
        <v>5.13</v>
      </c>
    </row>
    <row r="64" spans="1:27" x14ac:dyDescent="0.25">
      <c r="A64" s="92">
        <f t="shared" ca="1" si="3"/>
        <v>45398</v>
      </c>
      <c r="B64" s="93">
        <v>61</v>
      </c>
      <c r="C64" s="88">
        <v>638</v>
      </c>
      <c r="D64" s="89">
        <v>325</v>
      </c>
      <c r="E64" s="89"/>
      <c r="F64" s="89">
        <v>4.3246499999999992</v>
      </c>
      <c r="G64" s="89">
        <v>4.9009399999999994</v>
      </c>
      <c r="H64" s="90"/>
      <c r="I64" s="88">
        <v>0</v>
      </c>
      <c r="J64" s="89">
        <v>0</v>
      </c>
      <c r="K64" s="89">
        <v>0</v>
      </c>
      <c r="L64" s="89">
        <v>0</v>
      </c>
      <c r="M64" s="89">
        <v>0</v>
      </c>
      <c r="N64" s="90">
        <v>0</v>
      </c>
      <c r="O64" s="88">
        <v>0</v>
      </c>
      <c r="P64" s="89">
        <v>0</v>
      </c>
      <c r="Q64" s="89">
        <v>0</v>
      </c>
      <c r="R64" s="89">
        <v>0</v>
      </c>
      <c r="S64" s="89">
        <v>0</v>
      </c>
      <c r="T64" s="90">
        <v>0</v>
      </c>
      <c r="V64" s="105">
        <f t="shared" si="1"/>
        <v>4.5199999999999996</v>
      </c>
      <c r="W64" s="111">
        <f t="shared" si="2"/>
        <v>0</v>
      </c>
      <c r="X64" s="74"/>
      <c r="Z64" s="91">
        <f t="shared" si="5"/>
        <v>4.5199999999999996</v>
      </c>
      <c r="AA64" s="107">
        <f t="shared" si="4"/>
        <v>5.13</v>
      </c>
    </row>
    <row r="65" spans="1:27" x14ac:dyDescent="0.25">
      <c r="A65" s="92">
        <f t="shared" ca="1" si="3"/>
        <v>45398</v>
      </c>
      <c r="B65" s="93">
        <v>62</v>
      </c>
      <c r="C65" s="88">
        <v>849</v>
      </c>
      <c r="D65" s="89">
        <v>231.39</v>
      </c>
      <c r="E65" s="89"/>
      <c r="F65" s="89">
        <v>4.4380600000000001</v>
      </c>
      <c r="G65" s="89">
        <v>5.0003100000000007</v>
      </c>
      <c r="H65" s="90"/>
      <c r="I65" s="88">
        <v>0</v>
      </c>
      <c r="J65" s="89">
        <v>0</v>
      </c>
      <c r="K65" s="89">
        <v>0</v>
      </c>
      <c r="L65" s="89">
        <v>0</v>
      </c>
      <c r="M65" s="89">
        <v>0</v>
      </c>
      <c r="N65" s="90">
        <v>0</v>
      </c>
      <c r="O65" s="88">
        <v>0</v>
      </c>
      <c r="P65" s="89">
        <v>0</v>
      </c>
      <c r="Q65" s="89">
        <v>0</v>
      </c>
      <c r="R65" s="89">
        <v>0</v>
      </c>
      <c r="S65" s="89">
        <v>0</v>
      </c>
      <c r="T65" s="90">
        <v>0</v>
      </c>
      <c r="V65" s="105">
        <f t="shared" si="1"/>
        <v>4.5599999999999996</v>
      </c>
      <c r="W65" s="111">
        <f t="shared" si="2"/>
        <v>0</v>
      </c>
      <c r="X65" s="74"/>
      <c r="Z65" s="91">
        <f t="shared" si="5"/>
        <v>4.5599999999999996</v>
      </c>
      <c r="AA65" s="107">
        <f t="shared" si="4"/>
        <v>5.13</v>
      </c>
    </row>
    <row r="66" spans="1:27" x14ac:dyDescent="0.25">
      <c r="A66" s="92">
        <f t="shared" ca="1" si="3"/>
        <v>45398</v>
      </c>
      <c r="B66" s="93">
        <v>63</v>
      </c>
      <c r="C66" s="88">
        <v>1174.04</v>
      </c>
      <c r="D66" s="89">
        <v>24.6</v>
      </c>
      <c r="E66" s="89"/>
      <c r="F66" s="89">
        <v>4.5009399999999999</v>
      </c>
      <c r="G66" s="89">
        <v>5.1007600000000002</v>
      </c>
      <c r="H66" s="90"/>
      <c r="I66" s="88">
        <v>0</v>
      </c>
      <c r="J66" s="89">
        <v>0</v>
      </c>
      <c r="K66" s="89">
        <v>0</v>
      </c>
      <c r="L66" s="89">
        <v>0</v>
      </c>
      <c r="M66" s="89">
        <v>0</v>
      </c>
      <c r="N66" s="90">
        <v>0</v>
      </c>
      <c r="O66" s="88">
        <v>0</v>
      </c>
      <c r="P66" s="89">
        <v>0</v>
      </c>
      <c r="Q66" s="89">
        <v>0</v>
      </c>
      <c r="R66" s="89">
        <v>0</v>
      </c>
      <c r="S66" s="89">
        <v>0</v>
      </c>
      <c r="T66" s="90">
        <v>0</v>
      </c>
      <c r="V66" s="105">
        <f t="shared" si="1"/>
        <v>4.51</v>
      </c>
      <c r="W66" s="111">
        <f t="shared" si="2"/>
        <v>0</v>
      </c>
      <c r="X66" s="74"/>
      <c r="Z66" s="91">
        <f t="shared" si="5"/>
        <v>4.51</v>
      </c>
      <c r="AA66" s="107">
        <f t="shared" si="4"/>
        <v>5.13</v>
      </c>
    </row>
    <row r="67" spans="1:27" x14ac:dyDescent="0.25">
      <c r="A67" s="92">
        <f t="shared" ca="1" si="3"/>
        <v>45398</v>
      </c>
      <c r="B67" s="93">
        <v>64</v>
      </c>
      <c r="C67" s="88">
        <v>1158.8</v>
      </c>
      <c r="D67" s="89">
        <v>24.5</v>
      </c>
      <c r="E67" s="89"/>
      <c r="F67" s="89">
        <v>4.5479099999999999</v>
      </c>
      <c r="G67" s="89">
        <v>5.1007799999999994</v>
      </c>
      <c r="H67" s="90"/>
      <c r="I67" s="88">
        <v>0</v>
      </c>
      <c r="J67" s="89">
        <v>0</v>
      </c>
      <c r="K67" s="89">
        <v>0</v>
      </c>
      <c r="L67" s="89">
        <v>0</v>
      </c>
      <c r="M67" s="89">
        <v>0</v>
      </c>
      <c r="N67" s="90">
        <v>0</v>
      </c>
      <c r="O67" s="88">
        <v>0</v>
      </c>
      <c r="P67" s="89">
        <v>0</v>
      </c>
      <c r="Q67" s="89">
        <v>0</v>
      </c>
      <c r="R67" s="89">
        <v>0</v>
      </c>
      <c r="S67" s="89">
        <v>0</v>
      </c>
      <c r="T67" s="90">
        <v>0</v>
      </c>
      <c r="V67" s="105">
        <f t="shared" si="1"/>
        <v>4.5599999999999996</v>
      </c>
      <c r="W67" s="111">
        <f t="shared" si="2"/>
        <v>0</v>
      </c>
      <c r="X67" s="74"/>
      <c r="Z67" s="91">
        <f t="shared" si="5"/>
        <v>4.5599999999999996</v>
      </c>
      <c r="AA67" s="107">
        <f t="shared" si="4"/>
        <v>5.13</v>
      </c>
    </row>
    <row r="68" spans="1:27" x14ac:dyDescent="0.25">
      <c r="A68" s="92">
        <f t="shared" ca="1" si="3"/>
        <v>45398</v>
      </c>
      <c r="B68" s="93">
        <v>65</v>
      </c>
      <c r="C68" s="88">
        <v>462.28999999999996</v>
      </c>
      <c r="D68" s="89">
        <v>24.6</v>
      </c>
      <c r="E68" s="89"/>
      <c r="F68" s="89">
        <v>4.8008599999999992</v>
      </c>
      <c r="G68" s="89">
        <v>5.4005299999999998</v>
      </c>
      <c r="H68" s="90"/>
      <c r="I68" s="88">
        <v>0</v>
      </c>
      <c r="J68" s="89">
        <v>0</v>
      </c>
      <c r="K68" s="89">
        <v>0</v>
      </c>
      <c r="L68" s="89">
        <v>0</v>
      </c>
      <c r="M68" s="89">
        <v>0</v>
      </c>
      <c r="N68" s="90">
        <v>0</v>
      </c>
      <c r="O68" s="88">
        <v>0</v>
      </c>
      <c r="P68" s="89">
        <v>0</v>
      </c>
      <c r="Q68" s="89">
        <v>0</v>
      </c>
      <c r="R68" s="89">
        <v>0</v>
      </c>
      <c r="S68" s="89">
        <v>0</v>
      </c>
      <c r="T68" s="90">
        <v>0</v>
      </c>
      <c r="V68" s="105">
        <f t="shared" si="1"/>
        <v>4.83</v>
      </c>
      <c r="W68" s="111">
        <f t="shared" si="2"/>
        <v>0</v>
      </c>
      <c r="X68" s="74"/>
      <c r="Z68" s="91">
        <f t="shared" ref="Z68:Z99" si="6">MAX(V68:X68)</f>
        <v>4.83</v>
      </c>
      <c r="AA68" s="107">
        <f t="shared" si="4"/>
        <v>5.13</v>
      </c>
    </row>
    <row r="69" spans="1:27" x14ac:dyDescent="0.25">
      <c r="A69" s="92">
        <f t="shared" ca="1" si="3"/>
        <v>45398</v>
      </c>
      <c r="B69" s="93">
        <v>66</v>
      </c>
      <c r="C69" s="88">
        <v>380.20000000000005</v>
      </c>
      <c r="D69" s="89">
        <v>24.4</v>
      </c>
      <c r="E69" s="89"/>
      <c r="F69" s="89">
        <v>4.8487099999999996</v>
      </c>
      <c r="G69" s="89">
        <v>5.40055</v>
      </c>
      <c r="H69" s="90"/>
      <c r="I69" s="88">
        <v>0</v>
      </c>
      <c r="J69" s="89">
        <v>0</v>
      </c>
      <c r="K69" s="89">
        <v>0</v>
      </c>
      <c r="L69" s="89">
        <v>0</v>
      </c>
      <c r="M69" s="89">
        <v>0</v>
      </c>
      <c r="N69" s="90">
        <v>0</v>
      </c>
      <c r="O69" s="88">
        <v>0</v>
      </c>
      <c r="P69" s="89">
        <v>0</v>
      </c>
      <c r="Q69" s="89">
        <v>0</v>
      </c>
      <c r="R69" s="89">
        <v>0</v>
      </c>
      <c r="S69" s="89">
        <v>0</v>
      </c>
      <c r="T69" s="90">
        <v>0</v>
      </c>
      <c r="V69" s="105">
        <f t="shared" ref="V69:V99" si="7">IFERROR(ROUND(((C69*F69)+(I69*L69)+(O69*R69)+(D69*G69)+(J69*M69)+(P69*S69))/(C69+D69+I69+J69+O69+P69),2),0)</f>
        <v>4.88</v>
      </c>
      <c r="W69" s="111">
        <f t="shared" ref="W69:W99" si="8">IFERROR(ROUND(((E69*H69)+(K69*N69)+(Q69*T69))/(E69+K69+Q69),2),0)</f>
        <v>0</v>
      </c>
      <c r="X69" s="74"/>
      <c r="Z69" s="91">
        <f t="shared" si="6"/>
        <v>4.88</v>
      </c>
      <c r="AA69" s="107">
        <f t="shared" si="4"/>
        <v>5.13</v>
      </c>
    </row>
    <row r="70" spans="1:27" x14ac:dyDescent="0.25">
      <c r="A70" s="92">
        <f t="shared" ref="A70:A99" ca="1" si="9">$A$4</f>
        <v>45398</v>
      </c>
      <c r="B70" s="93">
        <v>67</v>
      </c>
      <c r="C70" s="88">
        <v>332.1</v>
      </c>
      <c r="D70" s="89">
        <v>24.2</v>
      </c>
      <c r="E70" s="89"/>
      <c r="F70" s="89">
        <v>4.9993500000000006</v>
      </c>
      <c r="G70" s="89">
        <v>5.4006000000000007</v>
      </c>
      <c r="H70" s="90"/>
      <c r="I70" s="88">
        <v>0</v>
      </c>
      <c r="J70" s="89">
        <v>0</v>
      </c>
      <c r="K70" s="89">
        <v>0</v>
      </c>
      <c r="L70" s="89">
        <v>0</v>
      </c>
      <c r="M70" s="89">
        <v>0</v>
      </c>
      <c r="N70" s="90">
        <v>0</v>
      </c>
      <c r="O70" s="88">
        <v>0</v>
      </c>
      <c r="P70" s="89">
        <v>0</v>
      </c>
      <c r="Q70" s="89">
        <v>0</v>
      </c>
      <c r="R70" s="89">
        <v>0</v>
      </c>
      <c r="S70" s="89">
        <v>0</v>
      </c>
      <c r="T70" s="90">
        <v>0</v>
      </c>
      <c r="V70" s="105">
        <f t="shared" si="7"/>
        <v>5.03</v>
      </c>
      <c r="W70" s="111">
        <f t="shared" si="8"/>
        <v>0</v>
      </c>
      <c r="X70" s="74"/>
      <c r="Z70" s="91">
        <f t="shared" si="6"/>
        <v>5.03</v>
      </c>
      <c r="AA70" s="107">
        <f t="shared" ref="AA70:AA99" si="10">AA69</f>
        <v>5.13</v>
      </c>
    </row>
    <row r="71" spans="1:27" x14ac:dyDescent="0.25">
      <c r="A71" s="92">
        <f t="shared" ca="1" si="9"/>
        <v>45398</v>
      </c>
      <c r="B71" s="93">
        <v>68</v>
      </c>
      <c r="C71" s="88">
        <v>317.60000000000002</v>
      </c>
      <c r="D71" s="89">
        <v>24</v>
      </c>
      <c r="E71" s="89"/>
      <c r="F71" s="89">
        <v>5.4266899999999998</v>
      </c>
      <c r="G71" s="89">
        <v>5.3006200000000003</v>
      </c>
      <c r="H71" s="90"/>
      <c r="I71" s="88">
        <v>0</v>
      </c>
      <c r="J71" s="89">
        <v>0</v>
      </c>
      <c r="K71" s="89">
        <v>0</v>
      </c>
      <c r="L71" s="89">
        <v>0</v>
      </c>
      <c r="M71" s="89">
        <v>0</v>
      </c>
      <c r="N71" s="90">
        <v>0</v>
      </c>
      <c r="O71" s="88">
        <v>0</v>
      </c>
      <c r="P71" s="89">
        <v>0</v>
      </c>
      <c r="Q71" s="89">
        <v>0</v>
      </c>
      <c r="R71" s="89">
        <v>0</v>
      </c>
      <c r="S71" s="89">
        <v>0</v>
      </c>
      <c r="T71" s="90">
        <v>0</v>
      </c>
      <c r="V71" s="105">
        <f t="shared" si="7"/>
        <v>5.42</v>
      </c>
      <c r="W71" s="111">
        <f t="shared" si="8"/>
        <v>0</v>
      </c>
      <c r="X71" s="74"/>
      <c r="Z71" s="91">
        <f t="shared" si="6"/>
        <v>5.42</v>
      </c>
      <c r="AA71" s="107">
        <f t="shared" si="10"/>
        <v>5.13</v>
      </c>
    </row>
    <row r="72" spans="1:27" x14ac:dyDescent="0.25">
      <c r="A72" s="92">
        <f t="shared" ca="1" si="9"/>
        <v>45398</v>
      </c>
      <c r="B72" s="94">
        <v>69</v>
      </c>
      <c r="C72" s="88">
        <v>847.59</v>
      </c>
      <c r="D72" s="89">
        <v>78.58</v>
      </c>
      <c r="E72" s="89"/>
      <c r="F72" s="89">
        <v>4.5708599999999997</v>
      </c>
      <c r="G72" s="89">
        <v>5.00082</v>
      </c>
      <c r="H72" s="90"/>
      <c r="I72" s="88">
        <v>0</v>
      </c>
      <c r="J72" s="89">
        <v>0</v>
      </c>
      <c r="K72" s="89">
        <v>0</v>
      </c>
      <c r="L72" s="89">
        <v>0</v>
      </c>
      <c r="M72" s="89">
        <v>0</v>
      </c>
      <c r="N72" s="90">
        <v>0</v>
      </c>
      <c r="O72" s="88">
        <v>0</v>
      </c>
      <c r="P72" s="89">
        <v>0</v>
      </c>
      <c r="Q72" s="89">
        <v>0</v>
      </c>
      <c r="R72" s="89">
        <v>0</v>
      </c>
      <c r="S72" s="89">
        <v>0</v>
      </c>
      <c r="T72" s="90">
        <v>0</v>
      </c>
      <c r="V72" s="105">
        <f t="shared" si="7"/>
        <v>4.6100000000000003</v>
      </c>
      <c r="W72" s="111">
        <f t="shared" si="8"/>
        <v>0</v>
      </c>
      <c r="X72" s="74"/>
      <c r="Z72" s="91">
        <f t="shared" si="6"/>
        <v>4.6100000000000003</v>
      </c>
      <c r="AA72" s="107">
        <f t="shared" si="10"/>
        <v>5.13</v>
      </c>
    </row>
    <row r="73" spans="1:27" x14ac:dyDescent="0.25">
      <c r="A73" s="92">
        <f t="shared" ca="1" si="9"/>
        <v>45398</v>
      </c>
      <c r="B73" s="94">
        <v>70</v>
      </c>
      <c r="C73" s="88">
        <v>1238.8</v>
      </c>
      <c r="D73" s="89">
        <v>73.300000000000011</v>
      </c>
      <c r="E73" s="89"/>
      <c r="F73" s="89">
        <v>4.54725</v>
      </c>
      <c r="G73" s="89">
        <v>5.0008299999999997</v>
      </c>
      <c r="H73" s="90"/>
      <c r="I73" s="88">
        <v>0</v>
      </c>
      <c r="J73" s="89">
        <v>0</v>
      </c>
      <c r="K73" s="89">
        <v>0</v>
      </c>
      <c r="L73" s="89">
        <v>0</v>
      </c>
      <c r="M73" s="89">
        <v>0</v>
      </c>
      <c r="N73" s="90">
        <v>0</v>
      </c>
      <c r="O73" s="88">
        <v>0</v>
      </c>
      <c r="P73" s="89">
        <v>0</v>
      </c>
      <c r="Q73" s="89">
        <v>0</v>
      </c>
      <c r="R73" s="89">
        <v>0</v>
      </c>
      <c r="S73" s="89">
        <v>0</v>
      </c>
      <c r="T73" s="90">
        <v>0</v>
      </c>
      <c r="V73" s="105">
        <f t="shared" si="7"/>
        <v>4.57</v>
      </c>
      <c r="W73" s="111">
        <f t="shared" si="8"/>
        <v>0</v>
      </c>
      <c r="X73" s="74"/>
      <c r="Z73" s="91">
        <f t="shared" si="6"/>
        <v>4.57</v>
      </c>
      <c r="AA73" s="107">
        <f t="shared" si="10"/>
        <v>5.13</v>
      </c>
    </row>
    <row r="74" spans="1:27" x14ac:dyDescent="0.25">
      <c r="A74" s="92">
        <f t="shared" ca="1" si="9"/>
        <v>45398</v>
      </c>
      <c r="B74" s="94">
        <v>71</v>
      </c>
      <c r="C74" s="88">
        <v>1163.04</v>
      </c>
      <c r="D74" s="89">
        <v>23.4</v>
      </c>
      <c r="E74" s="89"/>
      <c r="F74" s="89">
        <v>4.57036</v>
      </c>
      <c r="G74" s="89">
        <v>5.7405299999999997</v>
      </c>
      <c r="H74" s="90"/>
      <c r="I74" s="88">
        <v>0</v>
      </c>
      <c r="J74" s="89">
        <v>0</v>
      </c>
      <c r="K74" s="89">
        <v>0</v>
      </c>
      <c r="L74" s="89">
        <v>0</v>
      </c>
      <c r="M74" s="89">
        <v>0</v>
      </c>
      <c r="N74" s="90">
        <v>0</v>
      </c>
      <c r="O74" s="88">
        <v>0</v>
      </c>
      <c r="P74" s="89">
        <v>0</v>
      </c>
      <c r="Q74" s="89">
        <v>0</v>
      </c>
      <c r="R74" s="89">
        <v>0</v>
      </c>
      <c r="S74" s="89">
        <v>0</v>
      </c>
      <c r="T74" s="90">
        <v>0</v>
      </c>
      <c r="V74" s="105">
        <f t="shared" si="7"/>
        <v>4.59</v>
      </c>
      <c r="W74" s="111">
        <f t="shared" si="8"/>
        <v>0</v>
      </c>
      <c r="X74" s="74"/>
      <c r="Z74" s="91">
        <f t="shared" si="6"/>
        <v>4.59</v>
      </c>
      <c r="AA74" s="107">
        <f t="shared" si="10"/>
        <v>5.13</v>
      </c>
    </row>
    <row r="75" spans="1:27" x14ac:dyDescent="0.25">
      <c r="A75" s="92">
        <f t="shared" ca="1" si="9"/>
        <v>45398</v>
      </c>
      <c r="B75" s="94">
        <v>72</v>
      </c>
      <c r="C75" s="88">
        <v>1005.3</v>
      </c>
      <c r="D75" s="89">
        <v>23.2</v>
      </c>
      <c r="E75" s="89"/>
      <c r="F75" s="89">
        <v>4.5802700000000005</v>
      </c>
      <c r="G75" s="89">
        <v>7.0001600000000002</v>
      </c>
      <c r="H75" s="90"/>
      <c r="I75" s="88">
        <v>0</v>
      </c>
      <c r="J75" s="89">
        <v>0</v>
      </c>
      <c r="K75" s="89">
        <v>0</v>
      </c>
      <c r="L75" s="89">
        <v>0</v>
      </c>
      <c r="M75" s="89">
        <v>0</v>
      </c>
      <c r="N75" s="90">
        <v>0</v>
      </c>
      <c r="O75" s="88">
        <v>0</v>
      </c>
      <c r="P75" s="89">
        <v>0</v>
      </c>
      <c r="Q75" s="89">
        <v>0</v>
      </c>
      <c r="R75" s="89">
        <v>0</v>
      </c>
      <c r="S75" s="89">
        <v>0</v>
      </c>
      <c r="T75" s="90">
        <v>0</v>
      </c>
      <c r="V75" s="105">
        <f t="shared" si="7"/>
        <v>4.63</v>
      </c>
      <c r="W75" s="111">
        <f t="shared" si="8"/>
        <v>0</v>
      </c>
      <c r="X75" s="74"/>
      <c r="Z75" s="91">
        <f t="shared" si="6"/>
        <v>4.63</v>
      </c>
      <c r="AA75" s="107">
        <f t="shared" si="10"/>
        <v>5.13</v>
      </c>
    </row>
    <row r="76" spans="1:27" x14ac:dyDescent="0.25">
      <c r="A76" s="92">
        <f t="shared" ca="1" si="9"/>
        <v>45398</v>
      </c>
      <c r="B76" s="94">
        <v>73</v>
      </c>
      <c r="C76" s="88">
        <v>761.84999999999991</v>
      </c>
      <c r="D76" s="89">
        <v>23</v>
      </c>
      <c r="E76" s="89"/>
      <c r="F76" s="89">
        <v>4.8006700000000002</v>
      </c>
      <c r="G76" s="89">
        <v>7.7779699999999998</v>
      </c>
      <c r="H76" s="90"/>
      <c r="I76" s="88">
        <v>0</v>
      </c>
      <c r="J76" s="89">
        <v>0</v>
      </c>
      <c r="K76" s="89">
        <v>0</v>
      </c>
      <c r="L76" s="89">
        <v>0</v>
      </c>
      <c r="M76" s="89">
        <v>0</v>
      </c>
      <c r="N76" s="90">
        <v>0</v>
      </c>
      <c r="O76" s="88">
        <v>0</v>
      </c>
      <c r="P76" s="89">
        <v>0</v>
      </c>
      <c r="Q76" s="89">
        <v>0</v>
      </c>
      <c r="R76" s="89">
        <v>0</v>
      </c>
      <c r="S76" s="89">
        <v>0</v>
      </c>
      <c r="T76" s="90">
        <v>0</v>
      </c>
      <c r="V76" s="105">
        <f t="shared" si="7"/>
        <v>4.8899999999999997</v>
      </c>
      <c r="W76" s="111">
        <f t="shared" si="8"/>
        <v>0</v>
      </c>
      <c r="X76" s="74"/>
      <c r="Z76" s="91">
        <f t="shared" si="6"/>
        <v>4.8899999999999997</v>
      </c>
      <c r="AA76" s="107">
        <f t="shared" si="10"/>
        <v>5.13</v>
      </c>
    </row>
    <row r="77" spans="1:27" x14ac:dyDescent="0.25">
      <c r="A77" s="92">
        <f t="shared" ca="1" si="9"/>
        <v>45398</v>
      </c>
      <c r="B77" s="94">
        <v>74</v>
      </c>
      <c r="C77" s="88">
        <v>598.29999999999995</v>
      </c>
      <c r="D77" s="89">
        <v>23</v>
      </c>
      <c r="E77" s="89"/>
      <c r="F77" s="89">
        <v>5.4602599999999999</v>
      </c>
      <c r="G77" s="89">
        <v>12</v>
      </c>
      <c r="H77" s="90"/>
      <c r="I77" s="88">
        <v>0</v>
      </c>
      <c r="J77" s="89">
        <v>0</v>
      </c>
      <c r="K77" s="89">
        <v>0</v>
      </c>
      <c r="L77" s="89">
        <v>0</v>
      </c>
      <c r="M77" s="89">
        <v>0</v>
      </c>
      <c r="N77" s="90">
        <v>0</v>
      </c>
      <c r="O77" s="88">
        <v>0</v>
      </c>
      <c r="P77" s="89">
        <v>0</v>
      </c>
      <c r="Q77" s="89">
        <v>0</v>
      </c>
      <c r="R77" s="89">
        <v>0</v>
      </c>
      <c r="S77" s="89">
        <v>0</v>
      </c>
      <c r="T77" s="90">
        <v>0</v>
      </c>
      <c r="V77" s="105">
        <f t="shared" si="7"/>
        <v>5.7</v>
      </c>
      <c r="W77" s="111">
        <f t="shared" si="8"/>
        <v>0</v>
      </c>
      <c r="X77" s="74"/>
      <c r="Z77" s="91">
        <f t="shared" si="6"/>
        <v>5.7</v>
      </c>
      <c r="AA77" s="107">
        <f t="shared" si="10"/>
        <v>5.13</v>
      </c>
    </row>
    <row r="78" spans="1:27" x14ac:dyDescent="0.25">
      <c r="A78" s="92">
        <f t="shared" ca="1" si="9"/>
        <v>45398</v>
      </c>
      <c r="B78" s="94">
        <v>75</v>
      </c>
      <c r="C78" s="95">
        <v>663.40000000000009</v>
      </c>
      <c r="D78" s="96">
        <v>23</v>
      </c>
      <c r="E78" s="96"/>
      <c r="F78" s="96">
        <v>7.1099700000000006</v>
      </c>
      <c r="G78" s="96">
        <v>8.8885900000000007</v>
      </c>
      <c r="H78" s="97"/>
      <c r="I78" s="95">
        <v>0</v>
      </c>
      <c r="J78" s="96">
        <v>0</v>
      </c>
      <c r="K78" s="96">
        <v>0</v>
      </c>
      <c r="L78" s="96">
        <v>0</v>
      </c>
      <c r="M78" s="96">
        <v>0</v>
      </c>
      <c r="N78" s="97">
        <v>0</v>
      </c>
      <c r="O78" s="88">
        <v>0</v>
      </c>
      <c r="P78" s="89">
        <v>0</v>
      </c>
      <c r="Q78" s="89">
        <v>0</v>
      </c>
      <c r="R78" s="89">
        <v>0</v>
      </c>
      <c r="S78" s="89">
        <v>0</v>
      </c>
      <c r="T78" s="90">
        <v>0</v>
      </c>
      <c r="V78" s="105">
        <f t="shared" si="7"/>
        <v>7.17</v>
      </c>
      <c r="W78" s="111">
        <f t="shared" si="8"/>
        <v>0</v>
      </c>
      <c r="X78" s="74"/>
      <c r="Z78" s="91">
        <f t="shared" si="6"/>
        <v>7.17</v>
      </c>
      <c r="AA78" s="107">
        <f t="shared" si="10"/>
        <v>5.13</v>
      </c>
    </row>
    <row r="79" spans="1:27" x14ac:dyDescent="0.25">
      <c r="A79" s="92">
        <f t="shared" ca="1" si="9"/>
        <v>45398</v>
      </c>
      <c r="B79" s="94">
        <v>76</v>
      </c>
      <c r="C79" s="95">
        <v>575.70000000000005</v>
      </c>
      <c r="D79" s="96">
        <v>23</v>
      </c>
      <c r="E79" s="96"/>
      <c r="F79" s="96">
        <v>7.8005300000000002</v>
      </c>
      <c r="G79" s="96">
        <v>12</v>
      </c>
      <c r="H79" s="97"/>
      <c r="I79" s="95">
        <v>0</v>
      </c>
      <c r="J79" s="96">
        <v>0</v>
      </c>
      <c r="K79" s="96">
        <v>0</v>
      </c>
      <c r="L79" s="96">
        <v>0</v>
      </c>
      <c r="M79" s="96">
        <v>0</v>
      </c>
      <c r="N79" s="97">
        <v>0</v>
      </c>
      <c r="O79" s="88">
        <v>0</v>
      </c>
      <c r="P79" s="89">
        <v>0</v>
      </c>
      <c r="Q79" s="89">
        <v>0</v>
      </c>
      <c r="R79" s="89">
        <v>0</v>
      </c>
      <c r="S79" s="89">
        <v>0</v>
      </c>
      <c r="T79" s="90">
        <v>0</v>
      </c>
      <c r="V79" s="105">
        <f t="shared" si="7"/>
        <v>7.96</v>
      </c>
      <c r="W79" s="111">
        <f t="shared" si="8"/>
        <v>0</v>
      </c>
      <c r="X79" s="74"/>
      <c r="Z79" s="91">
        <f t="shared" si="6"/>
        <v>7.96</v>
      </c>
      <c r="AA79" s="107">
        <f t="shared" si="10"/>
        <v>5.13</v>
      </c>
    </row>
    <row r="80" spans="1:27" x14ac:dyDescent="0.25">
      <c r="A80" s="92">
        <f t="shared" ca="1" si="9"/>
        <v>45398</v>
      </c>
      <c r="B80" s="94">
        <v>77</v>
      </c>
      <c r="C80" s="95">
        <v>575.79999999999995</v>
      </c>
      <c r="D80" s="96">
        <v>23</v>
      </c>
      <c r="E80" s="96"/>
      <c r="F80" s="96">
        <v>8.8880999999999997</v>
      </c>
      <c r="G80" s="96">
        <v>12</v>
      </c>
      <c r="H80" s="97"/>
      <c r="I80" s="95">
        <v>0</v>
      </c>
      <c r="J80" s="96">
        <v>0</v>
      </c>
      <c r="K80" s="96">
        <v>0</v>
      </c>
      <c r="L80" s="96">
        <v>0</v>
      </c>
      <c r="M80" s="96">
        <v>0</v>
      </c>
      <c r="N80" s="97">
        <v>0</v>
      </c>
      <c r="O80" s="88">
        <v>0</v>
      </c>
      <c r="P80" s="89">
        <v>0</v>
      </c>
      <c r="Q80" s="89">
        <v>0</v>
      </c>
      <c r="R80" s="89">
        <v>0</v>
      </c>
      <c r="S80" s="89">
        <v>0</v>
      </c>
      <c r="T80" s="90">
        <v>0</v>
      </c>
      <c r="V80" s="105">
        <f t="shared" si="7"/>
        <v>9.01</v>
      </c>
      <c r="W80" s="111">
        <f t="shared" si="8"/>
        <v>0</v>
      </c>
      <c r="X80" s="74"/>
      <c r="Z80" s="91">
        <f t="shared" si="6"/>
        <v>9.01</v>
      </c>
      <c r="AA80" s="107">
        <f t="shared" si="10"/>
        <v>5.13</v>
      </c>
    </row>
    <row r="81" spans="1:27" x14ac:dyDescent="0.25">
      <c r="A81" s="92">
        <f t="shared" ca="1" si="9"/>
        <v>45398</v>
      </c>
      <c r="B81" s="94">
        <v>78</v>
      </c>
      <c r="C81" s="95">
        <v>575.79999999999995</v>
      </c>
      <c r="D81" s="96">
        <v>23</v>
      </c>
      <c r="E81" s="96"/>
      <c r="F81" s="96">
        <v>7.9983399999999998</v>
      </c>
      <c r="G81" s="96">
        <v>12</v>
      </c>
      <c r="H81" s="97"/>
      <c r="I81" s="95">
        <v>0</v>
      </c>
      <c r="J81" s="96">
        <v>0</v>
      </c>
      <c r="K81" s="96">
        <v>0</v>
      </c>
      <c r="L81" s="96">
        <v>0</v>
      </c>
      <c r="M81" s="96">
        <v>0</v>
      </c>
      <c r="N81" s="97">
        <v>0</v>
      </c>
      <c r="O81" s="88">
        <v>0</v>
      </c>
      <c r="P81" s="89">
        <v>0</v>
      </c>
      <c r="Q81" s="89">
        <v>0</v>
      </c>
      <c r="R81" s="89">
        <v>0</v>
      </c>
      <c r="S81" s="89">
        <v>0</v>
      </c>
      <c r="T81" s="90">
        <v>0</v>
      </c>
      <c r="V81" s="105">
        <f t="shared" si="7"/>
        <v>8.15</v>
      </c>
      <c r="W81" s="111">
        <f t="shared" si="8"/>
        <v>0</v>
      </c>
      <c r="X81" s="74"/>
      <c r="Z81" s="91">
        <f t="shared" si="6"/>
        <v>8.15</v>
      </c>
      <c r="AA81" s="107">
        <f t="shared" si="10"/>
        <v>5.13</v>
      </c>
    </row>
    <row r="82" spans="1:27" x14ac:dyDescent="0.25">
      <c r="A82" s="92">
        <f t="shared" ca="1" si="9"/>
        <v>45398</v>
      </c>
      <c r="B82" s="94">
        <v>79</v>
      </c>
      <c r="C82" s="95">
        <v>575.79999999999995</v>
      </c>
      <c r="D82" s="96">
        <v>23</v>
      </c>
      <c r="E82" s="96"/>
      <c r="F82" s="96">
        <v>7.8007499999999999</v>
      </c>
      <c r="G82" s="96">
        <v>8.8885699999999996</v>
      </c>
      <c r="H82" s="97"/>
      <c r="I82" s="95">
        <v>0</v>
      </c>
      <c r="J82" s="96">
        <v>0</v>
      </c>
      <c r="K82" s="96">
        <v>0</v>
      </c>
      <c r="L82" s="96">
        <v>0</v>
      </c>
      <c r="M82" s="96">
        <v>0</v>
      </c>
      <c r="N82" s="97">
        <v>0</v>
      </c>
      <c r="O82" s="88">
        <v>0</v>
      </c>
      <c r="P82" s="89">
        <v>0</v>
      </c>
      <c r="Q82" s="89">
        <v>0</v>
      </c>
      <c r="R82" s="89">
        <v>0</v>
      </c>
      <c r="S82" s="89">
        <v>0</v>
      </c>
      <c r="T82" s="90">
        <v>0</v>
      </c>
      <c r="V82" s="105">
        <f t="shared" si="7"/>
        <v>7.84</v>
      </c>
      <c r="W82" s="111">
        <f t="shared" si="8"/>
        <v>0</v>
      </c>
      <c r="X82" s="74"/>
      <c r="Z82" s="91">
        <f t="shared" si="6"/>
        <v>7.84</v>
      </c>
      <c r="AA82" s="107">
        <f t="shared" si="10"/>
        <v>5.13</v>
      </c>
    </row>
    <row r="83" spans="1:27" x14ac:dyDescent="0.25">
      <c r="A83" s="92">
        <f t="shared" ca="1" si="9"/>
        <v>45398</v>
      </c>
      <c r="B83" s="94">
        <v>80</v>
      </c>
      <c r="C83" s="95">
        <v>575.79999999999995</v>
      </c>
      <c r="D83" s="96">
        <v>23</v>
      </c>
      <c r="E83" s="96"/>
      <c r="F83" s="96">
        <v>7.80063</v>
      </c>
      <c r="G83" s="96">
        <v>7.0008999999999997</v>
      </c>
      <c r="H83" s="97"/>
      <c r="I83" s="95">
        <v>0</v>
      </c>
      <c r="J83" s="96">
        <v>0</v>
      </c>
      <c r="K83" s="96">
        <v>0</v>
      </c>
      <c r="L83" s="96">
        <v>0</v>
      </c>
      <c r="M83" s="96">
        <v>0</v>
      </c>
      <c r="N83" s="97">
        <v>0</v>
      </c>
      <c r="O83" s="88">
        <v>0</v>
      </c>
      <c r="P83" s="89">
        <v>0</v>
      </c>
      <c r="Q83" s="89">
        <v>0</v>
      </c>
      <c r="R83" s="89">
        <v>0</v>
      </c>
      <c r="S83" s="89">
        <v>0</v>
      </c>
      <c r="T83" s="90">
        <v>0</v>
      </c>
      <c r="V83" s="105">
        <f t="shared" si="7"/>
        <v>7.77</v>
      </c>
      <c r="W83" s="111">
        <f t="shared" si="8"/>
        <v>0</v>
      </c>
      <c r="X83" s="74"/>
      <c r="Z83" s="91">
        <f t="shared" si="6"/>
        <v>7.77</v>
      </c>
      <c r="AA83" s="107">
        <f t="shared" si="10"/>
        <v>5.13</v>
      </c>
    </row>
    <row r="84" spans="1:27" x14ac:dyDescent="0.25">
      <c r="A84" s="92">
        <f t="shared" ca="1" si="9"/>
        <v>45398</v>
      </c>
      <c r="B84" s="94">
        <v>81</v>
      </c>
      <c r="C84" s="95">
        <v>671.30000000000007</v>
      </c>
      <c r="D84" s="96">
        <v>23</v>
      </c>
      <c r="E84" s="96"/>
      <c r="F84" s="96">
        <v>7.4918300000000002</v>
      </c>
      <c r="G84" s="96">
        <v>12</v>
      </c>
      <c r="H84" s="97"/>
      <c r="I84" s="95">
        <v>0</v>
      </c>
      <c r="J84" s="96">
        <v>0</v>
      </c>
      <c r="K84" s="96">
        <v>0</v>
      </c>
      <c r="L84" s="96">
        <v>0</v>
      </c>
      <c r="M84" s="96">
        <v>0</v>
      </c>
      <c r="N84" s="97">
        <v>0</v>
      </c>
      <c r="O84" s="88">
        <v>0</v>
      </c>
      <c r="P84" s="89">
        <v>0</v>
      </c>
      <c r="Q84" s="89">
        <v>0</v>
      </c>
      <c r="R84" s="89">
        <v>0</v>
      </c>
      <c r="S84" s="89">
        <v>0</v>
      </c>
      <c r="T84" s="90">
        <v>0</v>
      </c>
      <c r="V84" s="105">
        <f t="shared" si="7"/>
        <v>7.64</v>
      </c>
      <c r="W84" s="111">
        <f t="shared" si="8"/>
        <v>0</v>
      </c>
      <c r="X84" s="74"/>
      <c r="Z84" s="91">
        <f t="shared" si="6"/>
        <v>7.64</v>
      </c>
      <c r="AA84" s="107">
        <f t="shared" si="10"/>
        <v>5.13</v>
      </c>
    </row>
    <row r="85" spans="1:27" x14ac:dyDescent="0.25">
      <c r="A85" s="92">
        <f t="shared" ca="1" si="9"/>
        <v>45398</v>
      </c>
      <c r="B85" s="94">
        <v>82</v>
      </c>
      <c r="C85" s="95">
        <v>676.30000000000007</v>
      </c>
      <c r="D85" s="96">
        <v>23</v>
      </c>
      <c r="E85" s="96"/>
      <c r="F85" s="96">
        <v>7.3654700000000002</v>
      </c>
      <c r="G85" s="96">
        <v>7.7777500000000002</v>
      </c>
      <c r="H85" s="97"/>
      <c r="I85" s="95">
        <v>0</v>
      </c>
      <c r="J85" s="96">
        <v>0</v>
      </c>
      <c r="K85" s="96">
        <v>0</v>
      </c>
      <c r="L85" s="96">
        <v>0</v>
      </c>
      <c r="M85" s="96">
        <v>0</v>
      </c>
      <c r="N85" s="97">
        <v>0</v>
      </c>
      <c r="O85" s="88">
        <v>0</v>
      </c>
      <c r="P85" s="89">
        <v>0</v>
      </c>
      <c r="Q85" s="89">
        <v>0</v>
      </c>
      <c r="R85" s="89">
        <v>0</v>
      </c>
      <c r="S85" s="89">
        <v>0</v>
      </c>
      <c r="T85" s="90">
        <v>0</v>
      </c>
      <c r="V85" s="105">
        <f t="shared" si="7"/>
        <v>7.38</v>
      </c>
      <c r="W85" s="111">
        <f t="shared" si="8"/>
        <v>0</v>
      </c>
      <c r="X85" s="74"/>
      <c r="Z85" s="91">
        <f t="shared" si="6"/>
        <v>7.38</v>
      </c>
      <c r="AA85" s="107">
        <f t="shared" si="10"/>
        <v>5.13</v>
      </c>
    </row>
    <row r="86" spans="1:27" x14ac:dyDescent="0.25">
      <c r="A86" s="92">
        <f t="shared" ca="1" si="9"/>
        <v>45398</v>
      </c>
      <c r="B86" s="94">
        <v>83</v>
      </c>
      <c r="C86" s="95">
        <v>661.99</v>
      </c>
      <c r="D86" s="96">
        <v>23</v>
      </c>
      <c r="E86" s="96"/>
      <c r="F86" s="96">
        <v>6.9993100000000004</v>
      </c>
      <c r="G86" s="96">
        <v>7.7775400000000001</v>
      </c>
      <c r="H86" s="97"/>
      <c r="I86" s="95">
        <v>0</v>
      </c>
      <c r="J86" s="96">
        <v>0</v>
      </c>
      <c r="K86" s="96">
        <v>0</v>
      </c>
      <c r="L86" s="96">
        <v>0</v>
      </c>
      <c r="M86" s="96">
        <v>0</v>
      </c>
      <c r="N86" s="97">
        <v>0</v>
      </c>
      <c r="O86" s="88">
        <v>0</v>
      </c>
      <c r="P86" s="89">
        <v>0</v>
      </c>
      <c r="Q86" s="89">
        <v>0</v>
      </c>
      <c r="R86" s="89">
        <v>0</v>
      </c>
      <c r="S86" s="89">
        <v>0</v>
      </c>
      <c r="T86" s="90">
        <v>0</v>
      </c>
      <c r="V86" s="105">
        <f t="shared" si="7"/>
        <v>7.03</v>
      </c>
      <c r="W86" s="111">
        <f t="shared" si="8"/>
        <v>0</v>
      </c>
      <c r="X86" s="74"/>
      <c r="Z86" s="91">
        <f t="shared" si="6"/>
        <v>7.03</v>
      </c>
      <c r="AA86" s="107">
        <f t="shared" si="10"/>
        <v>5.13</v>
      </c>
    </row>
    <row r="87" spans="1:27" x14ac:dyDescent="0.25">
      <c r="A87" s="92">
        <f t="shared" ca="1" si="9"/>
        <v>45398</v>
      </c>
      <c r="B87" s="94">
        <v>84</v>
      </c>
      <c r="C87" s="95">
        <v>626.1</v>
      </c>
      <c r="D87" s="96">
        <v>23</v>
      </c>
      <c r="E87" s="96"/>
      <c r="F87" s="96">
        <v>6.9989499999999998</v>
      </c>
      <c r="G87" s="96">
        <v>7.5003500000000001</v>
      </c>
      <c r="H87" s="97"/>
      <c r="I87" s="95">
        <v>0</v>
      </c>
      <c r="J87" s="96">
        <v>0</v>
      </c>
      <c r="K87" s="96">
        <v>0</v>
      </c>
      <c r="L87" s="96">
        <v>0</v>
      </c>
      <c r="M87" s="96">
        <v>0</v>
      </c>
      <c r="N87" s="97">
        <v>0</v>
      </c>
      <c r="O87" s="88">
        <v>0</v>
      </c>
      <c r="P87" s="89">
        <v>0</v>
      </c>
      <c r="Q87" s="89">
        <v>0</v>
      </c>
      <c r="R87" s="89">
        <v>0</v>
      </c>
      <c r="S87" s="89">
        <v>0</v>
      </c>
      <c r="T87" s="90">
        <v>0</v>
      </c>
      <c r="V87" s="105">
        <f t="shared" si="7"/>
        <v>7.02</v>
      </c>
      <c r="W87" s="111">
        <f t="shared" si="8"/>
        <v>0</v>
      </c>
      <c r="X87" s="74"/>
      <c r="Z87" s="91">
        <f t="shared" si="6"/>
        <v>7.02</v>
      </c>
      <c r="AA87" s="107">
        <f t="shared" si="10"/>
        <v>5.13</v>
      </c>
    </row>
    <row r="88" spans="1:27" x14ac:dyDescent="0.25">
      <c r="A88" s="92">
        <f t="shared" ca="1" si="9"/>
        <v>45398</v>
      </c>
      <c r="B88" s="94">
        <v>85</v>
      </c>
      <c r="C88" s="95">
        <v>685.90000000000009</v>
      </c>
      <c r="D88" s="96">
        <v>23</v>
      </c>
      <c r="E88" s="96"/>
      <c r="F88" s="96">
        <v>7.3650900000000004</v>
      </c>
      <c r="G88" s="96">
        <v>7.5000799999999996</v>
      </c>
      <c r="H88" s="97"/>
      <c r="I88" s="95">
        <v>0</v>
      </c>
      <c r="J88" s="96">
        <v>0</v>
      </c>
      <c r="K88" s="96">
        <v>0</v>
      </c>
      <c r="L88" s="96">
        <v>0</v>
      </c>
      <c r="M88" s="96">
        <v>0</v>
      </c>
      <c r="N88" s="97">
        <v>0</v>
      </c>
      <c r="O88" s="88">
        <v>0</v>
      </c>
      <c r="P88" s="89">
        <v>0</v>
      </c>
      <c r="Q88" s="89">
        <v>0</v>
      </c>
      <c r="R88" s="89">
        <v>0</v>
      </c>
      <c r="S88" s="89">
        <v>0</v>
      </c>
      <c r="T88" s="90">
        <v>0</v>
      </c>
      <c r="V88" s="105">
        <f t="shared" si="7"/>
        <v>7.37</v>
      </c>
      <c r="W88" s="111">
        <f t="shared" si="8"/>
        <v>0</v>
      </c>
      <c r="X88" s="74"/>
      <c r="Z88" s="91">
        <f t="shared" si="6"/>
        <v>7.37</v>
      </c>
      <c r="AA88" s="107">
        <f t="shared" si="10"/>
        <v>5.13</v>
      </c>
    </row>
    <row r="89" spans="1:27" x14ac:dyDescent="0.25">
      <c r="A89" s="92">
        <f t="shared" ca="1" si="9"/>
        <v>45398</v>
      </c>
      <c r="B89" s="94">
        <v>86</v>
      </c>
      <c r="C89" s="95">
        <v>619.5</v>
      </c>
      <c r="D89" s="96">
        <v>23</v>
      </c>
      <c r="E89" s="96"/>
      <c r="F89" s="96">
        <v>6.9980099999999998</v>
      </c>
      <c r="G89" s="96">
        <v>7.5009399999999999</v>
      </c>
      <c r="H89" s="97"/>
      <c r="I89" s="95">
        <v>0</v>
      </c>
      <c r="J89" s="96">
        <v>0</v>
      </c>
      <c r="K89" s="96">
        <v>0</v>
      </c>
      <c r="L89" s="96">
        <v>0</v>
      </c>
      <c r="M89" s="96">
        <v>0</v>
      </c>
      <c r="N89" s="97">
        <v>0</v>
      </c>
      <c r="O89" s="88">
        <v>0</v>
      </c>
      <c r="P89" s="89">
        <v>0</v>
      </c>
      <c r="Q89" s="89">
        <v>0</v>
      </c>
      <c r="R89" s="89">
        <v>0</v>
      </c>
      <c r="S89" s="89">
        <v>0</v>
      </c>
      <c r="T89" s="90">
        <v>0</v>
      </c>
      <c r="V89" s="105">
        <f t="shared" si="7"/>
        <v>7.02</v>
      </c>
      <c r="W89" s="111">
        <f t="shared" si="8"/>
        <v>0</v>
      </c>
      <c r="X89" s="74"/>
      <c r="Z89" s="91">
        <f t="shared" si="6"/>
        <v>7.02</v>
      </c>
      <c r="AA89" s="107">
        <f t="shared" si="10"/>
        <v>5.13</v>
      </c>
    </row>
    <row r="90" spans="1:27" x14ac:dyDescent="0.25">
      <c r="A90" s="92">
        <f t="shared" ca="1" si="9"/>
        <v>45398</v>
      </c>
      <c r="B90" s="94">
        <v>87</v>
      </c>
      <c r="C90" s="95">
        <v>639.4</v>
      </c>
      <c r="D90" s="96">
        <v>23</v>
      </c>
      <c r="E90" s="96"/>
      <c r="F90" s="96">
        <v>6.0093300000000003</v>
      </c>
      <c r="G90" s="96">
        <v>6.5098700000000003</v>
      </c>
      <c r="H90" s="97"/>
      <c r="I90" s="95">
        <v>0</v>
      </c>
      <c r="J90" s="96">
        <v>0</v>
      </c>
      <c r="K90" s="96">
        <v>0</v>
      </c>
      <c r="L90" s="96">
        <v>0</v>
      </c>
      <c r="M90" s="96">
        <v>0</v>
      </c>
      <c r="N90" s="97">
        <v>0</v>
      </c>
      <c r="O90" s="88">
        <v>0</v>
      </c>
      <c r="P90" s="89">
        <v>0</v>
      </c>
      <c r="Q90" s="89">
        <v>0</v>
      </c>
      <c r="R90" s="89">
        <v>0</v>
      </c>
      <c r="S90" s="89">
        <v>0</v>
      </c>
      <c r="T90" s="90">
        <v>0</v>
      </c>
      <c r="V90" s="105">
        <f t="shared" si="7"/>
        <v>6.03</v>
      </c>
      <c r="W90" s="111">
        <f t="shared" si="8"/>
        <v>0</v>
      </c>
      <c r="X90" s="74"/>
      <c r="Z90" s="91">
        <f t="shared" si="6"/>
        <v>6.03</v>
      </c>
      <c r="AA90" s="107">
        <f t="shared" si="10"/>
        <v>5.13</v>
      </c>
    </row>
    <row r="91" spans="1:27" x14ac:dyDescent="0.25">
      <c r="A91" s="92">
        <f t="shared" ca="1" si="9"/>
        <v>45398</v>
      </c>
      <c r="B91" s="94">
        <v>88</v>
      </c>
      <c r="C91" s="95">
        <v>610.1</v>
      </c>
      <c r="D91" s="96">
        <v>23</v>
      </c>
      <c r="E91" s="96"/>
      <c r="F91" s="96">
        <v>5.4607900000000003</v>
      </c>
      <c r="G91" s="96">
        <v>6.5090600000000007</v>
      </c>
      <c r="H91" s="97"/>
      <c r="I91" s="95">
        <v>0</v>
      </c>
      <c r="J91" s="96">
        <v>0</v>
      </c>
      <c r="K91" s="96">
        <v>0</v>
      </c>
      <c r="L91" s="96">
        <v>0</v>
      </c>
      <c r="M91" s="96">
        <v>0</v>
      </c>
      <c r="N91" s="97">
        <v>0</v>
      </c>
      <c r="O91" s="88">
        <v>0</v>
      </c>
      <c r="P91" s="89">
        <v>0</v>
      </c>
      <c r="Q91" s="89">
        <v>0</v>
      </c>
      <c r="R91" s="89">
        <v>0</v>
      </c>
      <c r="S91" s="89">
        <v>0</v>
      </c>
      <c r="T91" s="90">
        <v>0</v>
      </c>
      <c r="V91" s="105">
        <f t="shared" si="7"/>
        <v>5.5</v>
      </c>
      <c r="W91" s="111">
        <f t="shared" si="8"/>
        <v>0</v>
      </c>
      <c r="X91" s="74"/>
      <c r="Z91" s="91">
        <f t="shared" si="6"/>
        <v>5.5</v>
      </c>
      <c r="AA91" s="107">
        <f t="shared" si="10"/>
        <v>5.13</v>
      </c>
    </row>
    <row r="92" spans="1:27" x14ac:dyDescent="0.25">
      <c r="A92" s="92">
        <f t="shared" ca="1" si="9"/>
        <v>45398</v>
      </c>
      <c r="B92" s="94">
        <v>89</v>
      </c>
      <c r="C92" s="95">
        <v>601.29999999999995</v>
      </c>
      <c r="D92" s="96">
        <v>23</v>
      </c>
      <c r="E92" s="96"/>
      <c r="F92" s="96">
        <v>6.2302499999999998</v>
      </c>
      <c r="G92" s="96">
        <v>6.5098500000000001</v>
      </c>
      <c r="H92" s="97"/>
      <c r="I92" s="95">
        <v>0</v>
      </c>
      <c r="J92" s="96">
        <v>0</v>
      </c>
      <c r="K92" s="96">
        <v>0</v>
      </c>
      <c r="L92" s="96">
        <v>0</v>
      </c>
      <c r="M92" s="96">
        <v>0</v>
      </c>
      <c r="N92" s="97">
        <v>0</v>
      </c>
      <c r="O92" s="88">
        <v>0</v>
      </c>
      <c r="P92" s="89">
        <v>0</v>
      </c>
      <c r="Q92" s="89">
        <v>0</v>
      </c>
      <c r="R92" s="89">
        <v>0</v>
      </c>
      <c r="S92" s="89">
        <v>0</v>
      </c>
      <c r="T92" s="90">
        <v>0</v>
      </c>
      <c r="V92" s="105">
        <f t="shared" si="7"/>
        <v>6.24</v>
      </c>
      <c r="W92" s="111">
        <f t="shared" si="8"/>
        <v>0</v>
      </c>
      <c r="X92" s="74"/>
      <c r="Z92" s="91">
        <f t="shared" si="6"/>
        <v>6.24</v>
      </c>
      <c r="AA92" s="107">
        <f t="shared" si="10"/>
        <v>5.13</v>
      </c>
    </row>
    <row r="93" spans="1:27" x14ac:dyDescent="0.25">
      <c r="A93" s="92">
        <f t="shared" ca="1" si="9"/>
        <v>45398</v>
      </c>
      <c r="B93" s="94">
        <v>90</v>
      </c>
      <c r="C93" s="95">
        <v>418.1</v>
      </c>
      <c r="D93" s="96">
        <v>23</v>
      </c>
      <c r="E93" s="96"/>
      <c r="F93" s="96">
        <v>6.4992299999999998</v>
      </c>
      <c r="G93" s="96">
        <v>6.5092299999999996</v>
      </c>
      <c r="H93" s="97"/>
      <c r="I93" s="95">
        <v>0</v>
      </c>
      <c r="J93" s="96">
        <v>0</v>
      </c>
      <c r="K93" s="96">
        <v>0</v>
      </c>
      <c r="L93" s="96">
        <v>0</v>
      </c>
      <c r="M93" s="96">
        <v>0</v>
      </c>
      <c r="N93" s="97">
        <v>0</v>
      </c>
      <c r="O93" s="88">
        <v>0</v>
      </c>
      <c r="P93" s="89">
        <v>0</v>
      </c>
      <c r="Q93" s="89">
        <v>0</v>
      </c>
      <c r="R93" s="89">
        <v>0</v>
      </c>
      <c r="S93" s="89">
        <v>0</v>
      </c>
      <c r="T93" s="90">
        <v>0</v>
      </c>
      <c r="V93" s="105">
        <f t="shared" si="7"/>
        <v>6.5</v>
      </c>
      <c r="W93" s="111">
        <f t="shared" si="8"/>
        <v>0</v>
      </c>
      <c r="X93" s="74"/>
      <c r="Z93" s="91">
        <f t="shared" si="6"/>
        <v>6.5</v>
      </c>
      <c r="AA93" s="107">
        <f t="shared" si="10"/>
        <v>5.13</v>
      </c>
    </row>
    <row r="94" spans="1:27" x14ac:dyDescent="0.25">
      <c r="A94" s="92">
        <f t="shared" ca="1" si="9"/>
        <v>45398</v>
      </c>
      <c r="B94" s="94">
        <v>91</v>
      </c>
      <c r="C94" s="95">
        <v>425.6</v>
      </c>
      <c r="D94" s="96">
        <v>23</v>
      </c>
      <c r="E94" s="96"/>
      <c r="F94" s="96">
        <v>6.2308699999999995</v>
      </c>
      <c r="G94" s="96">
        <v>6.0009499999999996</v>
      </c>
      <c r="H94" s="97"/>
      <c r="I94" s="95">
        <v>0</v>
      </c>
      <c r="J94" s="96">
        <v>0</v>
      </c>
      <c r="K94" s="96">
        <v>0</v>
      </c>
      <c r="L94" s="96">
        <v>0</v>
      </c>
      <c r="M94" s="96">
        <v>0</v>
      </c>
      <c r="N94" s="97">
        <v>0</v>
      </c>
      <c r="O94" s="88">
        <v>0</v>
      </c>
      <c r="P94" s="89">
        <v>0</v>
      </c>
      <c r="Q94" s="89">
        <v>0</v>
      </c>
      <c r="R94" s="89">
        <v>0</v>
      </c>
      <c r="S94" s="89">
        <v>0</v>
      </c>
      <c r="T94" s="90">
        <v>0</v>
      </c>
      <c r="V94" s="105">
        <f t="shared" si="7"/>
        <v>6.22</v>
      </c>
      <c r="W94" s="111">
        <f t="shared" si="8"/>
        <v>0</v>
      </c>
      <c r="X94" s="74"/>
      <c r="Z94" s="91">
        <f t="shared" si="6"/>
        <v>6.22</v>
      </c>
      <c r="AA94" s="107">
        <f t="shared" si="10"/>
        <v>5.13</v>
      </c>
    </row>
    <row r="95" spans="1:27" x14ac:dyDescent="0.25">
      <c r="A95" s="92">
        <f t="shared" ca="1" si="9"/>
        <v>45398</v>
      </c>
      <c r="B95" s="94">
        <v>92</v>
      </c>
      <c r="C95" s="95">
        <v>406.7</v>
      </c>
      <c r="D95" s="96">
        <v>23</v>
      </c>
      <c r="E95" s="96"/>
      <c r="F95" s="96">
        <v>6.4993299999999996</v>
      </c>
      <c r="G95" s="96">
        <v>6.0009700000000006</v>
      </c>
      <c r="H95" s="97"/>
      <c r="I95" s="95">
        <v>0</v>
      </c>
      <c r="J95" s="96">
        <v>0</v>
      </c>
      <c r="K95" s="96">
        <v>0</v>
      </c>
      <c r="L95" s="96">
        <v>0</v>
      </c>
      <c r="M95" s="96">
        <v>0</v>
      </c>
      <c r="N95" s="97">
        <v>0</v>
      </c>
      <c r="O95" s="88">
        <v>0</v>
      </c>
      <c r="P95" s="89">
        <v>0</v>
      </c>
      <c r="Q95" s="89">
        <v>0</v>
      </c>
      <c r="R95" s="89">
        <v>0</v>
      </c>
      <c r="S95" s="89">
        <v>0</v>
      </c>
      <c r="T95" s="90">
        <v>0</v>
      </c>
      <c r="V95" s="105">
        <f t="shared" si="7"/>
        <v>6.47</v>
      </c>
      <c r="W95" s="111">
        <f t="shared" si="8"/>
        <v>0</v>
      </c>
      <c r="X95" s="74"/>
      <c r="Z95" s="91">
        <f t="shared" si="6"/>
        <v>6.47</v>
      </c>
      <c r="AA95" s="107">
        <f t="shared" si="10"/>
        <v>5.13</v>
      </c>
    </row>
    <row r="96" spans="1:27" x14ac:dyDescent="0.25">
      <c r="A96" s="92">
        <f t="shared" ca="1" si="9"/>
        <v>45398</v>
      </c>
      <c r="B96" s="94">
        <v>93</v>
      </c>
      <c r="C96" s="95">
        <v>421.2</v>
      </c>
      <c r="D96" s="96">
        <v>23</v>
      </c>
      <c r="E96" s="96"/>
      <c r="F96" s="96">
        <v>6.2306499999999998</v>
      </c>
      <c r="G96" s="96">
        <v>5.7278400000000005</v>
      </c>
      <c r="H96" s="97"/>
      <c r="I96" s="95">
        <v>0</v>
      </c>
      <c r="J96" s="96">
        <v>0</v>
      </c>
      <c r="K96" s="96">
        <v>0</v>
      </c>
      <c r="L96" s="96">
        <v>0</v>
      </c>
      <c r="M96" s="96">
        <v>0</v>
      </c>
      <c r="N96" s="97">
        <v>0</v>
      </c>
      <c r="O96" s="88">
        <v>0</v>
      </c>
      <c r="P96" s="89">
        <v>0</v>
      </c>
      <c r="Q96" s="89">
        <v>0</v>
      </c>
      <c r="R96" s="89">
        <v>0</v>
      </c>
      <c r="S96" s="89">
        <v>0</v>
      </c>
      <c r="T96" s="90">
        <v>0</v>
      </c>
      <c r="V96" s="105">
        <f t="shared" si="7"/>
        <v>6.2</v>
      </c>
      <c r="W96" s="111">
        <f t="shared" si="8"/>
        <v>0</v>
      </c>
      <c r="X96" s="74"/>
      <c r="Z96" s="91">
        <f t="shared" si="6"/>
        <v>6.2</v>
      </c>
      <c r="AA96" s="107">
        <f t="shared" si="10"/>
        <v>5.13</v>
      </c>
    </row>
    <row r="97" spans="1:27" x14ac:dyDescent="0.25">
      <c r="A97" s="92">
        <f t="shared" ca="1" si="9"/>
        <v>45398</v>
      </c>
      <c r="B97" s="94">
        <v>94</v>
      </c>
      <c r="C97" s="95">
        <v>424.29999999999995</v>
      </c>
      <c r="D97" s="96">
        <v>23</v>
      </c>
      <c r="E97" s="96"/>
      <c r="F97" s="96">
        <v>6.9980099999999998</v>
      </c>
      <c r="G97" s="96">
        <v>5.7278400000000005</v>
      </c>
      <c r="H97" s="97"/>
      <c r="I97" s="95">
        <v>0</v>
      </c>
      <c r="J97" s="96">
        <v>0</v>
      </c>
      <c r="K97" s="96">
        <v>0</v>
      </c>
      <c r="L97" s="96">
        <v>0</v>
      </c>
      <c r="M97" s="96">
        <v>0</v>
      </c>
      <c r="N97" s="97">
        <v>0</v>
      </c>
      <c r="O97" s="88">
        <v>0</v>
      </c>
      <c r="P97" s="89">
        <v>0</v>
      </c>
      <c r="Q97" s="89">
        <v>0</v>
      </c>
      <c r="R97" s="89">
        <v>0</v>
      </c>
      <c r="S97" s="89">
        <v>0</v>
      </c>
      <c r="T97" s="90">
        <v>0</v>
      </c>
      <c r="V97" s="105">
        <f t="shared" si="7"/>
        <v>6.93</v>
      </c>
      <c r="W97" s="111">
        <f t="shared" si="8"/>
        <v>0</v>
      </c>
      <c r="X97" s="74"/>
      <c r="Z97" s="91">
        <f t="shared" si="6"/>
        <v>6.93</v>
      </c>
      <c r="AA97" s="107">
        <f t="shared" si="10"/>
        <v>5.13</v>
      </c>
    </row>
    <row r="98" spans="1:27" x14ac:dyDescent="0.25">
      <c r="A98" s="92">
        <f t="shared" ca="1" si="9"/>
        <v>45398</v>
      </c>
      <c r="B98" s="94">
        <v>95</v>
      </c>
      <c r="C98" s="95">
        <v>434.5</v>
      </c>
      <c r="D98" s="96">
        <v>23</v>
      </c>
      <c r="E98" s="96"/>
      <c r="F98" s="96">
        <v>6.9999599999999997</v>
      </c>
      <c r="G98" s="96">
        <v>5.7278400000000005</v>
      </c>
      <c r="H98" s="97"/>
      <c r="I98" s="95">
        <v>0</v>
      </c>
      <c r="J98" s="96">
        <v>0</v>
      </c>
      <c r="K98" s="96">
        <v>0</v>
      </c>
      <c r="L98" s="96">
        <v>0</v>
      </c>
      <c r="M98" s="96">
        <v>0</v>
      </c>
      <c r="N98" s="97">
        <v>0</v>
      </c>
      <c r="O98" s="88">
        <v>0</v>
      </c>
      <c r="P98" s="89">
        <v>0</v>
      </c>
      <c r="Q98" s="89">
        <v>0</v>
      </c>
      <c r="R98" s="89">
        <v>0</v>
      </c>
      <c r="S98" s="89">
        <v>0</v>
      </c>
      <c r="T98" s="90">
        <v>0</v>
      </c>
      <c r="V98" s="105">
        <f t="shared" si="7"/>
        <v>6.94</v>
      </c>
      <c r="W98" s="111">
        <f t="shared" si="8"/>
        <v>0</v>
      </c>
      <c r="X98" s="74"/>
      <c r="Z98" s="91">
        <f t="shared" si="6"/>
        <v>6.94</v>
      </c>
      <c r="AA98" s="107">
        <f t="shared" si="10"/>
        <v>5.13</v>
      </c>
    </row>
    <row r="99" spans="1:27" ht="15.75" thickBot="1" x14ac:dyDescent="0.3">
      <c r="A99" s="92">
        <f t="shared" ca="1" si="9"/>
        <v>45398</v>
      </c>
      <c r="B99" s="98">
        <v>96</v>
      </c>
      <c r="C99" s="99">
        <v>424.90000000000003</v>
      </c>
      <c r="D99" s="100">
        <v>23</v>
      </c>
      <c r="E99" s="100"/>
      <c r="F99" s="100">
        <v>6.9735699999999996</v>
      </c>
      <c r="G99" s="100">
        <v>5.7275799999999997</v>
      </c>
      <c r="H99" s="101"/>
      <c r="I99" s="99">
        <v>0</v>
      </c>
      <c r="J99" s="100">
        <v>0</v>
      </c>
      <c r="K99" s="100">
        <v>0</v>
      </c>
      <c r="L99" s="100">
        <v>0</v>
      </c>
      <c r="M99" s="100">
        <v>0</v>
      </c>
      <c r="N99" s="101">
        <v>0</v>
      </c>
      <c r="O99" s="102">
        <v>0</v>
      </c>
      <c r="P99" s="103">
        <v>0</v>
      </c>
      <c r="Q99" s="103">
        <v>0</v>
      </c>
      <c r="R99" s="103">
        <v>0</v>
      </c>
      <c r="S99" s="103">
        <v>0</v>
      </c>
      <c r="T99" s="104">
        <v>0</v>
      </c>
      <c r="V99" s="105">
        <f t="shared" si="7"/>
        <v>6.91</v>
      </c>
      <c r="W99" s="111">
        <f t="shared" si="8"/>
        <v>0</v>
      </c>
      <c r="X99" s="74"/>
      <c r="Z99" s="91">
        <f t="shared" si="6"/>
        <v>6.91</v>
      </c>
      <c r="AA99" s="107">
        <f t="shared" si="10"/>
        <v>5.13</v>
      </c>
    </row>
  </sheetData>
  <mergeCells count="13">
    <mergeCell ref="L2:N2"/>
    <mergeCell ref="A1:T1"/>
    <mergeCell ref="A2:A3"/>
    <mergeCell ref="B2:B3"/>
    <mergeCell ref="C2:E2"/>
    <mergeCell ref="F2:H2"/>
    <mergeCell ref="I2:K2"/>
    <mergeCell ref="AA2:AA3"/>
    <mergeCell ref="O2:Q2"/>
    <mergeCell ref="R2:T2"/>
    <mergeCell ref="V2:V3"/>
    <mergeCell ref="W2:W3"/>
    <mergeCell ref="Z2:Z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J100"/>
  <sheetViews>
    <sheetView workbookViewId="0">
      <selection activeCell="E8" sqref="E8"/>
    </sheetView>
  </sheetViews>
  <sheetFormatPr defaultRowHeight="15" x14ac:dyDescent="0.25"/>
  <cols>
    <col min="1" max="1" width="9" bestFit="1" customWidth="1"/>
    <col min="2" max="2" width="6.28515625" bestFit="1" customWidth="1"/>
    <col min="3" max="3" width="5.5703125" bestFit="1" customWidth="1"/>
    <col min="4" max="34" width="10.42578125" bestFit="1" customWidth="1"/>
    <col min="36" max="36" width="10.42578125" bestFit="1" customWidth="1"/>
  </cols>
  <sheetData>
    <row r="1" spans="1:36" ht="15" customHeight="1" x14ac:dyDescent="0.25">
      <c r="A1" s="141" t="s">
        <v>106</v>
      </c>
      <c r="B1" s="141"/>
      <c r="C1" s="141"/>
      <c r="D1" s="200">
        <v>44927</v>
      </c>
    </row>
    <row r="2" spans="1:36" ht="15.75" thickBot="1" x14ac:dyDescent="0.3">
      <c r="A2" s="141"/>
      <c r="B2" s="141"/>
      <c r="C2" s="141"/>
      <c r="D2" s="201"/>
      <c r="M2" t="s">
        <v>107</v>
      </c>
    </row>
    <row r="3" spans="1:36" x14ac:dyDescent="0.25">
      <c r="D3" s="75"/>
    </row>
    <row r="4" spans="1:36" x14ac:dyDescent="0.25">
      <c r="A4" s="51" t="s">
        <v>20</v>
      </c>
      <c r="B4" s="52" t="s">
        <v>14</v>
      </c>
      <c r="C4" s="52" t="s">
        <v>16</v>
      </c>
      <c r="D4" s="109">
        <f>D1</f>
        <v>44927</v>
      </c>
      <c r="E4" s="109">
        <f>D4+1</f>
        <v>44928</v>
      </c>
      <c r="F4" s="109">
        <f>E4+1</f>
        <v>44929</v>
      </c>
      <c r="G4" s="109">
        <f t="shared" ref="G4:AH4" si="0">F4+1</f>
        <v>44930</v>
      </c>
      <c r="H4" s="109">
        <f t="shared" si="0"/>
        <v>44931</v>
      </c>
      <c r="I4" s="109">
        <f t="shared" si="0"/>
        <v>44932</v>
      </c>
      <c r="J4" s="109">
        <f t="shared" si="0"/>
        <v>44933</v>
      </c>
      <c r="K4" s="109">
        <f t="shared" si="0"/>
        <v>44934</v>
      </c>
      <c r="L4" s="109">
        <f t="shared" si="0"/>
        <v>44935</v>
      </c>
      <c r="M4" s="109">
        <f t="shared" si="0"/>
        <v>44936</v>
      </c>
      <c r="N4" s="109">
        <f t="shared" si="0"/>
        <v>44937</v>
      </c>
      <c r="O4" s="109">
        <f t="shared" si="0"/>
        <v>44938</v>
      </c>
      <c r="P4" s="109">
        <f t="shared" si="0"/>
        <v>44939</v>
      </c>
      <c r="Q4" s="109">
        <f t="shared" si="0"/>
        <v>44940</v>
      </c>
      <c r="R4" s="109">
        <f t="shared" si="0"/>
        <v>44941</v>
      </c>
      <c r="S4" s="109">
        <f t="shared" si="0"/>
        <v>44942</v>
      </c>
      <c r="T4" s="109">
        <f t="shared" si="0"/>
        <v>44943</v>
      </c>
      <c r="U4" s="109">
        <f t="shared" si="0"/>
        <v>44944</v>
      </c>
      <c r="V4" s="109">
        <f t="shared" si="0"/>
        <v>44945</v>
      </c>
      <c r="W4" s="109">
        <f t="shared" si="0"/>
        <v>44946</v>
      </c>
      <c r="X4" s="109">
        <f t="shared" si="0"/>
        <v>44947</v>
      </c>
      <c r="Y4" s="109">
        <f t="shared" si="0"/>
        <v>44948</v>
      </c>
      <c r="Z4" s="109">
        <f t="shared" si="0"/>
        <v>44949</v>
      </c>
      <c r="AA4" s="109">
        <f t="shared" si="0"/>
        <v>44950</v>
      </c>
      <c r="AB4" s="109">
        <f t="shared" si="0"/>
        <v>44951</v>
      </c>
      <c r="AC4" s="109">
        <f t="shared" si="0"/>
        <v>44952</v>
      </c>
      <c r="AD4" s="109">
        <f t="shared" si="0"/>
        <v>44953</v>
      </c>
      <c r="AE4" s="109">
        <f>AD4+1</f>
        <v>44954</v>
      </c>
      <c r="AF4" s="109">
        <f t="shared" si="0"/>
        <v>44955</v>
      </c>
      <c r="AG4" s="109">
        <f t="shared" si="0"/>
        <v>44956</v>
      </c>
      <c r="AH4" s="109">
        <f t="shared" si="0"/>
        <v>44957</v>
      </c>
      <c r="AI4" s="110"/>
      <c r="AJ4" s="110"/>
    </row>
    <row r="5" spans="1:36" x14ac:dyDescent="0.25">
      <c r="A5" s="24">
        <v>1</v>
      </c>
      <c r="B5" s="25">
        <v>0</v>
      </c>
      <c r="C5" s="25">
        <v>0.15</v>
      </c>
    </row>
    <row r="6" spans="1:36" x14ac:dyDescent="0.25">
      <c r="A6" s="24">
        <v>2</v>
      </c>
      <c r="B6" s="25">
        <v>0.15</v>
      </c>
      <c r="C6" s="25">
        <v>0.3</v>
      </c>
    </row>
    <row r="7" spans="1:36" x14ac:dyDescent="0.25">
      <c r="A7" s="24">
        <v>3</v>
      </c>
      <c r="B7" s="25">
        <v>0.3</v>
      </c>
      <c r="C7" s="25">
        <v>0.45</v>
      </c>
    </row>
    <row r="8" spans="1:36" x14ac:dyDescent="0.25">
      <c r="A8" s="24">
        <v>4</v>
      </c>
      <c r="B8" s="25">
        <v>0.45</v>
      </c>
      <c r="C8" s="25">
        <v>1</v>
      </c>
    </row>
    <row r="9" spans="1:36" x14ac:dyDescent="0.25">
      <c r="A9" s="24">
        <v>5</v>
      </c>
      <c r="B9" s="25">
        <v>1</v>
      </c>
      <c r="C9" s="25">
        <v>1.1499999999999999</v>
      </c>
    </row>
    <row r="10" spans="1:36" x14ac:dyDescent="0.25">
      <c r="A10" s="24">
        <v>6</v>
      </c>
      <c r="B10" s="25">
        <v>1.1499999999999999</v>
      </c>
      <c r="C10" s="25">
        <v>1.3</v>
      </c>
    </row>
    <row r="11" spans="1:36" x14ac:dyDescent="0.25">
      <c r="A11" s="24">
        <v>7</v>
      </c>
      <c r="B11" s="25">
        <v>1.3</v>
      </c>
      <c r="C11" s="25">
        <v>1.45</v>
      </c>
    </row>
    <row r="12" spans="1:36" x14ac:dyDescent="0.25">
      <c r="A12" s="24">
        <v>8</v>
      </c>
      <c r="B12" s="25">
        <v>1.45</v>
      </c>
      <c r="C12" s="25">
        <v>2</v>
      </c>
    </row>
    <row r="13" spans="1:36" x14ac:dyDescent="0.25">
      <c r="A13" s="24">
        <v>9</v>
      </c>
      <c r="B13" s="25">
        <v>2</v>
      </c>
      <c r="C13" s="25">
        <v>2.15</v>
      </c>
    </row>
    <row r="14" spans="1:36" x14ac:dyDescent="0.25">
      <c r="A14" s="24">
        <v>10</v>
      </c>
      <c r="B14" s="25">
        <v>2.15</v>
      </c>
      <c r="C14" s="25">
        <v>2.2999999999999998</v>
      </c>
    </row>
    <row r="15" spans="1:36" x14ac:dyDescent="0.25">
      <c r="A15" s="24">
        <v>11</v>
      </c>
      <c r="B15" s="25">
        <v>2.2999999999999998</v>
      </c>
      <c r="C15" s="25">
        <v>2.4500000000000002</v>
      </c>
    </row>
    <row r="16" spans="1:36" x14ac:dyDescent="0.25">
      <c r="A16" s="24">
        <v>12</v>
      </c>
      <c r="B16" s="25">
        <v>2.4500000000000002</v>
      </c>
      <c r="C16" s="25">
        <v>3</v>
      </c>
    </row>
    <row r="17" spans="1:3" x14ac:dyDescent="0.25">
      <c r="A17" s="24">
        <v>13</v>
      </c>
      <c r="B17" s="25">
        <v>3</v>
      </c>
      <c r="C17" s="25">
        <v>3.15</v>
      </c>
    </row>
    <row r="18" spans="1:3" x14ac:dyDescent="0.25">
      <c r="A18" s="24">
        <v>14</v>
      </c>
      <c r="B18" s="25">
        <v>3.15</v>
      </c>
      <c r="C18" s="25">
        <v>3.3</v>
      </c>
    </row>
    <row r="19" spans="1:3" x14ac:dyDescent="0.25">
      <c r="A19" s="24">
        <v>15</v>
      </c>
      <c r="B19" s="25">
        <v>3.3</v>
      </c>
      <c r="C19" s="25">
        <v>3.45</v>
      </c>
    </row>
    <row r="20" spans="1:3" x14ac:dyDescent="0.25">
      <c r="A20" s="24">
        <v>16</v>
      </c>
      <c r="B20" s="25">
        <v>3.45</v>
      </c>
      <c r="C20" s="25">
        <v>4</v>
      </c>
    </row>
    <row r="21" spans="1:3" x14ac:dyDescent="0.25">
      <c r="A21" s="24">
        <v>17</v>
      </c>
      <c r="B21" s="25">
        <v>4</v>
      </c>
      <c r="C21" s="25">
        <v>4.1500000000000004</v>
      </c>
    </row>
    <row r="22" spans="1:3" x14ac:dyDescent="0.25">
      <c r="A22" s="24">
        <v>18</v>
      </c>
      <c r="B22" s="25">
        <v>4.1500000000000004</v>
      </c>
      <c r="C22" s="25">
        <v>4.3</v>
      </c>
    </row>
    <row r="23" spans="1:3" x14ac:dyDescent="0.25">
      <c r="A23" s="24">
        <v>19</v>
      </c>
      <c r="B23" s="25">
        <v>4.3</v>
      </c>
      <c r="C23" s="25">
        <v>4.45</v>
      </c>
    </row>
    <row r="24" spans="1:3" x14ac:dyDescent="0.25">
      <c r="A24" s="24">
        <v>20</v>
      </c>
      <c r="B24" s="25">
        <v>4.45</v>
      </c>
      <c r="C24" s="25">
        <v>5</v>
      </c>
    </row>
    <row r="25" spans="1:3" x14ac:dyDescent="0.25">
      <c r="A25" s="24">
        <v>21</v>
      </c>
      <c r="B25" s="25">
        <v>5</v>
      </c>
      <c r="C25" s="25">
        <v>5.15</v>
      </c>
    </row>
    <row r="26" spans="1:3" x14ac:dyDescent="0.25">
      <c r="A26" s="24">
        <v>22</v>
      </c>
      <c r="B26" s="25">
        <v>5.15</v>
      </c>
      <c r="C26" s="25">
        <v>5.3</v>
      </c>
    </row>
    <row r="27" spans="1:3" x14ac:dyDescent="0.25">
      <c r="A27" s="24">
        <v>23</v>
      </c>
      <c r="B27" s="25">
        <v>5.3</v>
      </c>
      <c r="C27" s="25">
        <v>5.45</v>
      </c>
    </row>
    <row r="28" spans="1:3" x14ac:dyDescent="0.25">
      <c r="A28" s="24">
        <v>24</v>
      </c>
      <c r="B28" s="25">
        <v>5.45</v>
      </c>
      <c r="C28" s="25">
        <v>6</v>
      </c>
    </row>
    <row r="29" spans="1:3" x14ac:dyDescent="0.25">
      <c r="A29" s="24">
        <v>25</v>
      </c>
      <c r="B29" s="25">
        <v>6</v>
      </c>
      <c r="C29" s="25">
        <v>6.15</v>
      </c>
    </row>
    <row r="30" spans="1:3" x14ac:dyDescent="0.25">
      <c r="A30" s="24">
        <v>26</v>
      </c>
      <c r="B30" s="25">
        <v>6.15</v>
      </c>
      <c r="C30" s="25">
        <v>6.3</v>
      </c>
    </row>
    <row r="31" spans="1:3" x14ac:dyDescent="0.25">
      <c r="A31" s="24">
        <v>27</v>
      </c>
      <c r="B31" s="25">
        <v>6.3</v>
      </c>
      <c r="C31" s="25">
        <v>6.45</v>
      </c>
    </row>
    <row r="32" spans="1:3" x14ac:dyDescent="0.25">
      <c r="A32" s="24">
        <v>28</v>
      </c>
      <c r="B32" s="25">
        <v>6.45</v>
      </c>
      <c r="C32" s="25">
        <v>7</v>
      </c>
    </row>
    <row r="33" spans="1:3" x14ac:dyDescent="0.25">
      <c r="A33" s="24">
        <v>29</v>
      </c>
      <c r="B33" s="25">
        <v>7</v>
      </c>
      <c r="C33" s="25">
        <v>7.15</v>
      </c>
    </row>
    <row r="34" spans="1:3" x14ac:dyDescent="0.25">
      <c r="A34" s="24">
        <v>30</v>
      </c>
      <c r="B34" s="25">
        <v>7.15</v>
      </c>
      <c r="C34" s="25">
        <v>7.3</v>
      </c>
    </row>
    <row r="35" spans="1:3" x14ac:dyDescent="0.25">
      <c r="A35" s="24">
        <v>31</v>
      </c>
      <c r="B35" s="25">
        <v>7.3</v>
      </c>
      <c r="C35" s="25">
        <v>7.45</v>
      </c>
    </row>
    <row r="36" spans="1:3" x14ac:dyDescent="0.25">
      <c r="A36" s="24">
        <v>32</v>
      </c>
      <c r="B36" s="25">
        <v>7.45</v>
      </c>
      <c r="C36" s="25">
        <v>8</v>
      </c>
    </row>
    <row r="37" spans="1:3" x14ac:dyDescent="0.25">
      <c r="A37" s="24">
        <v>33</v>
      </c>
      <c r="B37" s="25">
        <v>8</v>
      </c>
      <c r="C37" s="25">
        <v>8.15</v>
      </c>
    </row>
    <row r="38" spans="1:3" x14ac:dyDescent="0.25">
      <c r="A38" s="24">
        <v>34</v>
      </c>
      <c r="B38" s="25">
        <v>8.15</v>
      </c>
      <c r="C38" s="28">
        <v>8.3000000000000007</v>
      </c>
    </row>
    <row r="39" spans="1:3" x14ac:dyDescent="0.25">
      <c r="A39" s="24">
        <v>35</v>
      </c>
      <c r="B39" s="25">
        <v>8.3000000000000007</v>
      </c>
      <c r="C39" s="25">
        <v>8.4499999999999993</v>
      </c>
    </row>
    <row r="40" spans="1:3" x14ac:dyDescent="0.25">
      <c r="A40" s="24">
        <v>36</v>
      </c>
      <c r="B40" s="25">
        <v>8.4499999999999993</v>
      </c>
      <c r="C40" s="25">
        <v>9</v>
      </c>
    </row>
    <row r="41" spans="1:3" x14ac:dyDescent="0.25">
      <c r="A41" s="24">
        <v>37</v>
      </c>
      <c r="B41" s="25">
        <v>9</v>
      </c>
      <c r="C41" s="25">
        <v>9.15</v>
      </c>
    </row>
    <row r="42" spans="1:3" x14ac:dyDescent="0.25">
      <c r="A42" s="24">
        <v>38</v>
      </c>
      <c r="B42" s="28">
        <v>9.15</v>
      </c>
      <c r="C42" s="28">
        <v>9.3000000000000007</v>
      </c>
    </row>
    <row r="43" spans="1:3" x14ac:dyDescent="0.25">
      <c r="A43" s="24">
        <v>39</v>
      </c>
      <c r="B43" s="25">
        <v>9.3000000000000007</v>
      </c>
      <c r="C43" s="25">
        <v>9.4499999999999993</v>
      </c>
    </row>
    <row r="44" spans="1:3" x14ac:dyDescent="0.25">
      <c r="A44" s="24">
        <v>40</v>
      </c>
      <c r="B44" s="25">
        <v>9.4499999999999993</v>
      </c>
      <c r="C44" s="25">
        <v>10</v>
      </c>
    </row>
    <row r="45" spans="1:3" x14ac:dyDescent="0.25">
      <c r="A45" s="24">
        <v>41</v>
      </c>
      <c r="B45" s="25">
        <v>10</v>
      </c>
      <c r="C45" s="25">
        <v>10.15</v>
      </c>
    </row>
    <row r="46" spans="1:3" x14ac:dyDescent="0.25">
      <c r="A46" s="24">
        <v>42</v>
      </c>
      <c r="B46" s="25">
        <v>10.15</v>
      </c>
      <c r="C46" s="25">
        <v>10.3</v>
      </c>
    </row>
    <row r="47" spans="1:3" x14ac:dyDescent="0.25">
      <c r="A47" s="24">
        <v>43</v>
      </c>
      <c r="B47" s="25">
        <v>10.3</v>
      </c>
      <c r="C47" s="25">
        <v>10.45</v>
      </c>
    </row>
    <row r="48" spans="1:3" x14ac:dyDescent="0.25">
      <c r="A48" s="24">
        <v>44</v>
      </c>
      <c r="B48" s="25">
        <v>10.45</v>
      </c>
      <c r="C48" s="25">
        <v>11</v>
      </c>
    </row>
    <row r="49" spans="1:3" x14ac:dyDescent="0.25">
      <c r="A49" s="24">
        <v>45</v>
      </c>
      <c r="B49" s="25">
        <v>11</v>
      </c>
      <c r="C49" s="25">
        <v>11.15</v>
      </c>
    </row>
    <row r="50" spans="1:3" x14ac:dyDescent="0.25">
      <c r="A50" s="24">
        <v>46</v>
      </c>
      <c r="B50" s="25">
        <v>11.15</v>
      </c>
      <c r="C50" s="25">
        <v>11.3</v>
      </c>
    </row>
    <row r="51" spans="1:3" x14ac:dyDescent="0.25">
      <c r="A51" s="24">
        <v>47</v>
      </c>
      <c r="B51" s="25">
        <v>11.3</v>
      </c>
      <c r="C51" s="25">
        <v>11.45</v>
      </c>
    </row>
    <row r="52" spans="1:3" x14ac:dyDescent="0.25">
      <c r="A52" s="24">
        <v>48</v>
      </c>
      <c r="B52" s="25">
        <v>11.45</v>
      </c>
      <c r="C52" s="25">
        <v>12</v>
      </c>
    </row>
    <row r="53" spans="1:3" x14ac:dyDescent="0.25">
      <c r="A53" s="24">
        <v>49</v>
      </c>
      <c r="B53" s="25">
        <v>12</v>
      </c>
      <c r="C53" s="25">
        <v>12.15</v>
      </c>
    </row>
    <row r="54" spans="1:3" x14ac:dyDescent="0.25">
      <c r="A54" s="24">
        <v>50</v>
      </c>
      <c r="B54" s="25">
        <v>12.15</v>
      </c>
      <c r="C54" s="25">
        <v>12.3</v>
      </c>
    </row>
    <row r="55" spans="1:3" x14ac:dyDescent="0.25">
      <c r="A55" s="24">
        <v>51</v>
      </c>
      <c r="B55" s="25">
        <v>12.3</v>
      </c>
      <c r="C55" s="25">
        <v>12.45</v>
      </c>
    </row>
    <row r="56" spans="1:3" x14ac:dyDescent="0.25">
      <c r="A56" s="24">
        <v>52</v>
      </c>
      <c r="B56" s="25">
        <v>12.45</v>
      </c>
      <c r="C56" s="25">
        <v>13</v>
      </c>
    </row>
    <row r="57" spans="1:3" x14ac:dyDescent="0.25">
      <c r="A57" s="24">
        <v>53</v>
      </c>
      <c r="B57" s="25">
        <v>13</v>
      </c>
      <c r="C57" s="25">
        <v>13.15</v>
      </c>
    </row>
    <row r="58" spans="1:3" x14ac:dyDescent="0.25">
      <c r="A58" s="24">
        <v>54</v>
      </c>
      <c r="B58" s="25">
        <v>13.15</v>
      </c>
      <c r="C58" s="25">
        <v>13.3</v>
      </c>
    </row>
    <row r="59" spans="1:3" x14ac:dyDescent="0.25">
      <c r="A59" s="24">
        <v>55</v>
      </c>
      <c r="B59" s="25">
        <v>13.3</v>
      </c>
      <c r="C59" s="25">
        <v>13.45</v>
      </c>
    </row>
    <row r="60" spans="1:3" x14ac:dyDescent="0.25">
      <c r="A60" s="24">
        <v>56</v>
      </c>
      <c r="B60" s="25">
        <v>13.45</v>
      </c>
      <c r="C60" s="25">
        <v>14</v>
      </c>
    </row>
    <row r="61" spans="1:3" x14ac:dyDescent="0.25">
      <c r="A61" s="24">
        <v>57</v>
      </c>
      <c r="B61" s="25">
        <v>14</v>
      </c>
      <c r="C61" s="25">
        <v>14.15</v>
      </c>
    </row>
    <row r="62" spans="1:3" x14ac:dyDescent="0.25">
      <c r="A62" s="24">
        <v>58</v>
      </c>
      <c r="B62" s="25">
        <v>14.15</v>
      </c>
      <c r="C62" s="25">
        <v>14.3</v>
      </c>
    </row>
    <row r="63" spans="1:3" x14ac:dyDescent="0.25">
      <c r="A63" s="24">
        <v>59</v>
      </c>
      <c r="B63" s="25">
        <v>14.3</v>
      </c>
      <c r="C63" s="25">
        <v>14.45</v>
      </c>
    </row>
    <row r="64" spans="1:3" x14ac:dyDescent="0.25">
      <c r="A64" s="24">
        <v>60</v>
      </c>
      <c r="B64" s="25">
        <v>14.45</v>
      </c>
      <c r="C64" s="25">
        <v>15</v>
      </c>
    </row>
    <row r="65" spans="1:3" x14ac:dyDescent="0.25">
      <c r="A65" s="24">
        <v>61</v>
      </c>
      <c r="B65" s="25">
        <v>15</v>
      </c>
      <c r="C65" s="25">
        <v>15.15</v>
      </c>
    </row>
    <row r="66" spans="1:3" x14ac:dyDescent="0.25">
      <c r="A66" s="24">
        <v>62</v>
      </c>
      <c r="B66" s="25">
        <v>15.15</v>
      </c>
      <c r="C66" s="25">
        <v>15.3</v>
      </c>
    </row>
    <row r="67" spans="1:3" x14ac:dyDescent="0.25">
      <c r="A67" s="24">
        <v>63</v>
      </c>
      <c r="B67" s="25">
        <v>15.3</v>
      </c>
      <c r="C67" s="25">
        <v>15.45</v>
      </c>
    </row>
    <row r="68" spans="1:3" x14ac:dyDescent="0.25">
      <c r="A68" s="24">
        <v>64</v>
      </c>
      <c r="B68" s="25">
        <v>15.45</v>
      </c>
      <c r="C68" s="25">
        <v>16</v>
      </c>
    </row>
    <row r="69" spans="1:3" x14ac:dyDescent="0.25">
      <c r="A69" s="24">
        <v>65</v>
      </c>
      <c r="B69" s="25">
        <v>16</v>
      </c>
      <c r="C69" s="25">
        <v>16.149999999999999</v>
      </c>
    </row>
    <row r="70" spans="1:3" x14ac:dyDescent="0.25">
      <c r="A70" s="24">
        <v>66</v>
      </c>
      <c r="B70" s="25">
        <v>16.149999999999999</v>
      </c>
      <c r="C70" s="25">
        <v>16.3</v>
      </c>
    </row>
    <row r="71" spans="1:3" x14ac:dyDescent="0.25">
      <c r="A71" s="24">
        <v>67</v>
      </c>
      <c r="B71" s="25">
        <v>16.3</v>
      </c>
      <c r="C71" s="25">
        <v>16.45</v>
      </c>
    </row>
    <row r="72" spans="1:3" x14ac:dyDescent="0.25">
      <c r="A72" s="24">
        <v>68</v>
      </c>
      <c r="B72" s="25">
        <v>16.45</v>
      </c>
      <c r="C72" s="25">
        <v>17</v>
      </c>
    </row>
    <row r="73" spans="1:3" x14ac:dyDescent="0.25">
      <c r="A73" s="24">
        <v>69</v>
      </c>
      <c r="B73" s="25">
        <v>17</v>
      </c>
      <c r="C73" s="25">
        <v>17.149999999999999</v>
      </c>
    </row>
    <row r="74" spans="1:3" x14ac:dyDescent="0.25">
      <c r="A74" s="24">
        <v>70</v>
      </c>
      <c r="B74" s="25">
        <v>17.149999999999999</v>
      </c>
      <c r="C74" s="25">
        <v>17.3</v>
      </c>
    </row>
    <row r="75" spans="1:3" x14ac:dyDescent="0.25">
      <c r="A75" s="24">
        <v>71</v>
      </c>
      <c r="B75" s="25">
        <v>17.3</v>
      </c>
      <c r="C75" s="25">
        <v>17.45</v>
      </c>
    </row>
    <row r="76" spans="1:3" x14ac:dyDescent="0.25">
      <c r="A76" s="24">
        <v>72</v>
      </c>
      <c r="B76" s="25">
        <v>17.45</v>
      </c>
      <c r="C76" s="25">
        <v>18</v>
      </c>
    </row>
    <row r="77" spans="1:3" x14ac:dyDescent="0.25">
      <c r="A77" s="24">
        <v>73</v>
      </c>
      <c r="B77" s="25">
        <v>18</v>
      </c>
      <c r="C77" s="25">
        <v>18.149999999999999</v>
      </c>
    </row>
    <row r="78" spans="1:3" x14ac:dyDescent="0.25">
      <c r="A78" s="24">
        <v>74</v>
      </c>
      <c r="B78" s="25">
        <v>18.149999999999999</v>
      </c>
      <c r="C78" s="25">
        <v>18.3</v>
      </c>
    </row>
    <row r="79" spans="1:3" x14ac:dyDescent="0.25">
      <c r="A79" s="24">
        <v>75</v>
      </c>
      <c r="B79" s="25">
        <v>18.3</v>
      </c>
      <c r="C79" s="25">
        <v>18.45</v>
      </c>
    </row>
    <row r="80" spans="1:3" x14ac:dyDescent="0.25">
      <c r="A80" s="24">
        <v>76</v>
      </c>
      <c r="B80" s="25">
        <v>18.45</v>
      </c>
      <c r="C80" s="25">
        <v>19</v>
      </c>
    </row>
    <row r="81" spans="1:3" x14ac:dyDescent="0.25">
      <c r="A81" s="24">
        <v>77</v>
      </c>
      <c r="B81" s="25">
        <v>19</v>
      </c>
      <c r="C81" s="25">
        <v>19.149999999999999</v>
      </c>
    </row>
    <row r="82" spans="1:3" x14ac:dyDescent="0.25">
      <c r="A82" s="24">
        <v>78</v>
      </c>
      <c r="B82" s="25">
        <v>19.149999999999999</v>
      </c>
      <c r="C82" s="25">
        <v>19.3</v>
      </c>
    </row>
    <row r="83" spans="1:3" x14ac:dyDescent="0.25">
      <c r="A83" s="24">
        <v>79</v>
      </c>
      <c r="B83" s="25">
        <v>19.3</v>
      </c>
      <c r="C83" s="25">
        <v>19.45</v>
      </c>
    </row>
    <row r="84" spans="1:3" x14ac:dyDescent="0.25">
      <c r="A84" s="24">
        <v>80</v>
      </c>
      <c r="B84" s="25">
        <v>19.45</v>
      </c>
      <c r="C84" s="25">
        <v>20</v>
      </c>
    </row>
    <row r="85" spans="1:3" x14ac:dyDescent="0.25">
      <c r="A85" s="24">
        <v>81</v>
      </c>
      <c r="B85" s="25">
        <v>20</v>
      </c>
      <c r="C85" s="25">
        <v>20.149999999999999</v>
      </c>
    </row>
    <row r="86" spans="1:3" x14ac:dyDescent="0.25">
      <c r="A86" s="24">
        <v>82</v>
      </c>
      <c r="B86" s="25">
        <v>20.149999999999999</v>
      </c>
      <c r="C86" s="25">
        <v>20.3</v>
      </c>
    </row>
    <row r="87" spans="1:3" x14ac:dyDescent="0.25">
      <c r="A87" s="24">
        <v>83</v>
      </c>
      <c r="B87" s="25">
        <v>20.3</v>
      </c>
      <c r="C87" s="25">
        <v>20.45</v>
      </c>
    </row>
    <row r="88" spans="1:3" x14ac:dyDescent="0.25">
      <c r="A88" s="24">
        <v>84</v>
      </c>
      <c r="B88" s="25">
        <v>20.45</v>
      </c>
      <c r="C88" s="25">
        <v>21</v>
      </c>
    </row>
    <row r="89" spans="1:3" x14ac:dyDescent="0.25">
      <c r="A89" s="24">
        <v>85</v>
      </c>
      <c r="B89" s="25">
        <v>21</v>
      </c>
      <c r="C89" s="25">
        <v>21.15</v>
      </c>
    </row>
    <row r="90" spans="1:3" x14ac:dyDescent="0.25">
      <c r="A90" s="24">
        <v>86</v>
      </c>
      <c r="B90" s="25">
        <v>21.15</v>
      </c>
      <c r="C90" s="25">
        <v>21.3</v>
      </c>
    </row>
    <row r="91" spans="1:3" x14ac:dyDescent="0.25">
      <c r="A91" s="24">
        <v>87</v>
      </c>
      <c r="B91" s="25">
        <v>21.3</v>
      </c>
      <c r="C91" s="25">
        <v>21.45</v>
      </c>
    </row>
    <row r="92" spans="1:3" x14ac:dyDescent="0.25">
      <c r="A92" s="24">
        <v>88</v>
      </c>
      <c r="B92" s="25">
        <v>21.45</v>
      </c>
      <c r="C92" s="25">
        <v>22</v>
      </c>
    </row>
    <row r="93" spans="1:3" x14ac:dyDescent="0.25">
      <c r="A93" s="24">
        <v>89</v>
      </c>
      <c r="B93" s="25">
        <v>22</v>
      </c>
      <c r="C93" s="25">
        <v>22.15</v>
      </c>
    </row>
    <row r="94" spans="1:3" x14ac:dyDescent="0.25">
      <c r="A94" s="24">
        <v>90</v>
      </c>
      <c r="B94" s="25">
        <v>22.15</v>
      </c>
      <c r="C94" s="25">
        <v>22.3</v>
      </c>
    </row>
    <row r="95" spans="1:3" x14ac:dyDescent="0.25">
      <c r="A95" s="24">
        <v>91</v>
      </c>
      <c r="B95" s="25">
        <v>22.3</v>
      </c>
      <c r="C95" s="25">
        <v>22.45</v>
      </c>
    </row>
    <row r="96" spans="1:3" x14ac:dyDescent="0.25">
      <c r="A96" s="24">
        <v>92</v>
      </c>
      <c r="B96" s="25">
        <v>22.45</v>
      </c>
      <c r="C96" s="25">
        <v>23</v>
      </c>
    </row>
    <row r="97" spans="1:3" x14ac:dyDescent="0.25">
      <c r="A97" s="24">
        <v>93</v>
      </c>
      <c r="B97" s="25">
        <v>23</v>
      </c>
      <c r="C97" s="25">
        <v>23.15</v>
      </c>
    </row>
    <row r="98" spans="1:3" x14ac:dyDescent="0.25">
      <c r="A98" s="24">
        <v>94</v>
      </c>
      <c r="B98" s="25">
        <v>23.15</v>
      </c>
      <c r="C98" s="25">
        <v>23.3</v>
      </c>
    </row>
    <row r="99" spans="1:3" x14ac:dyDescent="0.25">
      <c r="A99" s="24">
        <v>95</v>
      </c>
      <c r="B99" s="25">
        <v>23.3</v>
      </c>
      <c r="C99" s="25">
        <v>23.45</v>
      </c>
    </row>
    <row r="100" spans="1:3" x14ac:dyDescent="0.25">
      <c r="A100" s="76">
        <v>96</v>
      </c>
      <c r="B100" s="25">
        <v>23.45</v>
      </c>
      <c r="C100" s="25">
        <v>24</v>
      </c>
    </row>
  </sheetData>
  <mergeCells count="2">
    <mergeCell ref="A1:C2"/>
    <mergeCell ref="D1:D2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/>
  <dimension ref="A1:AF18"/>
  <sheetViews>
    <sheetView workbookViewId="0">
      <selection activeCell="A6" sqref="A6:XFD6"/>
    </sheetView>
  </sheetViews>
  <sheetFormatPr defaultRowHeight="15" x14ac:dyDescent="0.25"/>
  <cols>
    <col min="2" max="2" width="8.85546875" customWidth="1"/>
    <col min="3" max="3" width="10.42578125" bestFit="1" customWidth="1"/>
    <col min="4" max="5" width="8.85546875" customWidth="1"/>
  </cols>
  <sheetData>
    <row r="1" spans="1:32" x14ac:dyDescent="0.25">
      <c r="A1" t="s">
        <v>76</v>
      </c>
      <c r="D1" t="s">
        <v>79</v>
      </c>
      <c r="E1" t="s">
        <v>22</v>
      </c>
    </row>
    <row r="2" spans="1:32" s="71" customFormat="1" x14ac:dyDescent="0.25">
      <c r="B2" s="71" t="s">
        <v>75</v>
      </c>
      <c r="C2" s="71" t="s">
        <v>75</v>
      </c>
      <c r="D2" s="71" t="s">
        <v>75</v>
      </c>
      <c r="E2" s="71" t="s">
        <v>75</v>
      </c>
      <c r="F2" s="71" t="s">
        <v>75</v>
      </c>
      <c r="G2" s="71" t="s">
        <v>75</v>
      </c>
      <c r="H2" s="71" t="s">
        <v>75</v>
      </c>
      <c r="I2" s="71" t="s">
        <v>75</v>
      </c>
      <c r="J2" s="71" t="s">
        <v>75</v>
      </c>
      <c r="K2" s="71" t="s">
        <v>75</v>
      </c>
      <c r="L2" s="71" t="s">
        <v>75</v>
      </c>
      <c r="M2" s="71" t="s">
        <v>75</v>
      </c>
      <c r="N2" s="71" t="s">
        <v>75</v>
      </c>
      <c r="O2" s="71" t="s">
        <v>75</v>
      </c>
      <c r="P2" s="71" t="s">
        <v>75</v>
      </c>
      <c r="Q2" s="71" t="s">
        <v>75</v>
      </c>
      <c r="R2" s="71" t="s">
        <v>75</v>
      </c>
      <c r="S2" s="71" t="s">
        <v>75</v>
      </c>
      <c r="T2" s="71" t="s">
        <v>75</v>
      </c>
      <c r="U2" s="71" t="s">
        <v>75</v>
      </c>
      <c r="V2" s="71" t="s">
        <v>75</v>
      </c>
      <c r="W2" s="71" t="s">
        <v>75</v>
      </c>
      <c r="X2" s="71" t="s">
        <v>75</v>
      </c>
      <c r="Y2" s="71" t="s">
        <v>75</v>
      </c>
      <c r="Z2" s="71" t="s">
        <v>75</v>
      </c>
      <c r="AA2" s="71" t="s">
        <v>75</v>
      </c>
      <c r="AB2" s="71" t="s">
        <v>75</v>
      </c>
      <c r="AC2" s="71" t="s">
        <v>75</v>
      </c>
    </row>
    <row r="3" spans="1:32" s="71" customFormat="1" x14ac:dyDescent="0.25">
      <c r="A3"/>
      <c r="B3">
        <v>10</v>
      </c>
      <c r="C3" s="72" t="s">
        <v>1456</v>
      </c>
      <c r="D3" s="71" t="s">
        <v>82</v>
      </c>
      <c r="E3" s="71" t="s">
        <v>81</v>
      </c>
      <c r="F3" s="71" t="s">
        <v>80</v>
      </c>
      <c r="G3" s="71" t="s">
        <v>80</v>
      </c>
      <c r="H3" s="71" t="s">
        <v>80</v>
      </c>
      <c r="I3" s="71" t="s">
        <v>80</v>
      </c>
      <c r="J3" s="71" t="s">
        <v>80</v>
      </c>
      <c r="K3" s="71" t="s">
        <v>80</v>
      </c>
      <c r="L3" s="71" t="s">
        <v>80</v>
      </c>
      <c r="M3" s="71" t="s">
        <v>80</v>
      </c>
      <c r="N3" s="71" t="s">
        <v>80</v>
      </c>
      <c r="O3" s="71" t="s">
        <v>80</v>
      </c>
      <c r="P3" s="71" t="s">
        <v>80</v>
      </c>
      <c r="Q3" s="71" t="s">
        <v>80</v>
      </c>
      <c r="R3" s="71" t="s">
        <v>80</v>
      </c>
      <c r="S3" s="71" t="s">
        <v>80</v>
      </c>
      <c r="T3" s="71" t="s">
        <v>80</v>
      </c>
      <c r="U3" s="71" t="s">
        <v>80</v>
      </c>
      <c r="V3" s="71" t="s">
        <v>80</v>
      </c>
      <c r="W3" s="71" t="s">
        <v>80</v>
      </c>
      <c r="X3" s="71" t="s">
        <v>80</v>
      </c>
      <c r="Y3" s="71" t="s">
        <v>80</v>
      </c>
      <c r="Z3" s="71" t="s">
        <v>80</v>
      </c>
      <c r="AA3" s="71" t="s">
        <v>80</v>
      </c>
      <c r="AB3" s="71" t="s">
        <v>80</v>
      </c>
      <c r="AC3" s="71" t="s">
        <v>80</v>
      </c>
    </row>
    <row r="5" spans="1:32" x14ac:dyDescent="0.25">
      <c r="A5" t="s">
        <v>77</v>
      </c>
      <c r="D5" t="s">
        <v>84</v>
      </c>
    </row>
    <row r="6" spans="1:32" x14ac:dyDescent="0.25">
      <c r="C6" s="71" t="s">
        <v>75</v>
      </c>
      <c r="D6" s="71" t="s">
        <v>75</v>
      </c>
      <c r="E6" s="71" t="s">
        <v>75</v>
      </c>
      <c r="F6" s="71" t="s">
        <v>75</v>
      </c>
    </row>
    <row r="7" spans="1:32" x14ac:dyDescent="0.25">
      <c r="B7">
        <v>12</v>
      </c>
      <c r="C7" s="72" t="s">
        <v>1456</v>
      </c>
      <c r="D7" s="71" t="s">
        <v>83</v>
      </c>
      <c r="E7" s="71" t="s">
        <v>83</v>
      </c>
      <c r="F7" s="71" t="s">
        <v>83</v>
      </c>
      <c r="G7" s="71" t="s">
        <v>83</v>
      </c>
      <c r="H7" s="71" t="s">
        <v>83</v>
      </c>
      <c r="I7" s="71" t="s">
        <v>83</v>
      </c>
      <c r="J7" s="71" t="s">
        <v>83</v>
      </c>
      <c r="K7" s="71" t="s">
        <v>83</v>
      </c>
      <c r="L7" s="71" t="s">
        <v>83</v>
      </c>
      <c r="M7" s="71" t="s">
        <v>83</v>
      </c>
      <c r="N7" s="71" t="s">
        <v>83</v>
      </c>
      <c r="O7" s="71" t="s">
        <v>83</v>
      </c>
      <c r="P7" s="71" t="s">
        <v>83</v>
      </c>
      <c r="Q7" s="71" t="s">
        <v>83</v>
      </c>
      <c r="R7" s="71" t="s">
        <v>83</v>
      </c>
      <c r="S7" s="71" t="s">
        <v>83</v>
      </c>
      <c r="T7" s="71" t="s">
        <v>83</v>
      </c>
      <c r="U7" s="71" t="s">
        <v>83</v>
      </c>
      <c r="V7" s="71" t="s">
        <v>83</v>
      </c>
      <c r="W7" s="71" t="s">
        <v>83</v>
      </c>
      <c r="X7" s="71" t="s">
        <v>83</v>
      </c>
      <c r="Y7" s="71" t="s">
        <v>83</v>
      </c>
      <c r="Z7" s="71" t="s">
        <v>83</v>
      </c>
      <c r="AA7" s="71" t="s">
        <v>83</v>
      </c>
      <c r="AB7" s="71" t="s">
        <v>83</v>
      </c>
      <c r="AC7" s="71"/>
      <c r="AD7" s="71"/>
      <c r="AE7" s="71"/>
      <c r="AF7" s="71"/>
    </row>
    <row r="11" spans="1:32" x14ac:dyDescent="0.25">
      <c r="D11" t="s">
        <v>85</v>
      </c>
      <c r="E11" t="s">
        <v>81</v>
      </c>
    </row>
    <row r="17" spans="2:2" x14ac:dyDescent="0.25">
      <c r="B17">
        <v>9</v>
      </c>
    </row>
    <row r="18" spans="2:2" x14ac:dyDescent="0.25">
      <c r="B18">
        <v>12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B501"/>
  <sheetViews>
    <sheetView workbookViewId="0">
      <selection activeCell="B5" sqref="B5"/>
    </sheetView>
  </sheetViews>
  <sheetFormatPr defaultRowHeight="15" x14ac:dyDescent="0.25"/>
  <cols>
    <col min="1" max="1" width="15.140625" bestFit="1" customWidth="1"/>
  </cols>
  <sheetData>
    <row r="1" spans="1:2" x14ac:dyDescent="0.25">
      <c r="A1" s="74" t="str">
        <f>CustomerData!B:B</f>
        <v>CustomerName</v>
      </c>
      <c r="B1" s="74" t="str">
        <f>CustomerData!A:A</f>
        <v>Id</v>
      </c>
    </row>
    <row r="2" spans="1:2" x14ac:dyDescent="0.25">
      <c r="A2" s="74" t="str">
        <f>CustomerData!B:B</f>
        <v>APL_M_DC_TOTAL</v>
      </c>
      <c r="B2" s="74">
        <f>CustomerData!A:A</f>
        <v>1</v>
      </c>
    </row>
    <row r="3" spans="1:2" x14ac:dyDescent="0.25">
      <c r="A3" s="74" t="str">
        <f>CustomerData!B:B</f>
        <v>APL_M_FUEL_COST</v>
      </c>
      <c r="B3" s="74">
        <f>CustomerData!A:A</f>
        <v>2</v>
      </c>
    </row>
    <row r="4" spans="1:2" x14ac:dyDescent="0.25">
      <c r="A4" s="74" t="str">
        <f>CustomerData!B:B</f>
        <v>APL_M_SG_TOTAL</v>
      </c>
      <c r="B4" s="74">
        <f>CustomerData!A:A</f>
        <v>3</v>
      </c>
    </row>
    <row r="5" spans="1:2" x14ac:dyDescent="0.25">
      <c r="A5" s="74" t="str">
        <f>CustomerData!B:B</f>
        <v>ABC</v>
      </c>
      <c r="B5" s="74">
        <f>CustomerData!A:A</f>
        <v>5</v>
      </c>
    </row>
    <row r="6" spans="1:2" x14ac:dyDescent="0.25">
      <c r="A6" s="74" t="str">
        <f>CustomerData!B:B</f>
        <v>Mundra_Plant</v>
      </c>
      <c r="B6" s="74">
        <f>CustomerData!A:A</f>
        <v>64</v>
      </c>
    </row>
    <row r="7" spans="1:2" x14ac:dyDescent="0.25">
      <c r="A7" s="74" t="str">
        <f>CustomerData!B:B</f>
        <v>STAGE_1</v>
      </c>
      <c r="B7" s="74">
        <f>CustomerData!A:A</f>
        <v>221</v>
      </c>
    </row>
    <row r="8" spans="1:2" x14ac:dyDescent="0.25">
      <c r="A8" s="74" t="str">
        <f>CustomerData!B:B</f>
        <v>STAGE_2</v>
      </c>
      <c r="B8" s="74">
        <f>CustomerData!A:A</f>
        <v>222</v>
      </c>
    </row>
    <row r="9" spans="1:2" x14ac:dyDescent="0.25">
      <c r="A9" s="74" t="str">
        <f>CustomerData!B:B</f>
        <v>STAGE_3</v>
      </c>
      <c r="B9" s="74">
        <f>CustomerData!A:A</f>
        <v>223</v>
      </c>
    </row>
    <row r="10" spans="1:2" x14ac:dyDescent="0.25">
      <c r="A10" s="74" t="str">
        <f>CustomerData!B:B</f>
        <v>Eracon</v>
      </c>
      <c r="B10" s="74">
        <f>CustomerData!A:A</f>
        <v>224</v>
      </c>
    </row>
    <row r="11" spans="1:2" x14ac:dyDescent="0.25">
      <c r="A11" s="74" t="str">
        <f>CustomerData!B:B</f>
        <v>Aastha_Spintex</v>
      </c>
      <c r="B11" s="74">
        <f>CustomerData!A:A</f>
        <v>225</v>
      </c>
    </row>
    <row r="12" spans="1:2" x14ac:dyDescent="0.25">
      <c r="A12" s="74" t="str">
        <f>CustomerData!B:B</f>
        <v>Acecon</v>
      </c>
      <c r="B12" s="74">
        <f>CustomerData!A:A</f>
        <v>226</v>
      </c>
    </row>
    <row r="13" spans="1:2" x14ac:dyDescent="0.25">
      <c r="A13" s="74" t="str">
        <f>CustomerData!B:B</f>
        <v>Adani_Wilmar</v>
      </c>
      <c r="B13" s="74">
        <f>CustomerData!A:A</f>
        <v>227</v>
      </c>
    </row>
    <row r="14" spans="1:2" x14ac:dyDescent="0.25">
      <c r="A14" s="74" t="str">
        <f>CustomerData!B:B</f>
        <v>ADITYA_BIRLA_NUVO</v>
      </c>
      <c r="B14" s="74">
        <f>CustomerData!A:A</f>
        <v>228</v>
      </c>
    </row>
    <row r="15" spans="1:2" x14ac:dyDescent="0.25">
      <c r="A15" s="74" t="str">
        <f>CustomerData!B:B</f>
        <v>ADLAB</v>
      </c>
      <c r="B15" s="74">
        <f>CustomerData!A:A</f>
        <v>229</v>
      </c>
    </row>
    <row r="16" spans="1:2" x14ac:dyDescent="0.25">
      <c r="A16" s="74" t="str">
        <f>CustomerData!B:B</f>
        <v>AEL_NPCL</v>
      </c>
      <c r="B16" s="74">
        <f>CustomerData!A:A</f>
        <v>230</v>
      </c>
    </row>
    <row r="17" spans="1:2" x14ac:dyDescent="0.25">
      <c r="A17" s="74" t="str">
        <f>CustomerData!B:B</f>
        <v>AEML</v>
      </c>
      <c r="B17" s="74">
        <f>CustomerData!A:A</f>
        <v>231</v>
      </c>
    </row>
    <row r="18" spans="1:2" x14ac:dyDescent="0.25">
      <c r="A18" s="74" t="str">
        <f>CustomerData!B:B</f>
        <v>AEML_Firm</v>
      </c>
      <c r="B18" s="74">
        <f>CustomerData!A:A</f>
        <v>232</v>
      </c>
    </row>
    <row r="19" spans="1:2" x14ac:dyDescent="0.25">
      <c r="A19" s="74" t="str">
        <f>CustomerData!B:B</f>
        <v>AEML_INFRA</v>
      </c>
      <c r="B19" s="74">
        <f>CustomerData!A:A</f>
        <v>233</v>
      </c>
    </row>
    <row r="20" spans="1:2" x14ac:dyDescent="0.25">
      <c r="A20" s="74" t="str">
        <f>CustomerData!B:B</f>
        <v>AEML_STU</v>
      </c>
      <c r="B20" s="74">
        <f>CustomerData!A:A</f>
        <v>234</v>
      </c>
    </row>
    <row r="21" spans="1:2" x14ac:dyDescent="0.25">
      <c r="A21" s="74" t="str">
        <f>CustomerData!B:B</f>
        <v>AIA</v>
      </c>
      <c r="B21" s="74">
        <f>CustomerData!A:A</f>
        <v>235</v>
      </c>
    </row>
    <row r="22" spans="1:2" x14ac:dyDescent="0.25">
      <c r="A22" s="74" t="str">
        <f>CustomerData!B:B</f>
        <v>Alembic</v>
      </c>
      <c r="B22" s="74">
        <f>CustomerData!A:A</f>
        <v>236</v>
      </c>
    </row>
    <row r="23" spans="1:2" x14ac:dyDescent="0.25">
      <c r="A23" s="74" t="str">
        <f>CustomerData!B:B</f>
        <v>ALICON</v>
      </c>
      <c r="B23" s="74">
        <f>CustomerData!A:A</f>
        <v>237</v>
      </c>
    </row>
    <row r="24" spans="1:2" x14ac:dyDescent="0.25">
      <c r="A24" s="74" t="str">
        <f>CustomerData!B:B</f>
        <v>Aligarh_cement</v>
      </c>
      <c r="B24" s="74">
        <f>CustomerData!A:A</f>
        <v>238</v>
      </c>
    </row>
    <row r="25" spans="1:2" x14ac:dyDescent="0.25">
      <c r="A25" s="74" t="str">
        <f>CustomerData!B:B</f>
        <v>Allana</v>
      </c>
      <c r="B25" s="74">
        <f>CustomerData!A:A</f>
        <v>239</v>
      </c>
    </row>
    <row r="26" spans="1:2" x14ac:dyDescent="0.25">
      <c r="A26" s="74" t="str">
        <f>CustomerData!B:B</f>
        <v>Ambica_Steel</v>
      </c>
      <c r="B26" s="74">
        <f>CustomerData!A:A</f>
        <v>240</v>
      </c>
    </row>
    <row r="27" spans="1:2" x14ac:dyDescent="0.25">
      <c r="A27" s="74" t="str">
        <f>CustomerData!B:B</f>
        <v>Amcor</v>
      </c>
      <c r="B27" s="74">
        <f>CustomerData!A:A</f>
        <v>241</v>
      </c>
    </row>
    <row r="28" spans="1:2" x14ac:dyDescent="0.25">
      <c r="A28" s="74" t="str">
        <f>CustomerData!B:B</f>
        <v>Antique_Marbonite</v>
      </c>
      <c r="B28" s="74">
        <f>CustomerData!A:A</f>
        <v>242</v>
      </c>
    </row>
    <row r="29" spans="1:2" x14ac:dyDescent="0.25">
      <c r="A29" s="74" t="str">
        <f>CustomerData!B:B</f>
        <v>APDCL</v>
      </c>
      <c r="B29" s="74">
        <f>CustomerData!A:A</f>
        <v>243</v>
      </c>
    </row>
    <row r="30" spans="1:2" x14ac:dyDescent="0.25">
      <c r="A30" s="74" t="str">
        <f>CustomerData!B:B</f>
        <v>APPCC</v>
      </c>
      <c r="B30" s="74">
        <f>CustomerData!A:A</f>
        <v>244</v>
      </c>
    </row>
    <row r="31" spans="1:2" x14ac:dyDescent="0.25">
      <c r="A31" s="74" t="str">
        <f>CustomerData!B:B</f>
        <v>APPCPL</v>
      </c>
      <c r="B31" s="74">
        <f>CustomerData!A:A</f>
        <v>245</v>
      </c>
    </row>
    <row r="32" spans="1:2" x14ac:dyDescent="0.25">
      <c r="A32" s="74" t="str">
        <f>CustomerData!B:B</f>
        <v>APPCPL_GINNI</v>
      </c>
      <c r="B32" s="74">
        <f>CustomerData!A:A</f>
        <v>246</v>
      </c>
    </row>
    <row r="33" spans="1:2" x14ac:dyDescent="0.25">
      <c r="A33" s="74" t="str">
        <f>CustomerData!B:B</f>
        <v>APPCPL_GOYAL</v>
      </c>
      <c r="B33" s="74">
        <f>CustomerData!A:A</f>
        <v>247</v>
      </c>
    </row>
    <row r="34" spans="1:2" x14ac:dyDescent="0.25">
      <c r="A34" s="74" t="str">
        <f>CustomerData!B:B</f>
        <v>APPCPL_HP</v>
      </c>
      <c r="B34" s="74">
        <f>CustomerData!A:A</f>
        <v>248</v>
      </c>
    </row>
    <row r="35" spans="1:2" x14ac:dyDescent="0.25">
      <c r="A35" s="74" t="str">
        <f>CustomerData!B:B</f>
        <v>APPCPL_HPSEB</v>
      </c>
      <c r="B35" s="74">
        <f>CustomerData!A:A</f>
        <v>249</v>
      </c>
    </row>
    <row r="36" spans="1:2" x14ac:dyDescent="0.25">
      <c r="A36" s="74" t="str">
        <f>CustomerData!B:B</f>
        <v>APPCPL_Meghalaya</v>
      </c>
      <c r="B36" s="74">
        <f>CustomerData!A:A</f>
        <v>250</v>
      </c>
    </row>
    <row r="37" spans="1:2" x14ac:dyDescent="0.25">
      <c r="A37" s="74" t="str">
        <f>CustomerData!B:B</f>
        <v>APPCPL_RIMJIM_ISPATH</v>
      </c>
      <c r="B37" s="74">
        <f>CustomerData!A:A</f>
        <v>251</v>
      </c>
    </row>
    <row r="38" spans="1:2" x14ac:dyDescent="0.25">
      <c r="A38" s="74" t="str">
        <f>CustomerData!B:B</f>
        <v>APPCPL_RIMJIM_STAINLESS_STEEL</v>
      </c>
      <c r="B38" s="74">
        <f>CustomerData!A:A</f>
        <v>252</v>
      </c>
    </row>
    <row r="39" spans="1:2" x14ac:dyDescent="0.25">
      <c r="A39" s="74" t="str">
        <f>CustomerData!B:B</f>
        <v>APPCPL_Sikkim</v>
      </c>
      <c r="B39" s="74">
        <f>CustomerData!A:A</f>
        <v>253</v>
      </c>
    </row>
    <row r="40" spans="1:2" x14ac:dyDescent="0.25">
      <c r="A40" s="74" t="str">
        <f>CustomerData!B:B</f>
        <v>APPCPL_UPInd</v>
      </c>
      <c r="B40" s="74">
        <f>CustomerData!A:A</f>
        <v>254</v>
      </c>
    </row>
    <row r="41" spans="1:2" x14ac:dyDescent="0.25">
      <c r="A41" s="74" t="str">
        <f>CustomerData!B:B</f>
        <v>APPPCL_BRPL</v>
      </c>
      <c r="B41" s="74">
        <f>CustomerData!A:A</f>
        <v>255</v>
      </c>
    </row>
    <row r="42" spans="1:2" x14ac:dyDescent="0.25">
      <c r="A42" s="74" t="str">
        <f>CustomerData!B:B</f>
        <v>APSPDCL</v>
      </c>
      <c r="B42" s="74">
        <f>CustomerData!A:A</f>
        <v>256</v>
      </c>
    </row>
    <row r="43" spans="1:2" x14ac:dyDescent="0.25">
      <c r="A43" s="74" t="str">
        <f>CustomerData!B:B</f>
        <v>ARPIPL</v>
      </c>
      <c r="B43" s="74">
        <f>CustomerData!A:A</f>
        <v>257</v>
      </c>
    </row>
    <row r="44" spans="1:2" x14ac:dyDescent="0.25">
      <c r="A44" s="74" t="str">
        <f>CustomerData!B:B</f>
        <v>ARVIND</v>
      </c>
      <c r="B44" s="74">
        <f>CustomerData!A:A</f>
        <v>258</v>
      </c>
    </row>
    <row r="45" spans="1:2" x14ac:dyDescent="0.25">
      <c r="A45" s="74" t="str">
        <f>CustomerData!B:B</f>
        <v>Arvind_Cotspin</v>
      </c>
      <c r="B45" s="74">
        <f>CustomerData!A:A</f>
        <v>259</v>
      </c>
    </row>
    <row r="46" spans="1:2" x14ac:dyDescent="0.25">
      <c r="A46" s="74" t="str">
        <f>CustomerData!B:B</f>
        <v>Arvind_Intex</v>
      </c>
      <c r="B46" s="74">
        <f>CustomerData!A:A</f>
        <v>260</v>
      </c>
    </row>
    <row r="47" spans="1:2" x14ac:dyDescent="0.25">
      <c r="A47" s="74" t="str">
        <f>CustomerData!B:B</f>
        <v>Arvind_Khatrej</v>
      </c>
      <c r="B47" s="74">
        <f>CustomerData!A:A</f>
        <v>261</v>
      </c>
    </row>
    <row r="48" spans="1:2" x14ac:dyDescent="0.25">
      <c r="A48" s="74" t="str">
        <f>CustomerData!B:B</f>
        <v>Arvind_Ltd_HT_8000029</v>
      </c>
      <c r="B48" s="74">
        <f>CustomerData!A:A</f>
        <v>262</v>
      </c>
    </row>
    <row r="49" spans="1:2" x14ac:dyDescent="0.25">
      <c r="A49" s="74" t="str">
        <f>CustomerData!B:B</f>
        <v>ARVIND_MILLS</v>
      </c>
      <c r="B49" s="74">
        <f>CustomerData!A:A</f>
        <v>263</v>
      </c>
    </row>
    <row r="50" spans="1:2" x14ac:dyDescent="0.25">
      <c r="A50" s="74" t="str">
        <f>CustomerData!B:B</f>
        <v>Arvind_Naroda</v>
      </c>
      <c r="B50" s="74">
        <f>CustomerData!A:A</f>
        <v>264</v>
      </c>
    </row>
    <row r="51" spans="1:2" x14ac:dyDescent="0.25">
      <c r="A51" s="74" t="str">
        <f>CustomerData!B:B</f>
        <v>Asia_polyfilms</v>
      </c>
      <c r="B51" s="74">
        <f>CustomerData!A:A</f>
        <v>265</v>
      </c>
    </row>
    <row r="52" spans="1:2" x14ac:dyDescent="0.25">
      <c r="A52" s="74" t="str">
        <f>CustomerData!B:B</f>
        <v>Asian_Color</v>
      </c>
      <c r="B52" s="74">
        <f>CustomerData!A:A</f>
        <v>266</v>
      </c>
    </row>
    <row r="53" spans="1:2" x14ac:dyDescent="0.25">
      <c r="A53" s="74" t="str">
        <f>CustomerData!B:B</f>
        <v>Asian_Granito</v>
      </c>
      <c r="B53" s="74">
        <f>CustomerData!A:A</f>
        <v>267</v>
      </c>
    </row>
    <row r="54" spans="1:2" x14ac:dyDescent="0.25">
      <c r="A54" s="74" t="str">
        <f>CustomerData!B:B</f>
        <v>ASSAM</v>
      </c>
      <c r="B54" s="74">
        <f>CustomerData!A:A</f>
        <v>268</v>
      </c>
    </row>
    <row r="55" spans="1:2" x14ac:dyDescent="0.25">
      <c r="A55" s="74" t="str">
        <f>CustomerData!B:B</f>
        <v>Astral_Dholka</v>
      </c>
      <c r="B55" s="74">
        <f>CustomerData!A:A</f>
        <v>269</v>
      </c>
    </row>
    <row r="56" spans="1:2" x14ac:dyDescent="0.25">
      <c r="A56" s="74" t="str">
        <f>CustomerData!B:B</f>
        <v>Astral_Santej</v>
      </c>
      <c r="B56" s="74">
        <f>CustomerData!A:A</f>
        <v>270</v>
      </c>
    </row>
    <row r="57" spans="1:2" x14ac:dyDescent="0.25">
      <c r="A57" s="74" t="str">
        <f>CustomerData!B:B</f>
        <v>Astral_Poly_Technik_Ltd</v>
      </c>
      <c r="B57" s="74">
        <f>CustomerData!A:A</f>
        <v>271</v>
      </c>
    </row>
    <row r="58" spans="1:2" x14ac:dyDescent="0.25">
      <c r="A58" s="74" t="str">
        <f>CustomerData!B:B</f>
        <v>ATC_Tires_Pvt._Ltd.</v>
      </c>
      <c r="B58" s="74">
        <f>CustomerData!A:A</f>
        <v>272</v>
      </c>
    </row>
    <row r="59" spans="1:2" x14ac:dyDescent="0.25">
      <c r="A59" s="74" t="str">
        <f>CustomerData!B:B</f>
        <v>ATLAS</v>
      </c>
      <c r="B59" s="74">
        <f>CustomerData!A:A</f>
        <v>273</v>
      </c>
    </row>
    <row r="60" spans="1:2" x14ac:dyDescent="0.25">
      <c r="A60" s="74" t="str">
        <f>CustomerData!B:B</f>
        <v>AXWELL_Grantio</v>
      </c>
      <c r="B60" s="74">
        <f>CustomerData!A:A</f>
        <v>274</v>
      </c>
    </row>
    <row r="61" spans="1:2" x14ac:dyDescent="0.25">
      <c r="A61" s="74" t="str">
        <f>CustomerData!B:B</f>
        <v>BALCO</v>
      </c>
      <c r="B61" s="74">
        <f>CustomerData!A:A</f>
        <v>275</v>
      </c>
    </row>
    <row r="62" spans="1:2" x14ac:dyDescent="0.25">
      <c r="A62" s="74" t="str">
        <f>CustomerData!B:B</f>
        <v>BALMER</v>
      </c>
      <c r="B62" s="74">
        <f>CustomerData!A:A</f>
        <v>276</v>
      </c>
    </row>
    <row r="63" spans="1:2" x14ac:dyDescent="0.25">
      <c r="A63" s="74" t="str">
        <f>CustomerData!B:B</f>
        <v>Bekaert</v>
      </c>
      <c r="B63" s="74">
        <f>CustomerData!A:A</f>
        <v>277</v>
      </c>
    </row>
    <row r="64" spans="1:2" x14ac:dyDescent="0.25">
      <c r="A64" s="74" t="str">
        <f>CustomerData!B:B</f>
        <v>BESCOM</v>
      </c>
      <c r="B64" s="74">
        <f>CustomerData!A:A</f>
        <v>278</v>
      </c>
    </row>
    <row r="65" spans="1:2" x14ac:dyDescent="0.25">
      <c r="A65" s="74" t="str">
        <f>CustomerData!B:B</f>
        <v>BEST</v>
      </c>
      <c r="B65" s="74">
        <f>CustomerData!A:A</f>
        <v>279</v>
      </c>
    </row>
    <row r="66" spans="1:2" x14ac:dyDescent="0.25">
      <c r="A66" s="74" t="str">
        <f>CustomerData!B:B</f>
        <v>BHAGIRATH</v>
      </c>
      <c r="B66" s="74">
        <f>CustomerData!A:A</f>
        <v>280</v>
      </c>
    </row>
    <row r="67" spans="1:2" x14ac:dyDescent="0.25">
      <c r="A67" s="74" t="str">
        <f>CustomerData!B:B</f>
        <v>Bharat_Gears</v>
      </c>
      <c r="B67" s="74">
        <f>CustomerData!A:A</f>
        <v>281</v>
      </c>
    </row>
    <row r="68" spans="1:2" x14ac:dyDescent="0.25">
      <c r="A68" s="74" t="str">
        <f>CustomerData!B:B</f>
        <v>Bharuch</v>
      </c>
      <c r="B68" s="74">
        <f>CustomerData!A:A</f>
        <v>282</v>
      </c>
    </row>
    <row r="69" spans="1:2" x14ac:dyDescent="0.25">
      <c r="A69" s="74" t="str">
        <f>CustomerData!B:B</f>
        <v>Bharuch_Eco</v>
      </c>
      <c r="B69" s="74">
        <f>CustomerData!A:A</f>
        <v>283</v>
      </c>
    </row>
    <row r="70" spans="1:2" x14ac:dyDescent="0.25">
      <c r="A70" s="74" t="str">
        <f>CustomerData!B:B</f>
        <v>BILT</v>
      </c>
      <c r="B70" s="74">
        <f>CustomerData!A:A</f>
        <v>284</v>
      </c>
    </row>
    <row r="71" spans="1:2" x14ac:dyDescent="0.25">
      <c r="A71" s="74" t="str">
        <f>CustomerData!B:B</f>
        <v>Biltube</v>
      </c>
      <c r="B71" s="74">
        <f>CustomerData!A:A</f>
        <v>285</v>
      </c>
    </row>
    <row r="72" spans="1:2" x14ac:dyDescent="0.25">
      <c r="A72" s="74" t="str">
        <f>CustomerData!B:B</f>
        <v>BIRLA_COTSYN</v>
      </c>
      <c r="B72" s="74">
        <f>CustomerData!A:A</f>
        <v>286</v>
      </c>
    </row>
    <row r="73" spans="1:2" x14ac:dyDescent="0.25">
      <c r="A73" s="74" t="str">
        <f>CustomerData!B:B</f>
        <v>Borosil</v>
      </c>
      <c r="B73" s="74">
        <f>CustomerData!A:A</f>
        <v>287</v>
      </c>
    </row>
    <row r="74" spans="1:2" x14ac:dyDescent="0.25">
      <c r="A74" s="74" t="str">
        <f>CustomerData!B:B</f>
        <v>Bosch</v>
      </c>
      <c r="B74" s="74">
        <f>CustomerData!A:A</f>
        <v>288</v>
      </c>
    </row>
    <row r="75" spans="1:2" x14ac:dyDescent="0.25">
      <c r="A75" s="74" t="str">
        <f>CustomerData!B:B</f>
        <v>Bronze_Granito</v>
      </c>
      <c r="B75" s="74">
        <f>CustomerData!A:A</f>
        <v>289</v>
      </c>
    </row>
    <row r="76" spans="1:2" x14ac:dyDescent="0.25">
      <c r="A76" s="74" t="str">
        <f>CustomerData!B:B</f>
        <v>BRPL_Intraday</v>
      </c>
      <c r="B76" s="74">
        <f>CustomerData!A:A</f>
        <v>290</v>
      </c>
    </row>
    <row r="77" spans="1:2" x14ac:dyDescent="0.25">
      <c r="A77" s="74" t="str">
        <f>CustomerData!B:B</f>
        <v>BSEB</v>
      </c>
      <c r="B77" s="74">
        <f>CustomerData!A:A</f>
        <v>291</v>
      </c>
    </row>
    <row r="78" spans="1:2" x14ac:dyDescent="0.25">
      <c r="A78" s="74" t="str">
        <f>CustomerData!B:B</f>
        <v>BSEB_ST</v>
      </c>
      <c r="B78" s="74">
        <f>CustomerData!A:A</f>
        <v>292</v>
      </c>
    </row>
    <row r="79" spans="1:2" x14ac:dyDescent="0.25">
      <c r="A79" s="74" t="str">
        <f>CustomerData!B:B</f>
        <v>BYPL</v>
      </c>
      <c r="B79" s="74">
        <f>CustomerData!A:A</f>
        <v>293</v>
      </c>
    </row>
    <row r="80" spans="1:2" x14ac:dyDescent="0.25">
      <c r="A80" s="74" t="str">
        <f>CustomerData!B:B</f>
        <v>CADILA</v>
      </c>
      <c r="B80" s="74">
        <f>CustomerData!A:A</f>
        <v>294</v>
      </c>
    </row>
    <row r="81" spans="1:2" x14ac:dyDescent="0.25">
      <c r="A81" s="74" t="str">
        <f>CustomerData!B:B</f>
        <v>Cadila_Healthcare_MTOA</v>
      </c>
      <c r="B81" s="74">
        <f>CustomerData!A:A</f>
        <v>295</v>
      </c>
    </row>
    <row r="82" spans="1:2" x14ac:dyDescent="0.25">
      <c r="A82" s="74" t="str">
        <f>CustomerData!B:B</f>
        <v>CADILA_Zydus_Biologics_MTOA</v>
      </c>
      <c r="B82" s="74">
        <f>CustomerData!A:A</f>
        <v>296</v>
      </c>
    </row>
    <row r="83" spans="1:2" x14ac:dyDescent="0.25">
      <c r="A83" s="74" t="str">
        <f>CustomerData!B:B</f>
        <v>CARGIL</v>
      </c>
      <c r="B83" s="74">
        <f>CustomerData!A:A</f>
        <v>297</v>
      </c>
    </row>
    <row r="84" spans="1:2" x14ac:dyDescent="0.25">
      <c r="A84" s="74" t="str">
        <f>CustomerData!B:B</f>
        <v>CEAT</v>
      </c>
      <c r="B84" s="74">
        <f>CustomerData!A:A</f>
        <v>298</v>
      </c>
    </row>
    <row r="85" spans="1:2" x14ac:dyDescent="0.25">
      <c r="A85" s="74" t="str">
        <f>CustomerData!B:B</f>
        <v>Century_Enka</v>
      </c>
      <c r="B85" s="74">
        <f>CustomerData!A:A</f>
        <v>299</v>
      </c>
    </row>
    <row r="86" spans="1:2" x14ac:dyDescent="0.25">
      <c r="A86" s="74" t="str">
        <f>CustomerData!B:B</f>
        <v>Century_Rayon</v>
      </c>
      <c r="B86" s="74">
        <f>CustomerData!A:A</f>
        <v>300</v>
      </c>
    </row>
    <row r="87" spans="1:2" x14ac:dyDescent="0.25">
      <c r="A87" s="74" t="str">
        <f>CustomerData!B:B</f>
        <v>CESC</v>
      </c>
      <c r="B87" s="74">
        <f>CustomerData!A:A</f>
        <v>301</v>
      </c>
    </row>
    <row r="88" spans="1:2" x14ac:dyDescent="0.25">
      <c r="A88" s="74" t="str">
        <f>CustomerData!B:B</f>
        <v>Clan_Vitrified</v>
      </c>
      <c r="B88" s="74">
        <f>CustomerData!A:A</f>
        <v>302</v>
      </c>
    </row>
    <row r="89" spans="1:2" x14ac:dyDescent="0.25">
      <c r="A89" s="74" t="str">
        <f>CustomerData!B:B</f>
        <v>CLASSIC_AUTO_TUBES_LTD</v>
      </c>
      <c r="B89" s="74">
        <f>CustomerData!A:A</f>
        <v>303</v>
      </c>
    </row>
    <row r="90" spans="1:2" x14ac:dyDescent="0.25">
      <c r="A90" s="74" t="str">
        <f>CustomerData!B:B</f>
        <v>Colourtex_Pandesara_additional</v>
      </c>
      <c r="B90" s="74">
        <f>CustomerData!A:A</f>
        <v>304</v>
      </c>
    </row>
    <row r="91" spans="1:2" x14ac:dyDescent="0.25">
      <c r="A91" s="74" t="str">
        <f>CustomerData!B:B</f>
        <v>Colourtex_Sachin</v>
      </c>
      <c r="B91" s="74">
        <f>CustomerData!A:A</f>
        <v>305</v>
      </c>
    </row>
    <row r="92" spans="1:2" x14ac:dyDescent="0.25">
      <c r="A92" s="74" t="str">
        <f>CustomerData!B:B</f>
        <v>Cooper</v>
      </c>
      <c r="B92" s="74">
        <f>CustomerData!A:A</f>
        <v>306</v>
      </c>
    </row>
    <row r="93" spans="1:2" x14ac:dyDescent="0.25">
      <c r="A93" s="74" t="str">
        <f>CustomerData!B:B</f>
        <v>COOPER_L3</v>
      </c>
      <c r="B93" s="74">
        <f>CustomerData!A:A</f>
        <v>307</v>
      </c>
    </row>
    <row r="94" spans="1:2" x14ac:dyDescent="0.25">
      <c r="A94" s="74" t="str">
        <f>CustomerData!B:B</f>
        <v>COOPER_M60</v>
      </c>
      <c r="B94" s="74">
        <f>CustomerData!A:A</f>
        <v>308</v>
      </c>
    </row>
    <row r="95" spans="1:2" x14ac:dyDescent="0.25">
      <c r="A95" s="74" t="str">
        <f>CustomerData!B:B</f>
        <v>Coral_Granito</v>
      </c>
      <c r="B95" s="74">
        <f>CustomerData!A:A</f>
        <v>309</v>
      </c>
    </row>
    <row r="96" spans="1:2" x14ac:dyDescent="0.25">
      <c r="A96" s="74" t="str">
        <f>CustomerData!B:B</f>
        <v>Corning</v>
      </c>
      <c r="B96" s="74">
        <f>CustomerData!A:A</f>
        <v>310</v>
      </c>
    </row>
    <row r="97" spans="1:2" x14ac:dyDescent="0.25">
      <c r="A97" s="74" t="str">
        <f>CustomerData!B:B</f>
        <v>Crystal_Ceramics</v>
      </c>
      <c r="B97" s="74">
        <f>CustomerData!A:A</f>
        <v>311</v>
      </c>
    </row>
    <row r="98" spans="1:2" x14ac:dyDescent="0.25">
      <c r="A98" s="74" t="str">
        <f>CustomerData!B:B</f>
        <v>CSPDCL</v>
      </c>
      <c r="B98" s="74">
        <f>CustomerData!A:A</f>
        <v>312</v>
      </c>
    </row>
    <row r="99" spans="1:2" x14ac:dyDescent="0.25">
      <c r="A99" s="74" t="str">
        <f>CustomerData!B:B</f>
        <v>CSPL</v>
      </c>
      <c r="B99" s="74">
        <f>CustomerData!A:A</f>
        <v>313</v>
      </c>
    </row>
    <row r="100" spans="1:2" x14ac:dyDescent="0.25">
      <c r="A100" s="74" t="str">
        <f>CustomerData!B:B</f>
        <v>CUMMINS</v>
      </c>
      <c r="B100" s="74">
        <f>CustomerData!A:A</f>
        <v>314</v>
      </c>
    </row>
    <row r="101" spans="1:2" x14ac:dyDescent="0.25">
      <c r="A101" s="74" t="str">
        <f>CustomerData!B:B</f>
        <v>Dalmia_Cement</v>
      </c>
      <c r="B101" s="74">
        <f>CustomerData!A:A</f>
        <v>315</v>
      </c>
    </row>
    <row r="102" spans="1:2" x14ac:dyDescent="0.25">
      <c r="A102" s="74" t="str">
        <f>CustomerData!B:B</f>
        <v>Dalmia_Cement_STU</v>
      </c>
      <c r="B102" s="74">
        <f>CustomerData!A:A</f>
        <v>316</v>
      </c>
    </row>
    <row r="103" spans="1:2" x14ac:dyDescent="0.25">
      <c r="A103" s="74" t="str">
        <f>CustomerData!B:B</f>
        <v>Daurli_Ispat_(DIPL)</v>
      </c>
      <c r="B103" s="74">
        <f>CustomerData!A:A</f>
        <v>317</v>
      </c>
    </row>
    <row r="104" spans="1:2" x14ac:dyDescent="0.25">
      <c r="A104" s="74" t="str">
        <f>CustomerData!B:B</f>
        <v>Digvijay_Cement</v>
      </c>
      <c r="B104" s="74">
        <f>CustomerData!A:A</f>
        <v>318</v>
      </c>
    </row>
    <row r="105" spans="1:2" x14ac:dyDescent="0.25">
      <c r="A105" s="74" t="str">
        <f>CustomerData!B:B</f>
        <v>Duracon</v>
      </c>
      <c r="B105" s="74">
        <f>CustomerData!A:A</f>
        <v>319</v>
      </c>
    </row>
    <row r="106" spans="1:2" x14ac:dyDescent="0.25">
      <c r="A106" s="74" t="str">
        <f>CustomerData!B:B</f>
        <v>DVC</v>
      </c>
      <c r="B106" s="74">
        <f>CustomerData!A:A</f>
        <v>320</v>
      </c>
    </row>
    <row r="107" spans="1:2" x14ac:dyDescent="0.25">
      <c r="A107" s="74" t="str">
        <f>CustomerData!B:B</f>
        <v>DVC_STU</v>
      </c>
      <c r="B107" s="74">
        <f>CustomerData!A:A</f>
        <v>321</v>
      </c>
    </row>
    <row r="108" spans="1:2" x14ac:dyDescent="0.25">
      <c r="A108" s="74" t="str">
        <f>CustomerData!B:B</f>
        <v>EMCURE</v>
      </c>
      <c r="B108" s="74">
        <f>CustomerData!A:A</f>
        <v>322</v>
      </c>
    </row>
    <row r="109" spans="1:2" x14ac:dyDescent="0.25">
      <c r="A109" s="74" t="str">
        <f>CustomerData!B:B</f>
        <v>EMCURE_KURKUMBH</v>
      </c>
      <c r="B109" s="74">
        <f>CustomerData!A:A</f>
        <v>323</v>
      </c>
    </row>
    <row r="110" spans="1:2" x14ac:dyDescent="0.25">
      <c r="A110" s="74" t="str">
        <f>CustomerData!B:B</f>
        <v>Eracon</v>
      </c>
      <c r="B110" s="74">
        <f>CustomerData!A:A</f>
        <v>324</v>
      </c>
    </row>
    <row r="111" spans="1:2" x14ac:dyDescent="0.25">
      <c r="A111" s="74" t="str">
        <f>CustomerData!B:B</f>
        <v>Essar</v>
      </c>
      <c r="B111" s="74">
        <f>CustomerData!A:A</f>
        <v>325</v>
      </c>
    </row>
    <row r="112" spans="1:2" x14ac:dyDescent="0.25">
      <c r="A112" s="74" t="str">
        <f>CustomerData!B:B</f>
        <v>Essar_PXIL</v>
      </c>
      <c r="B112" s="74">
        <f>CustomerData!A:A</f>
        <v>326</v>
      </c>
    </row>
    <row r="113" spans="1:2" x14ac:dyDescent="0.25">
      <c r="A113" s="74" t="str">
        <f>CustomerData!B:B</f>
        <v>Essar_PXIL_Any_Day_RTC</v>
      </c>
      <c r="B113" s="74">
        <f>CustomerData!A:A</f>
        <v>327</v>
      </c>
    </row>
    <row r="114" spans="1:2" x14ac:dyDescent="0.25">
      <c r="A114" s="74" t="str">
        <f>CustomerData!B:B</f>
        <v>Essar_PXIL_Intra_Day_Off_Peak</v>
      </c>
      <c r="B114" s="74">
        <f>CustomerData!A:A</f>
        <v>328</v>
      </c>
    </row>
    <row r="115" spans="1:2" x14ac:dyDescent="0.25">
      <c r="A115" s="74" t="str">
        <f>CustomerData!B:B</f>
        <v>Essar_PXIL_Intra_Day_Peak</v>
      </c>
      <c r="B115" s="74">
        <f>CustomerData!A:A</f>
        <v>329</v>
      </c>
    </row>
    <row r="116" spans="1:2" x14ac:dyDescent="0.25">
      <c r="A116" s="74" t="str">
        <f>CustomerData!B:B</f>
        <v>ETL_CHAKAN</v>
      </c>
      <c r="B116" s="74">
        <f>CustomerData!A:A</f>
        <v>330</v>
      </c>
    </row>
    <row r="117" spans="1:2" x14ac:dyDescent="0.25">
      <c r="A117" s="74" t="str">
        <f>CustomerData!B:B</f>
        <v>ETPL_B22</v>
      </c>
      <c r="B117" s="74">
        <f>CustomerData!A:A</f>
        <v>331</v>
      </c>
    </row>
    <row r="118" spans="1:2" x14ac:dyDescent="0.25">
      <c r="A118" s="74" t="str">
        <f>CustomerData!B:B</f>
        <v>ETPL_WALUJ</v>
      </c>
      <c r="B118" s="74">
        <f>CustomerData!A:A</f>
        <v>332</v>
      </c>
    </row>
    <row r="119" spans="1:2" x14ac:dyDescent="0.25">
      <c r="A119" s="74" t="str">
        <f>CustomerData!B:B</f>
        <v>ETPL_WALUJ_B2</v>
      </c>
      <c r="B119" s="74">
        <f>CustomerData!A:A</f>
        <v>333</v>
      </c>
    </row>
    <row r="120" spans="1:2" x14ac:dyDescent="0.25">
      <c r="A120" s="74" t="str">
        <f>CustomerData!B:B</f>
        <v>ETPLT</v>
      </c>
      <c r="B120" s="74">
        <f>CustomerData!A:A</f>
        <v>334</v>
      </c>
    </row>
    <row r="121" spans="1:2" x14ac:dyDescent="0.25">
      <c r="A121" s="74" t="str">
        <f>CustomerData!B:B</f>
        <v>ETPLW_K228_229</v>
      </c>
      <c r="B121" s="74">
        <f>CustomerData!A:A</f>
        <v>335</v>
      </c>
    </row>
    <row r="122" spans="1:2" x14ac:dyDescent="0.25">
      <c r="A122" s="74" t="str">
        <f>CustomerData!B:B</f>
        <v>Fabtech</v>
      </c>
      <c r="B122" s="74">
        <f>CustomerData!A:A</f>
        <v>336</v>
      </c>
    </row>
    <row r="123" spans="1:2" x14ac:dyDescent="0.25">
      <c r="A123" s="74" t="str">
        <f>CustomerData!B:B</f>
        <v>FILATEX</v>
      </c>
      <c r="B123" s="74">
        <f>CustomerData!A:A</f>
        <v>337</v>
      </c>
    </row>
    <row r="124" spans="1:2" x14ac:dyDescent="0.25">
      <c r="A124" s="74" t="str">
        <f>CustomerData!B:B</f>
        <v>Fiorenza</v>
      </c>
      <c r="B124" s="74">
        <f>CustomerData!A:A</f>
        <v>338</v>
      </c>
    </row>
    <row r="125" spans="1:2" x14ac:dyDescent="0.25">
      <c r="A125" s="74" t="str">
        <f>CustomerData!B:B</f>
        <v>Ganesha</v>
      </c>
      <c r="B125" s="74">
        <f>CustomerData!A:A</f>
        <v>339</v>
      </c>
    </row>
    <row r="126" spans="1:2" x14ac:dyDescent="0.25">
      <c r="A126" s="74" t="str">
        <f>CustomerData!B:B</f>
        <v>GEPL</v>
      </c>
      <c r="B126" s="74">
        <f>CustomerData!A:A</f>
        <v>340</v>
      </c>
    </row>
    <row r="127" spans="1:2" x14ac:dyDescent="0.25">
      <c r="A127" s="74" t="str">
        <f>CustomerData!B:B</f>
        <v>GFL</v>
      </c>
      <c r="B127" s="74">
        <f>CustomerData!A:A</f>
        <v>341</v>
      </c>
    </row>
    <row r="128" spans="1:2" x14ac:dyDescent="0.25">
      <c r="A128" s="74" t="str">
        <f>CustomerData!B:B</f>
        <v>Ghatge_Patil</v>
      </c>
      <c r="B128" s="74">
        <f>CustomerData!A:A</f>
        <v>342</v>
      </c>
    </row>
    <row r="129" spans="1:2" x14ac:dyDescent="0.25">
      <c r="A129" s="74" t="str">
        <f>CustomerData!B:B</f>
        <v>GHCL</v>
      </c>
      <c r="B129" s="74">
        <f>CustomerData!A:A</f>
        <v>343</v>
      </c>
    </row>
    <row r="130" spans="1:2" x14ac:dyDescent="0.25">
      <c r="A130" s="74" t="str">
        <f>CustomerData!B:B</f>
        <v>GIGAPLEX</v>
      </c>
      <c r="B130" s="74">
        <f>CustomerData!A:A</f>
        <v>344</v>
      </c>
    </row>
    <row r="131" spans="1:2" x14ac:dyDescent="0.25">
      <c r="A131" s="74" t="str">
        <f>CustomerData!B:B</f>
        <v>GIGAPLEX_2</v>
      </c>
      <c r="B131" s="74">
        <f>CustomerData!A:A</f>
        <v>345</v>
      </c>
    </row>
    <row r="132" spans="1:2" x14ac:dyDescent="0.25">
      <c r="A132" s="74" t="str">
        <f>CustomerData!B:B</f>
        <v>Gimatex_U_2</v>
      </c>
      <c r="B132" s="74">
        <f>CustomerData!A:A</f>
        <v>346</v>
      </c>
    </row>
    <row r="133" spans="1:2" x14ac:dyDescent="0.25">
      <c r="A133" s="74" t="str">
        <f>CustomerData!B:B</f>
        <v>Gimatex_U_3</v>
      </c>
      <c r="B133" s="74">
        <f>CustomerData!A:A</f>
        <v>347</v>
      </c>
    </row>
    <row r="134" spans="1:2" x14ac:dyDescent="0.25">
      <c r="A134" s="74" t="str">
        <f>CustomerData!B:B</f>
        <v>GINNI</v>
      </c>
      <c r="B134" s="74">
        <f>CustomerData!A:A</f>
        <v>348</v>
      </c>
    </row>
    <row r="135" spans="1:2" x14ac:dyDescent="0.25">
      <c r="A135" s="74" t="str">
        <f>CustomerData!B:B</f>
        <v>GIPL_CEAT</v>
      </c>
      <c r="B135" s="74">
        <f>CustomerData!A:A</f>
        <v>349</v>
      </c>
    </row>
    <row r="136" spans="1:2" x14ac:dyDescent="0.25">
      <c r="A136" s="74" t="str">
        <f>CustomerData!B:B</f>
        <v>GIPL_Zealtop</v>
      </c>
      <c r="B136" s="74">
        <f>CustomerData!A:A</f>
        <v>350</v>
      </c>
    </row>
    <row r="137" spans="1:2" x14ac:dyDescent="0.25">
      <c r="A137" s="74" t="str">
        <f>CustomerData!B:B</f>
        <v>Glenmark</v>
      </c>
      <c r="B137" s="74">
        <f>CustomerData!A:A</f>
        <v>351</v>
      </c>
    </row>
    <row r="138" spans="1:2" x14ac:dyDescent="0.25">
      <c r="A138" s="74" t="str">
        <f>CustomerData!B:B</f>
        <v>GMR_UTTARAKHAND</v>
      </c>
      <c r="B138" s="74">
        <f>CustomerData!A:A</f>
        <v>352</v>
      </c>
    </row>
    <row r="139" spans="1:2" x14ac:dyDescent="0.25">
      <c r="A139" s="74" t="str">
        <f>CustomerData!B:B</f>
        <v>GOA</v>
      </c>
      <c r="B139" s="74">
        <f>CustomerData!A:A</f>
        <v>353</v>
      </c>
    </row>
    <row r="140" spans="1:2" x14ac:dyDescent="0.25">
      <c r="A140" s="74" t="str">
        <f>CustomerData!B:B</f>
        <v>Godavari_Pulp</v>
      </c>
      <c r="B140" s="74">
        <f>CustomerData!A:A</f>
        <v>354</v>
      </c>
    </row>
    <row r="141" spans="1:2" x14ac:dyDescent="0.25">
      <c r="A141" s="74" t="str">
        <f>CustomerData!B:B</f>
        <v>Gokulanand_Cons_No_10922</v>
      </c>
      <c r="B141" s="74">
        <f>CustomerData!A:A</f>
        <v>355</v>
      </c>
    </row>
    <row r="142" spans="1:2" x14ac:dyDescent="0.25">
      <c r="A142" s="74" t="str">
        <f>CustomerData!B:B</f>
        <v>Gokulanand_Cons_No_11952</v>
      </c>
      <c r="B142" s="74">
        <f>CustomerData!A:A</f>
        <v>356</v>
      </c>
    </row>
    <row r="143" spans="1:2" x14ac:dyDescent="0.25">
      <c r="A143" s="74" t="str">
        <f>CustomerData!B:B</f>
        <v>Gokulanand_Petrofibers</v>
      </c>
      <c r="B143" s="74">
        <f>CustomerData!A:A</f>
        <v>357</v>
      </c>
    </row>
    <row r="144" spans="1:2" x14ac:dyDescent="0.25">
      <c r="A144" s="74" t="str">
        <f>CustomerData!B:B</f>
        <v>GOOD_YEAR_SOUTH_ASIA_TYRES_LTD</v>
      </c>
      <c r="B144" s="74">
        <f>CustomerData!A:A</f>
        <v>358</v>
      </c>
    </row>
    <row r="145" spans="1:2" x14ac:dyDescent="0.25">
      <c r="A145" s="74" t="str">
        <f>CustomerData!B:B</f>
        <v>GOYAL</v>
      </c>
      <c r="B145" s="74">
        <f>CustomerData!A:A</f>
        <v>359</v>
      </c>
    </row>
    <row r="146" spans="1:2" x14ac:dyDescent="0.25">
      <c r="A146" s="74" t="str">
        <f>CustomerData!B:B</f>
        <v>Grasim</v>
      </c>
      <c r="B146" s="74">
        <f>CustomerData!A:A</f>
        <v>360</v>
      </c>
    </row>
    <row r="147" spans="1:2" x14ac:dyDescent="0.25">
      <c r="A147" s="74" t="str">
        <f>CustomerData!B:B</f>
        <v>GUVNL_BID_1</v>
      </c>
      <c r="B147" s="74">
        <f>CustomerData!A:A</f>
        <v>361</v>
      </c>
    </row>
    <row r="148" spans="1:2" x14ac:dyDescent="0.25">
      <c r="A148" s="74" t="str">
        <f>CustomerData!B:B</f>
        <v>GUVNL_Bid_1_Addi_SPPA</v>
      </c>
      <c r="B148" s="74">
        <f>CustomerData!A:A</f>
        <v>362</v>
      </c>
    </row>
    <row r="149" spans="1:2" x14ac:dyDescent="0.25">
      <c r="A149" s="74" t="str">
        <f>CustomerData!B:B</f>
        <v>GUVNL_BID_2</v>
      </c>
      <c r="B149" s="74">
        <f>CustomerData!A:A</f>
        <v>363</v>
      </c>
    </row>
    <row r="150" spans="1:2" x14ac:dyDescent="0.25">
      <c r="A150" s="74" t="str">
        <f>CustomerData!B:B</f>
        <v>GUVNL_Bid_2_Addi_SPPA</v>
      </c>
      <c r="B150" s="74">
        <f>CustomerData!A:A</f>
        <v>364</v>
      </c>
    </row>
    <row r="151" spans="1:2" x14ac:dyDescent="0.25">
      <c r="A151" s="74" t="str">
        <f>CustomerData!B:B</f>
        <v>Hazira_Port</v>
      </c>
      <c r="B151" s="74">
        <f>CustomerData!A:A</f>
        <v>365</v>
      </c>
    </row>
    <row r="152" spans="1:2" x14ac:dyDescent="0.25">
      <c r="A152" s="74" t="str">
        <f>CustomerData!B:B</f>
        <v>Hoganas</v>
      </c>
      <c r="B152" s="74">
        <f>CustomerData!A:A</f>
        <v>366</v>
      </c>
    </row>
    <row r="153" spans="1:2" x14ac:dyDescent="0.25">
      <c r="A153" s="74" t="str">
        <f>CustomerData!B:B</f>
        <v>Hollis</v>
      </c>
      <c r="B153" s="74">
        <f>CustomerData!A:A</f>
        <v>367</v>
      </c>
    </row>
    <row r="154" spans="1:2" x14ac:dyDescent="0.25">
      <c r="A154" s="74" t="str">
        <f>CustomerData!B:B</f>
        <v>HPPC</v>
      </c>
      <c r="B154" s="74">
        <f>CustomerData!A:A</f>
        <v>368</v>
      </c>
    </row>
    <row r="155" spans="1:2" x14ac:dyDescent="0.25">
      <c r="A155" s="74" t="str">
        <f>CustomerData!B:B</f>
        <v>HPSEB</v>
      </c>
      <c r="B155" s="74">
        <f>CustomerData!A:A</f>
        <v>369</v>
      </c>
    </row>
    <row r="156" spans="1:2" x14ac:dyDescent="0.25">
      <c r="A156" s="74" t="str">
        <f>CustomerData!B:B</f>
        <v>HVPNL</v>
      </c>
      <c r="B156" s="74">
        <f>CustomerData!A:A</f>
        <v>370</v>
      </c>
    </row>
    <row r="157" spans="1:2" x14ac:dyDescent="0.25">
      <c r="A157" s="74" t="str">
        <f>CustomerData!B:B</f>
        <v>IEX</v>
      </c>
      <c r="B157" s="74">
        <f>CustomerData!A:A</f>
        <v>371</v>
      </c>
    </row>
    <row r="158" spans="1:2" x14ac:dyDescent="0.25">
      <c r="A158" s="74" t="str">
        <f>CustomerData!B:B</f>
        <v>IEX_DNH</v>
      </c>
      <c r="B158" s="74">
        <f>CustomerData!A:A</f>
        <v>372</v>
      </c>
    </row>
    <row r="159" spans="1:2" x14ac:dyDescent="0.25">
      <c r="A159" s="74" t="str">
        <f>CustomerData!B:B</f>
        <v>IEX_TAM_MPSEB</v>
      </c>
      <c r="B159" s="74">
        <f>CustomerData!A:A</f>
        <v>373</v>
      </c>
    </row>
    <row r="160" spans="1:2" x14ac:dyDescent="0.25">
      <c r="A160" s="74" t="str">
        <f>CustomerData!B:B</f>
        <v>IEX_TAM_Odisha</v>
      </c>
      <c r="B160" s="74">
        <f>CustomerData!A:A</f>
        <v>374</v>
      </c>
    </row>
    <row r="161" spans="1:2" x14ac:dyDescent="0.25">
      <c r="A161" s="74" t="str">
        <f>CustomerData!B:B</f>
        <v>IEX_TAM_Torrent</v>
      </c>
      <c r="B161" s="74">
        <f>CustomerData!A:A</f>
        <v>375</v>
      </c>
    </row>
    <row r="162" spans="1:2" x14ac:dyDescent="0.25">
      <c r="A162" s="74" t="str">
        <f>CustomerData!B:B</f>
        <v>IEX_Torrent_ADI_CTU</v>
      </c>
      <c r="B162" s="74">
        <f>CustomerData!A:A</f>
        <v>376</v>
      </c>
    </row>
    <row r="163" spans="1:2" x14ac:dyDescent="0.25">
      <c r="A163" s="74" t="str">
        <f>CustomerData!B:B</f>
        <v>IEX_Torrent_ADI_STU</v>
      </c>
      <c r="B163" s="74">
        <f>CustomerData!A:A</f>
        <v>377</v>
      </c>
    </row>
    <row r="164" spans="1:2" x14ac:dyDescent="0.25">
      <c r="A164" s="74" t="str">
        <f>CustomerData!B:B</f>
        <v>IEX_Torrent_Dahej_STU</v>
      </c>
      <c r="B164" s="74">
        <f>CustomerData!A:A</f>
        <v>378</v>
      </c>
    </row>
    <row r="165" spans="1:2" x14ac:dyDescent="0.25">
      <c r="A165" s="74" t="str">
        <f>CustomerData!B:B</f>
        <v>IEX_APSPDCL_STU</v>
      </c>
      <c r="B165" s="74">
        <f>CustomerData!A:A</f>
        <v>379</v>
      </c>
    </row>
    <row r="166" spans="1:2" x14ac:dyDescent="0.25">
      <c r="A166" s="74" t="str">
        <f>CustomerData!B:B</f>
        <v>IEX_Essar</v>
      </c>
      <c r="B166" s="74">
        <f>CustomerData!A:A</f>
        <v>380</v>
      </c>
    </row>
    <row r="167" spans="1:2" x14ac:dyDescent="0.25">
      <c r="A167" s="74" t="str">
        <f>CustomerData!B:B</f>
        <v>IEX_PSPCL</v>
      </c>
      <c r="B167" s="74">
        <f>CustomerData!A:A</f>
        <v>381</v>
      </c>
    </row>
    <row r="168" spans="1:2" x14ac:dyDescent="0.25">
      <c r="A168" s="74" t="str">
        <f>CustomerData!B:B</f>
        <v>IEX_RTM</v>
      </c>
      <c r="B168" s="74">
        <f>CustomerData!A:A</f>
        <v>382</v>
      </c>
    </row>
    <row r="169" spans="1:2" x14ac:dyDescent="0.25">
      <c r="A169" s="74" t="str">
        <f>CustomerData!B:B</f>
        <v>IEX_TAM_Andhra</v>
      </c>
      <c r="B169" s="74">
        <f>CustomerData!A:A</f>
        <v>383</v>
      </c>
    </row>
    <row r="170" spans="1:2" x14ac:dyDescent="0.25">
      <c r="A170" s="74" t="str">
        <f>CustomerData!B:B</f>
        <v>IEX_Vedanta</v>
      </c>
      <c r="B170" s="74">
        <f>CustomerData!A:A</f>
        <v>384</v>
      </c>
    </row>
    <row r="171" spans="1:2" x14ac:dyDescent="0.25">
      <c r="A171" s="74" t="str">
        <f>CustomerData!B:B</f>
        <v>IEX_APSPDCL</v>
      </c>
      <c r="B171" s="74">
        <f>CustomerData!A:A</f>
        <v>385</v>
      </c>
    </row>
    <row r="172" spans="1:2" x14ac:dyDescent="0.25">
      <c r="A172" s="74" t="str">
        <f>CustomerData!B:B</f>
        <v>IEX_DVC</v>
      </c>
      <c r="B172" s="74">
        <f>CustomerData!A:A</f>
        <v>386</v>
      </c>
    </row>
    <row r="173" spans="1:2" x14ac:dyDescent="0.25">
      <c r="A173" s="74" t="str">
        <f>CustomerData!B:B</f>
        <v>IEX_AEML</v>
      </c>
      <c r="B173" s="74">
        <f>CustomerData!A:A</f>
        <v>387</v>
      </c>
    </row>
    <row r="174" spans="1:2" x14ac:dyDescent="0.25">
      <c r="A174" s="74" t="str">
        <f>CustomerData!B:B</f>
        <v>IEX_Andhra</v>
      </c>
      <c r="B174" s="74">
        <f>CustomerData!A:A</f>
        <v>388</v>
      </c>
    </row>
    <row r="175" spans="1:2" x14ac:dyDescent="0.25">
      <c r="A175" s="74" t="str">
        <f>CustomerData!B:B</f>
        <v>IEX_APDCL</v>
      </c>
      <c r="B175" s="74">
        <f>CustomerData!A:A</f>
        <v>389</v>
      </c>
    </row>
    <row r="176" spans="1:2" x14ac:dyDescent="0.25">
      <c r="A176" s="74" t="str">
        <f>CustomerData!B:B</f>
        <v>IEX_Arcelor_Mittal</v>
      </c>
      <c r="B176" s="74">
        <f>CustomerData!A:A</f>
        <v>390</v>
      </c>
    </row>
    <row r="177" spans="1:2" x14ac:dyDescent="0.25">
      <c r="A177" s="74" t="str">
        <f>CustomerData!B:B</f>
        <v>IEX_BRPL</v>
      </c>
      <c r="B177" s="74">
        <f>CustomerData!A:A</f>
        <v>391</v>
      </c>
    </row>
    <row r="178" spans="1:2" x14ac:dyDescent="0.25">
      <c r="A178" s="74" t="str">
        <f>CustomerData!B:B</f>
        <v>IEX_BSES</v>
      </c>
      <c r="B178" s="74">
        <f>CustomerData!A:A</f>
        <v>392</v>
      </c>
    </row>
    <row r="179" spans="1:2" x14ac:dyDescent="0.25">
      <c r="A179" s="74" t="str">
        <f>CustomerData!B:B</f>
        <v>IEX_BSPHCL</v>
      </c>
      <c r="B179" s="74">
        <f>CustomerData!A:A</f>
        <v>393</v>
      </c>
    </row>
    <row r="180" spans="1:2" x14ac:dyDescent="0.25">
      <c r="A180" s="74" t="str">
        <f>CustomerData!B:B</f>
        <v>IEX_BSPHCL_STU</v>
      </c>
      <c r="B180" s="74">
        <f>CustomerData!A:A</f>
        <v>394</v>
      </c>
    </row>
    <row r="181" spans="1:2" x14ac:dyDescent="0.25">
      <c r="A181" s="74" t="str">
        <f>CustomerData!B:B</f>
        <v>IEX_BYPL</v>
      </c>
      <c r="B181" s="74">
        <f>CustomerData!A:A</f>
        <v>395</v>
      </c>
    </row>
    <row r="182" spans="1:2" x14ac:dyDescent="0.25">
      <c r="A182" s="74" t="str">
        <f>CustomerData!B:B</f>
        <v>IEX_CESC</v>
      </c>
      <c r="B182" s="74">
        <f>CustomerData!A:A</f>
        <v>396</v>
      </c>
    </row>
    <row r="183" spans="1:2" x14ac:dyDescent="0.25">
      <c r="A183" s="74" t="str">
        <f>CustomerData!B:B</f>
        <v>IEX_CESE</v>
      </c>
      <c r="B183" s="74">
        <f>CustomerData!A:A</f>
        <v>397</v>
      </c>
    </row>
    <row r="184" spans="1:2" x14ac:dyDescent="0.25">
      <c r="A184" s="74" t="str">
        <f>CustomerData!B:B</f>
        <v>IEX_DNHPDCL</v>
      </c>
      <c r="B184" s="74">
        <f>CustomerData!A:A</f>
        <v>398</v>
      </c>
    </row>
    <row r="185" spans="1:2" x14ac:dyDescent="0.25">
      <c r="A185" s="74" t="str">
        <f>CustomerData!B:B</f>
        <v>IEX_Gigaplex</v>
      </c>
      <c r="B185" s="74">
        <f>CustomerData!A:A</f>
        <v>399</v>
      </c>
    </row>
    <row r="186" spans="1:2" x14ac:dyDescent="0.25">
      <c r="A186" s="74" t="str">
        <f>CustomerData!B:B</f>
        <v>IEX_GOA</v>
      </c>
      <c r="B186" s="74">
        <f>CustomerData!A:A</f>
        <v>400</v>
      </c>
    </row>
    <row r="187" spans="1:2" x14ac:dyDescent="0.25">
      <c r="A187" s="74" t="str">
        <f>CustomerData!B:B</f>
        <v>IEX_GRIDCO</v>
      </c>
      <c r="B187" s="74">
        <f>CustomerData!A:A</f>
        <v>401</v>
      </c>
    </row>
    <row r="188" spans="1:2" x14ac:dyDescent="0.25">
      <c r="A188" s="74" t="str">
        <f>CustomerData!B:B</f>
        <v>IEX_HPPC</v>
      </c>
      <c r="B188" s="74">
        <f>CustomerData!A:A</f>
        <v>402</v>
      </c>
    </row>
    <row r="189" spans="1:2" x14ac:dyDescent="0.25">
      <c r="A189" s="74" t="str">
        <f>CustomerData!B:B</f>
        <v>IEX_HPSEB</v>
      </c>
      <c r="B189" s="74">
        <f>CustomerData!A:A</f>
        <v>403</v>
      </c>
    </row>
    <row r="190" spans="1:2" x14ac:dyDescent="0.25">
      <c r="A190" s="74" t="str">
        <f>CustomerData!B:B</f>
        <v>IEX_JBVNL</v>
      </c>
      <c r="B190" s="74">
        <f>CustomerData!A:A</f>
        <v>404</v>
      </c>
    </row>
    <row r="191" spans="1:2" x14ac:dyDescent="0.25">
      <c r="A191" s="74" t="str">
        <f>CustomerData!B:B</f>
        <v>IEX_JVVNL</v>
      </c>
      <c r="B191" s="74">
        <f>CustomerData!A:A</f>
        <v>405</v>
      </c>
    </row>
    <row r="192" spans="1:2" x14ac:dyDescent="0.25">
      <c r="A192" s="74" t="str">
        <f>CustomerData!B:B</f>
        <v>IEX_Mindspace</v>
      </c>
      <c r="B192" s="74">
        <f>CustomerData!A:A</f>
        <v>406</v>
      </c>
    </row>
    <row r="193" spans="1:2" x14ac:dyDescent="0.25">
      <c r="A193" s="74" t="str">
        <f>CustomerData!B:B</f>
        <v>IEX_Noida</v>
      </c>
      <c r="B193" s="74">
        <f>CustomerData!A:A</f>
        <v>407</v>
      </c>
    </row>
    <row r="194" spans="1:2" x14ac:dyDescent="0.25">
      <c r="A194" s="74" t="str">
        <f>CustomerData!B:B</f>
        <v>IEX_STU</v>
      </c>
      <c r="B194" s="74">
        <f>CustomerData!A:A</f>
        <v>408</v>
      </c>
    </row>
    <row r="195" spans="1:2" x14ac:dyDescent="0.25">
      <c r="A195" s="74" t="str">
        <f>CustomerData!B:B</f>
        <v>IEX_STU_APDCL</v>
      </c>
      <c r="B195" s="74">
        <f>CustomerData!A:A</f>
        <v>409</v>
      </c>
    </row>
    <row r="196" spans="1:2" x14ac:dyDescent="0.25">
      <c r="A196" s="74" t="str">
        <f>CustomerData!B:B</f>
        <v>IEX_STU_TANGEDCO</v>
      </c>
      <c r="B196" s="74">
        <f>CustomerData!A:A</f>
        <v>410</v>
      </c>
    </row>
    <row r="197" spans="1:2" x14ac:dyDescent="0.25">
      <c r="A197" s="74" t="str">
        <f>CustomerData!B:B</f>
        <v>IEX_STU_Tata_Assam</v>
      </c>
      <c r="B197" s="74">
        <f>CustomerData!A:A</f>
        <v>411</v>
      </c>
    </row>
    <row r="198" spans="1:2" x14ac:dyDescent="0.25">
      <c r="A198" s="74" t="str">
        <f>CustomerData!B:B</f>
        <v>IEX_TAM_Assam</v>
      </c>
      <c r="B198" s="74">
        <f>CustomerData!A:A</f>
        <v>412</v>
      </c>
    </row>
    <row r="199" spans="1:2" x14ac:dyDescent="0.25">
      <c r="A199" s="74" t="str">
        <f>CustomerData!B:B</f>
        <v>IEX_TAM_R_Infra</v>
      </c>
      <c r="B199" s="74">
        <f>CustomerData!A:A</f>
        <v>413</v>
      </c>
    </row>
    <row r="200" spans="1:2" x14ac:dyDescent="0.25">
      <c r="A200" s="74" t="str">
        <f>CustomerData!B:B</f>
        <v>IEX_TAM_TNEB</v>
      </c>
      <c r="B200" s="74">
        <f>CustomerData!A:A</f>
        <v>414</v>
      </c>
    </row>
    <row r="201" spans="1:2" x14ac:dyDescent="0.25">
      <c r="A201" s="74" t="str">
        <f>CustomerData!B:B</f>
        <v>IEX_TAM_TPL_DAHEJ</v>
      </c>
      <c r="B201" s="74">
        <f>CustomerData!A:A</f>
        <v>415</v>
      </c>
    </row>
    <row r="202" spans="1:2" x14ac:dyDescent="0.25">
      <c r="A202" s="74" t="str">
        <f>CustomerData!B:B</f>
        <v>IEX_TAM_TSSPDCL</v>
      </c>
      <c r="B202" s="74">
        <f>CustomerData!A:A</f>
        <v>416</v>
      </c>
    </row>
    <row r="203" spans="1:2" x14ac:dyDescent="0.25">
      <c r="A203" s="74" t="str">
        <f>CustomerData!B:B</f>
        <v>IEX_TAM_WBSEDCL</v>
      </c>
      <c r="B203" s="74">
        <f>CustomerData!A:A</f>
        <v>417</v>
      </c>
    </row>
    <row r="204" spans="1:2" x14ac:dyDescent="0.25">
      <c r="A204" s="74" t="str">
        <f>CustomerData!B:B</f>
        <v>IEX_TANGEDCO</v>
      </c>
      <c r="B204" s="74">
        <f>CustomerData!A:A</f>
        <v>418</v>
      </c>
    </row>
    <row r="205" spans="1:2" x14ac:dyDescent="0.25">
      <c r="A205" s="74" t="str">
        <f>CustomerData!B:B</f>
        <v>IEX_TATA_Steel</v>
      </c>
      <c r="B205" s="74">
        <f>CustomerData!A:A</f>
        <v>419</v>
      </c>
    </row>
    <row r="206" spans="1:2" x14ac:dyDescent="0.25">
      <c r="A206" s="74" t="str">
        <f>CustomerData!B:B</f>
        <v>IEX_Telangana</v>
      </c>
      <c r="B206" s="74">
        <f>CustomerData!A:A</f>
        <v>420</v>
      </c>
    </row>
    <row r="207" spans="1:2" x14ac:dyDescent="0.25">
      <c r="A207" s="74" t="str">
        <f>CustomerData!B:B</f>
        <v>IEX_Torrent</v>
      </c>
      <c r="B207" s="74">
        <f>CustomerData!A:A</f>
        <v>421</v>
      </c>
    </row>
    <row r="208" spans="1:2" x14ac:dyDescent="0.25">
      <c r="A208" s="74" t="str">
        <f>CustomerData!B:B</f>
        <v>IEX_Torrent_Dahej_STU</v>
      </c>
      <c r="B208" s="74">
        <f>CustomerData!A:A</f>
        <v>422</v>
      </c>
    </row>
    <row r="209" spans="1:2" x14ac:dyDescent="0.25">
      <c r="A209" s="74" t="str">
        <f>CustomerData!B:B</f>
        <v>IEX_Torrent_TAM</v>
      </c>
      <c r="B209" s="74">
        <f>CustomerData!A:A</f>
        <v>423</v>
      </c>
    </row>
    <row r="210" spans="1:2" x14ac:dyDescent="0.25">
      <c r="A210" s="74" t="str">
        <f>CustomerData!B:B</f>
        <v>IEX_TPDCL</v>
      </c>
      <c r="B210" s="74">
        <f>CustomerData!A:A</f>
        <v>424</v>
      </c>
    </row>
    <row r="211" spans="1:2" x14ac:dyDescent="0.25">
      <c r="A211" s="74" t="str">
        <f>CustomerData!B:B</f>
        <v>IEX_TSSPDCL</v>
      </c>
      <c r="B211" s="74">
        <f>CustomerData!A:A</f>
        <v>425</v>
      </c>
    </row>
    <row r="212" spans="1:2" x14ac:dyDescent="0.25">
      <c r="A212" s="74" t="str">
        <f>CustomerData!B:B</f>
        <v>IEX_UPPCL</v>
      </c>
      <c r="B212" s="74">
        <f>CustomerData!A:A</f>
        <v>426</v>
      </c>
    </row>
    <row r="213" spans="1:2" x14ac:dyDescent="0.25">
      <c r="A213" s="74" t="str">
        <f>CustomerData!B:B</f>
        <v>IEX_Vedanta</v>
      </c>
      <c r="B213" s="74">
        <f>CustomerData!A:A</f>
        <v>427</v>
      </c>
    </row>
    <row r="214" spans="1:2" x14ac:dyDescent="0.25">
      <c r="A214" s="74" t="str">
        <f>CustomerData!B:B</f>
        <v>Indapur</v>
      </c>
      <c r="B214" s="74">
        <f>CustomerData!A:A</f>
        <v>428</v>
      </c>
    </row>
    <row r="215" spans="1:2" x14ac:dyDescent="0.25">
      <c r="A215" s="74" t="str">
        <f>CustomerData!B:B</f>
        <v>India_Steel_Works</v>
      </c>
      <c r="B215" s="74">
        <f>CustomerData!A:A</f>
        <v>429</v>
      </c>
    </row>
    <row r="216" spans="1:2" x14ac:dyDescent="0.25">
      <c r="A216" s="74" t="str">
        <f>CustomerData!B:B</f>
        <v>Indoworth</v>
      </c>
      <c r="B216" s="74">
        <f>CustomerData!A:A</f>
        <v>430</v>
      </c>
    </row>
    <row r="217" spans="1:2" x14ac:dyDescent="0.25">
      <c r="A217" s="74" t="str">
        <f>CustomerData!B:B</f>
        <v>INOX</v>
      </c>
      <c r="B217" s="74">
        <f>CustomerData!A:A</f>
        <v>431</v>
      </c>
    </row>
    <row r="218" spans="1:2" x14ac:dyDescent="0.25">
      <c r="A218" s="74" t="str">
        <f>CustomerData!B:B</f>
        <v>INOX_STOA</v>
      </c>
      <c r="B218" s="74">
        <f>CustomerData!A:A</f>
        <v>432</v>
      </c>
    </row>
    <row r="219" spans="1:2" x14ac:dyDescent="0.25">
      <c r="A219" s="74" t="str">
        <f>CustomerData!B:B</f>
        <v>Intraday_IEX_TNEB</v>
      </c>
      <c r="B219" s="74">
        <f>CustomerData!A:A</f>
        <v>433</v>
      </c>
    </row>
    <row r="220" spans="1:2" x14ac:dyDescent="0.25">
      <c r="A220" s="74" t="str">
        <f>CustomerData!B:B</f>
        <v>IPCL</v>
      </c>
      <c r="B220" s="74">
        <f>CustomerData!A:A</f>
        <v>434</v>
      </c>
    </row>
    <row r="221" spans="1:2" x14ac:dyDescent="0.25">
      <c r="A221" s="74" t="str">
        <f>CustomerData!B:B</f>
        <v>ISMT</v>
      </c>
      <c r="B221" s="74">
        <f>CustomerData!A:A</f>
        <v>435</v>
      </c>
    </row>
    <row r="222" spans="1:2" x14ac:dyDescent="0.25">
      <c r="A222" s="74" t="str">
        <f>CustomerData!B:B</f>
        <v>J&amp;K</v>
      </c>
      <c r="B222" s="74">
        <f>CustomerData!A:A</f>
        <v>436</v>
      </c>
    </row>
    <row r="223" spans="1:2" x14ac:dyDescent="0.25">
      <c r="A223" s="74" t="str">
        <f>CustomerData!B:B</f>
        <v>Jain_Farm_Fresh_Foods_Ltd</v>
      </c>
      <c r="B223" s="74">
        <f>CustomerData!A:A</f>
        <v>437</v>
      </c>
    </row>
    <row r="224" spans="1:2" x14ac:dyDescent="0.25">
      <c r="A224" s="74" t="str">
        <f>CustomerData!B:B</f>
        <v>JAY_BHARAT</v>
      </c>
      <c r="B224" s="74">
        <f>CustomerData!A:A</f>
        <v>438</v>
      </c>
    </row>
    <row r="225" spans="1:2" x14ac:dyDescent="0.25">
      <c r="A225" s="74" t="str">
        <f>CustomerData!B:B</f>
        <v>Jet_Grenito</v>
      </c>
      <c r="B225" s="74">
        <f>CustomerData!A:A</f>
        <v>439</v>
      </c>
    </row>
    <row r="226" spans="1:2" x14ac:dyDescent="0.25">
      <c r="A226" s="74" t="str">
        <f>CustomerData!B:B</f>
        <v>JPFL</v>
      </c>
      <c r="B226" s="74">
        <f>CustomerData!A:A</f>
        <v>440</v>
      </c>
    </row>
    <row r="227" spans="1:2" x14ac:dyDescent="0.25">
      <c r="A227" s="74" t="str">
        <f>CustomerData!B:B</f>
        <v>JSEB</v>
      </c>
      <c r="B227" s="74">
        <f>CustomerData!A:A</f>
        <v>441</v>
      </c>
    </row>
    <row r="228" spans="1:2" x14ac:dyDescent="0.25">
      <c r="A228" s="74" t="str">
        <f>CustomerData!B:B</f>
        <v>JVVNL_IEX_Intra_Day_Off_Peak</v>
      </c>
      <c r="B228" s="74">
        <f>CustomerData!A:A</f>
        <v>442</v>
      </c>
    </row>
    <row r="229" spans="1:2" x14ac:dyDescent="0.25">
      <c r="A229" s="74" t="str">
        <f>CustomerData!B:B</f>
        <v>JVVNL_IEX_Intra_Day_Peak</v>
      </c>
      <c r="B229" s="74">
        <f>CustomerData!A:A</f>
        <v>443</v>
      </c>
    </row>
    <row r="230" spans="1:2" x14ac:dyDescent="0.25">
      <c r="A230" s="74" t="str">
        <f>CustomerData!B:B</f>
        <v>JVVNL_PXIL_Intra_Day_Off_Peak</v>
      </c>
      <c r="B230" s="74">
        <f>CustomerData!A:A</f>
        <v>444</v>
      </c>
    </row>
    <row r="231" spans="1:2" x14ac:dyDescent="0.25">
      <c r="A231" s="74" t="str">
        <f>CustomerData!B:B</f>
        <v>Kalishma_Steel_Pvt_Ltd</v>
      </c>
      <c r="B231" s="74">
        <f>CustomerData!A:A</f>
        <v>445</v>
      </c>
    </row>
    <row r="232" spans="1:2" x14ac:dyDescent="0.25">
      <c r="A232" s="74" t="str">
        <f>CustomerData!B:B</f>
        <v>Kalisma</v>
      </c>
      <c r="B232" s="74">
        <f>CustomerData!A:A</f>
        <v>446</v>
      </c>
    </row>
    <row r="233" spans="1:2" x14ac:dyDescent="0.25">
      <c r="A233" s="74" t="str">
        <f>CustomerData!B:B</f>
        <v>Kansai_Nerolac_Paints</v>
      </c>
      <c r="B233" s="74">
        <f>CustomerData!A:A</f>
        <v>447</v>
      </c>
    </row>
    <row r="234" spans="1:2" x14ac:dyDescent="0.25">
      <c r="A234" s="74" t="str">
        <f>CustomerData!B:B</f>
        <v>KB_ISPAT</v>
      </c>
      <c r="B234" s="74">
        <f>CustomerData!A:A</f>
        <v>448</v>
      </c>
    </row>
    <row r="235" spans="1:2" x14ac:dyDescent="0.25">
      <c r="A235" s="74" t="str">
        <f>CustomerData!B:B</f>
        <v>KEIPL_Naroda</v>
      </c>
      <c r="B235" s="74">
        <f>CustomerData!A:A</f>
        <v>449</v>
      </c>
    </row>
    <row r="236" spans="1:2" x14ac:dyDescent="0.25">
      <c r="A236" s="74" t="str">
        <f>CustomerData!B:B</f>
        <v>KEIPL_AmbaShakti</v>
      </c>
      <c r="B236" s="74">
        <f>CustomerData!A:A</f>
        <v>450</v>
      </c>
    </row>
    <row r="237" spans="1:2" x14ac:dyDescent="0.25">
      <c r="A237" s="74" t="str">
        <f>CustomerData!B:B</f>
        <v>KEIPL_Colourtex</v>
      </c>
      <c r="B237" s="74">
        <f>CustomerData!A:A</f>
        <v>451</v>
      </c>
    </row>
    <row r="238" spans="1:2" x14ac:dyDescent="0.25">
      <c r="A238" s="74" t="str">
        <f>CustomerData!B:B</f>
        <v>KEIPL_Colourtex_Pandeshwara</v>
      </c>
      <c r="B238" s="74">
        <f>CustomerData!A:A</f>
        <v>452</v>
      </c>
    </row>
    <row r="239" spans="1:2" x14ac:dyDescent="0.25">
      <c r="A239" s="74" t="str">
        <f>CustomerData!B:B</f>
        <v>KEIPL_Continental</v>
      </c>
      <c r="B239" s="74">
        <f>CustomerData!A:A</f>
        <v>453</v>
      </c>
    </row>
    <row r="240" spans="1:2" x14ac:dyDescent="0.25">
      <c r="A240" s="74" t="str">
        <f>CustomerData!B:B</f>
        <v>KEIPL_CTXLife</v>
      </c>
      <c r="B240" s="74">
        <f>CustomerData!A:A</f>
        <v>454</v>
      </c>
    </row>
    <row r="241" spans="1:2" x14ac:dyDescent="0.25">
      <c r="A241" s="74" t="str">
        <f>CustomerData!B:B</f>
        <v>KEIPL_Dadri_Cement</v>
      </c>
      <c r="B241" s="74">
        <f>CustomerData!A:A</f>
        <v>455</v>
      </c>
    </row>
    <row r="242" spans="1:2" x14ac:dyDescent="0.25">
      <c r="A242" s="74" t="str">
        <f>CustomerData!B:B</f>
        <v>KEIPL_Diamond</v>
      </c>
      <c r="B242" s="74">
        <f>CustomerData!A:A</f>
        <v>456</v>
      </c>
    </row>
    <row r="243" spans="1:2" x14ac:dyDescent="0.25">
      <c r="A243" s="74" t="str">
        <f>CustomerData!B:B</f>
        <v>KEIPL_Gridco</v>
      </c>
      <c r="B243" s="74">
        <f>CustomerData!A:A</f>
        <v>457</v>
      </c>
    </row>
    <row r="244" spans="1:2" x14ac:dyDescent="0.25">
      <c r="A244" s="74" t="str">
        <f>CustomerData!B:B</f>
        <v>KEIPL_Kiri_Ind</v>
      </c>
      <c r="B244" s="74">
        <f>CustomerData!A:A</f>
        <v>458</v>
      </c>
    </row>
    <row r="245" spans="1:2" x14ac:dyDescent="0.25">
      <c r="A245" s="74" t="str">
        <f>CustomerData!B:B</f>
        <v>KEIPL_Reliance</v>
      </c>
      <c r="B245" s="74">
        <f>CustomerData!A:A</f>
        <v>459</v>
      </c>
    </row>
    <row r="246" spans="1:2" x14ac:dyDescent="0.25">
      <c r="A246" s="74" t="str">
        <f>CustomerData!B:B</f>
        <v>Kejriwal</v>
      </c>
      <c r="B246" s="74">
        <f>CustomerData!A:A</f>
        <v>460</v>
      </c>
    </row>
    <row r="247" spans="1:2" x14ac:dyDescent="0.25">
      <c r="A247" s="74" t="str">
        <f>CustomerData!B:B</f>
        <v>KFIL</v>
      </c>
      <c r="B247" s="74">
        <f>CustomerData!A:A</f>
        <v>461</v>
      </c>
    </row>
    <row r="248" spans="1:2" x14ac:dyDescent="0.25">
      <c r="A248" s="74" t="str">
        <f>CustomerData!B:B</f>
        <v>Kores</v>
      </c>
      <c r="B248" s="74">
        <f>CustomerData!A:A</f>
        <v>462</v>
      </c>
    </row>
    <row r="249" spans="1:2" x14ac:dyDescent="0.25">
      <c r="A249" s="74" t="str">
        <f>CustomerData!B:B</f>
        <v>Kores_Chakan</v>
      </c>
      <c r="B249" s="74">
        <f>CustomerData!A:A</f>
        <v>463</v>
      </c>
    </row>
    <row r="250" spans="1:2" x14ac:dyDescent="0.25">
      <c r="A250" s="74" t="str">
        <f>CustomerData!B:B</f>
        <v>Kores_Pefco</v>
      </c>
      <c r="B250" s="74">
        <f>CustomerData!A:A</f>
        <v>464</v>
      </c>
    </row>
    <row r="251" spans="1:2" x14ac:dyDescent="0.25">
      <c r="A251" s="74" t="str">
        <f>CustomerData!B:B</f>
        <v>Krishna_Verala</v>
      </c>
      <c r="B251" s="74">
        <f>CustomerData!A:A</f>
        <v>465</v>
      </c>
    </row>
    <row r="252" spans="1:2" x14ac:dyDescent="0.25">
      <c r="A252" s="74" t="str">
        <f>CustomerData!B:B</f>
        <v>KSEB</v>
      </c>
      <c r="B252" s="74">
        <f>CustomerData!A:A</f>
        <v>466</v>
      </c>
    </row>
    <row r="253" spans="1:2" x14ac:dyDescent="0.25">
      <c r="A253" s="74" t="str">
        <f>CustomerData!B:B</f>
        <v>KSEB_IEX</v>
      </c>
      <c r="B253" s="74">
        <f>CustomerData!A:A</f>
        <v>467</v>
      </c>
    </row>
    <row r="254" spans="1:2" x14ac:dyDescent="0.25">
      <c r="A254" s="74" t="str">
        <f>CustomerData!B:B</f>
        <v>KSL_KAMLESHWAR</v>
      </c>
      <c r="B254" s="74">
        <f>CustomerData!A:A</f>
        <v>468</v>
      </c>
    </row>
    <row r="255" spans="1:2" x14ac:dyDescent="0.25">
      <c r="A255" s="74" t="str">
        <f>CustomerData!B:B</f>
        <v>KSL_LACHALKARANGI</v>
      </c>
      <c r="B255" s="74">
        <f>CustomerData!A:A</f>
        <v>469</v>
      </c>
    </row>
    <row r="256" spans="1:2" x14ac:dyDescent="0.25">
      <c r="A256" s="74" t="str">
        <f>CustomerData!B:B</f>
        <v>KSLIL</v>
      </c>
      <c r="B256" s="74">
        <f>CustomerData!A:A</f>
        <v>470</v>
      </c>
    </row>
    <row r="257" spans="1:2" x14ac:dyDescent="0.25">
      <c r="A257" s="74" t="str">
        <f>CustomerData!B:B</f>
        <v>KSLIL_U#2</v>
      </c>
      <c r="B257" s="74">
        <f>CustomerData!A:A</f>
        <v>471</v>
      </c>
    </row>
    <row r="258" spans="1:2" x14ac:dyDescent="0.25">
      <c r="A258" s="74" t="str">
        <f>CustomerData!B:B</f>
        <v>Kumar_Spintex</v>
      </c>
      <c r="B258" s="74">
        <f>CustomerData!A:A</f>
        <v>472</v>
      </c>
    </row>
    <row r="259" spans="1:2" x14ac:dyDescent="0.25">
      <c r="A259" s="74" t="str">
        <f>CustomerData!B:B</f>
        <v>Lavish_Granito</v>
      </c>
      <c r="B259" s="74">
        <f>CustomerData!A:A</f>
        <v>473</v>
      </c>
    </row>
    <row r="260" spans="1:2" x14ac:dyDescent="0.25">
      <c r="A260" s="74" t="str">
        <f>CustomerData!B:B</f>
        <v>LAXCON</v>
      </c>
      <c r="B260" s="74">
        <f>CustomerData!A:A</f>
        <v>474</v>
      </c>
    </row>
    <row r="261" spans="1:2" x14ac:dyDescent="0.25">
      <c r="A261" s="74" t="str">
        <f>CustomerData!B:B</f>
        <v>Lupin</v>
      </c>
      <c r="B261" s="74">
        <f>CustomerData!A:A</f>
        <v>475</v>
      </c>
    </row>
    <row r="262" spans="1:2" x14ac:dyDescent="0.25">
      <c r="A262" s="74" t="str">
        <f>CustomerData!B:B</f>
        <v>M.D.INDUCTO_CASTE</v>
      </c>
      <c r="B262" s="74">
        <f>CustomerData!A:A</f>
        <v>476</v>
      </c>
    </row>
    <row r="263" spans="1:2" x14ac:dyDescent="0.25">
      <c r="A263" s="74" t="str">
        <f>CustomerData!B:B</f>
        <v>MAHABAL</v>
      </c>
      <c r="B263" s="74">
        <f>CustomerData!A:A</f>
        <v>477</v>
      </c>
    </row>
    <row r="264" spans="1:2" x14ac:dyDescent="0.25">
      <c r="A264" s="74" t="str">
        <f>CustomerData!B:B</f>
        <v>Maithan_Alloys_Limited_MPL</v>
      </c>
      <c r="B264" s="74">
        <f>CustomerData!A:A</f>
        <v>478</v>
      </c>
    </row>
    <row r="265" spans="1:2" x14ac:dyDescent="0.25">
      <c r="A265" s="74" t="str">
        <f>CustomerData!B:B</f>
        <v>Maize</v>
      </c>
      <c r="B265" s="74">
        <f>CustomerData!A:A</f>
        <v>479</v>
      </c>
    </row>
    <row r="266" spans="1:2" x14ac:dyDescent="0.25">
      <c r="A266" s="74" t="str">
        <f>CustomerData!B:B</f>
        <v>Manikaran_Amulfed</v>
      </c>
      <c r="B266" s="74">
        <f>CustomerData!A:A</f>
        <v>480</v>
      </c>
    </row>
    <row r="267" spans="1:2" x14ac:dyDescent="0.25">
      <c r="A267" s="74" t="str">
        <f>CustomerData!B:B</f>
        <v>MANIKARAN_ATC_Tires</v>
      </c>
      <c r="B267" s="74">
        <f>CustomerData!A:A</f>
        <v>481</v>
      </c>
    </row>
    <row r="268" spans="1:2" x14ac:dyDescent="0.25">
      <c r="A268" s="74" t="str">
        <f>CustomerData!B:B</f>
        <v>Manikaran_Banaskantha</v>
      </c>
      <c r="B268" s="74">
        <f>CustomerData!A:A</f>
        <v>482</v>
      </c>
    </row>
    <row r="269" spans="1:2" x14ac:dyDescent="0.25">
      <c r="A269" s="74" t="str">
        <f>CustomerData!B:B</f>
        <v>Manikaran_Hollis</v>
      </c>
      <c r="B269" s="74">
        <f>CustomerData!A:A</f>
        <v>483</v>
      </c>
    </row>
    <row r="270" spans="1:2" x14ac:dyDescent="0.25">
      <c r="A270" s="74" t="str">
        <f>CustomerData!B:B</f>
        <v>Manikaran_UP</v>
      </c>
      <c r="B270" s="74">
        <f>CustomerData!A:A</f>
        <v>484</v>
      </c>
    </row>
    <row r="271" spans="1:2" x14ac:dyDescent="0.25">
      <c r="A271" s="74" t="str">
        <f>CustomerData!B:B</f>
        <v>MBO_Granito</v>
      </c>
      <c r="B271" s="74">
        <f>CustomerData!A:A</f>
        <v>485</v>
      </c>
    </row>
    <row r="272" spans="1:2" x14ac:dyDescent="0.25">
      <c r="A272" s="74" t="str">
        <f>CustomerData!B:B</f>
        <v>MePDCL</v>
      </c>
      <c r="B272" s="74">
        <f>CustomerData!A:A</f>
        <v>486</v>
      </c>
    </row>
    <row r="273" spans="1:2" x14ac:dyDescent="0.25">
      <c r="A273" s="74" t="str">
        <f>CustomerData!B:B</f>
        <v>Metropole</v>
      </c>
      <c r="B273" s="74">
        <f>CustomerData!A:A</f>
        <v>487</v>
      </c>
    </row>
    <row r="274" spans="1:2" x14ac:dyDescent="0.25">
      <c r="A274" s="74" t="str">
        <f>CustomerData!B:B</f>
        <v>Millenium_Papers</v>
      </c>
      <c r="B274" s="74">
        <f>CustomerData!A:A</f>
        <v>488</v>
      </c>
    </row>
    <row r="275" spans="1:2" x14ac:dyDescent="0.25">
      <c r="A275" s="74" t="str">
        <f>CustomerData!B:B</f>
        <v>MILLENNIUM</v>
      </c>
      <c r="B275" s="74">
        <f>CustomerData!A:A</f>
        <v>489</v>
      </c>
    </row>
    <row r="276" spans="1:2" x14ac:dyDescent="0.25">
      <c r="A276" s="74" t="str">
        <f>CustomerData!B:B</f>
        <v>MINDSPACE</v>
      </c>
      <c r="B276" s="74">
        <f>CustomerData!A:A</f>
        <v>490</v>
      </c>
    </row>
    <row r="277" spans="1:2" x14ac:dyDescent="0.25">
      <c r="A277" s="74" t="str">
        <f>CustomerData!B:B</f>
        <v>Mittal</v>
      </c>
      <c r="B277" s="74">
        <f>CustomerData!A:A</f>
        <v>491</v>
      </c>
    </row>
    <row r="278" spans="1:2" x14ac:dyDescent="0.25">
      <c r="A278" s="74" t="str">
        <f>CustomerData!B:B</f>
        <v>MITTAL_AMBA_SHAKTI</v>
      </c>
      <c r="B278" s="74">
        <f>CustomerData!A:A</f>
        <v>492</v>
      </c>
    </row>
    <row r="279" spans="1:2" x14ac:dyDescent="0.25">
      <c r="A279" s="74" t="str">
        <f>CustomerData!B:B</f>
        <v>MITTAL_CONTINENTAL</v>
      </c>
      <c r="B279" s="74">
        <f>CustomerData!A:A</f>
        <v>493</v>
      </c>
    </row>
    <row r="280" spans="1:2" x14ac:dyDescent="0.25">
      <c r="A280" s="74" t="str">
        <f>CustomerData!B:B</f>
        <v>MITTAL_DIAMOND</v>
      </c>
      <c r="B280" s="74">
        <f>CustomerData!A:A</f>
        <v>494</v>
      </c>
    </row>
    <row r="281" spans="1:2" x14ac:dyDescent="0.25">
      <c r="A281" s="74" t="str">
        <f>CustomerData!B:B</f>
        <v>MITTAL_KIRLOSKAR</v>
      </c>
      <c r="B281" s="74">
        <f>CustomerData!A:A</f>
        <v>495</v>
      </c>
    </row>
    <row r="282" spans="1:2" x14ac:dyDescent="0.25">
      <c r="A282" s="74" t="str">
        <f>CustomerData!B:B</f>
        <v>MITTAL_RELIANCE</v>
      </c>
      <c r="B282" s="74">
        <f>CustomerData!A:A</f>
        <v>496</v>
      </c>
    </row>
    <row r="283" spans="1:2" x14ac:dyDescent="0.25">
      <c r="A283" s="74" t="str">
        <f>CustomerData!B:B</f>
        <v>MITTAL_TATA_DISCOM</v>
      </c>
      <c r="B283" s="74">
        <f>CustomerData!A:A</f>
        <v>497</v>
      </c>
    </row>
    <row r="284" spans="1:2" x14ac:dyDescent="0.25">
      <c r="A284" s="74" t="str">
        <f>CustomerData!B:B</f>
        <v>MITTAL_VACMET</v>
      </c>
      <c r="B284" s="74">
        <f>CustomerData!A:A</f>
        <v>498</v>
      </c>
    </row>
    <row r="285" spans="1:2" x14ac:dyDescent="0.25">
      <c r="A285" s="74" t="str">
        <f>CustomerData!B:B</f>
        <v>Mohite</v>
      </c>
      <c r="B285" s="74">
        <f>CustomerData!A:A</f>
        <v>499</v>
      </c>
    </row>
    <row r="286" spans="1:2" x14ac:dyDescent="0.25">
      <c r="A286" s="74" t="str">
        <f>CustomerData!B:B</f>
        <v>MONO_STEEL</v>
      </c>
      <c r="B286" s="74">
        <f>CustomerData!A:A</f>
        <v>500</v>
      </c>
    </row>
    <row r="287" spans="1:2" x14ac:dyDescent="0.25">
      <c r="A287" s="74" t="str">
        <f>CustomerData!B:B</f>
        <v>MOTHERSON</v>
      </c>
      <c r="B287" s="74">
        <f>CustomerData!A:A</f>
        <v>501</v>
      </c>
    </row>
    <row r="288" spans="1:2" x14ac:dyDescent="0.25">
      <c r="A288" s="74" t="str">
        <f>CustomerData!B:B</f>
        <v>MP</v>
      </c>
      <c r="B288" s="74">
        <f>CustomerData!A:A</f>
        <v>502</v>
      </c>
    </row>
    <row r="289" spans="1:2" x14ac:dyDescent="0.25">
      <c r="A289" s="74" t="str">
        <f>CustomerData!B:B</f>
        <v>MPL_Punjab</v>
      </c>
      <c r="B289" s="74">
        <f>CustomerData!A:A</f>
        <v>503</v>
      </c>
    </row>
    <row r="290" spans="1:2" x14ac:dyDescent="0.25">
      <c r="A290" s="74" t="str">
        <f>CustomerData!B:B</f>
        <v>MPL_ATC_Tyres_Additional</v>
      </c>
      <c r="B290" s="74">
        <f>CustomerData!A:A</f>
        <v>504</v>
      </c>
    </row>
    <row r="291" spans="1:2" x14ac:dyDescent="0.25">
      <c r="A291" s="74" t="str">
        <f>CustomerData!B:B</f>
        <v>MPL_UPPCL</v>
      </c>
      <c r="B291" s="74">
        <f>CustomerData!A:A</f>
        <v>505</v>
      </c>
    </row>
    <row r="292" spans="1:2" x14ac:dyDescent="0.25">
      <c r="A292" s="74" t="str">
        <f>CustomerData!B:B</f>
        <v>MSEDCL</v>
      </c>
      <c r="B292" s="74">
        <f>CustomerData!A:A</f>
        <v>506</v>
      </c>
    </row>
    <row r="293" spans="1:2" x14ac:dyDescent="0.25">
      <c r="A293" s="74" t="str">
        <f>CustomerData!B:B</f>
        <v>MSEDCL_1200MW_PPA</v>
      </c>
      <c r="B293" s="74">
        <f>CustomerData!A:A</f>
        <v>507</v>
      </c>
    </row>
    <row r="294" spans="1:2" x14ac:dyDescent="0.25">
      <c r="A294" s="74" t="str">
        <f>CustomerData!B:B</f>
        <v>MSEDCL_125MW_PPA</v>
      </c>
      <c r="B294" s="74">
        <f>CustomerData!A:A</f>
        <v>508</v>
      </c>
    </row>
    <row r="295" spans="1:2" x14ac:dyDescent="0.25">
      <c r="A295" s="74" t="str">
        <f>CustomerData!B:B</f>
        <v>MSEDCL_1320MW_PPA</v>
      </c>
      <c r="B295" s="74">
        <f>CustomerData!A:A</f>
        <v>509</v>
      </c>
    </row>
    <row r="296" spans="1:2" x14ac:dyDescent="0.25">
      <c r="A296" s="74" t="str">
        <f>CustomerData!B:B</f>
        <v>MSEDCL_IEX_Weekly_Day</v>
      </c>
      <c r="B296" s="74">
        <f>CustomerData!A:A</f>
        <v>510</v>
      </c>
    </row>
    <row r="297" spans="1:2" x14ac:dyDescent="0.25">
      <c r="A297" s="74" t="str">
        <f>CustomerData!B:B</f>
        <v>MSEDCL_PXIL_Any_Day_Day</v>
      </c>
      <c r="B297" s="74">
        <f>CustomerData!A:A</f>
        <v>511</v>
      </c>
    </row>
    <row r="298" spans="1:2" x14ac:dyDescent="0.25">
      <c r="A298" s="74" t="str">
        <f>CustomerData!B:B</f>
        <v>MSEDCL_PXIL_Any_Day_Off_Peak</v>
      </c>
      <c r="B298" s="74">
        <f>CustomerData!A:A</f>
        <v>512</v>
      </c>
    </row>
    <row r="299" spans="1:2" x14ac:dyDescent="0.25">
      <c r="A299" s="74" t="str">
        <f>CustomerData!B:B</f>
        <v>MSEDCL_PXIL_Any_Day_Peak</v>
      </c>
      <c r="B299" s="74">
        <f>CustomerData!A:A</f>
        <v>513</v>
      </c>
    </row>
    <row r="300" spans="1:2" x14ac:dyDescent="0.25">
      <c r="A300" s="74" t="str">
        <f>CustomerData!B:B</f>
        <v>MSEDCL_PXIL_Any_Day_RTC</v>
      </c>
      <c r="B300" s="74">
        <f>CustomerData!A:A</f>
        <v>514</v>
      </c>
    </row>
    <row r="301" spans="1:2" x14ac:dyDescent="0.25">
      <c r="A301" s="74" t="str">
        <f>CustomerData!B:B</f>
        <v>MSEDCL_PXIL_Intra_Day_Day</v>
      </c>
      <c r="B301" s="74">
        <f>CustomerData!A:A</f>
        <v>515</v>
      </c>
    </row>
    <row r="302" spans="1:2" x14ac:dyDescent="0.25">
      <c r="A302" s="74" t="str">
        <f>CustomerData!B:B</f>
        <v>MSEDCL_PXIL_Intra_Day_Off_Peak</v>
      </c>
      <c r="B302" s="74">
        <f>CustomerData!A:A</f>
        <v>516</v>
      </c>
    </row>
    <row r="303" spans="1:2" x14ac:dyDescent="0.25">
      <c r="A303" s="74" t="str">
        <f>CustomerData!B:B</f>
        <v>MSEDCL_PXIL_Intra_Day_Peak</v>
      </c>
      <c r="B303" s="74">
        <f>CustomerData!A:A</f>
        <v>517</v>
      </c>
    </row>
    <row r="304" spans="1:2" x14ac:dyDescent="0.25">
      <c r="A304" s="74" t="str">
        <f>CustomerData!B:B</f>
        <v>MSEDCL_PXIL_Weekly_Day</v>
      </c>
      <c r="B304" s="74">
        <f>CustomerData!A:A</f>
        <v>518</v>
      </c>
    </row>
    <row r="305" spans="1:2" x14ac:dyDescent="0.25">
      <c r="A305" s="74" t="str">
        <f>CustomerData!B:B</f>
        <v>MSEDCL_PXIL_Weekly_Off_Peak</v>
      </c>
      <c r="B305" s="74">
        <f>CustomerData!A:A</f>
        <v>519</v>
      </c>
    </row>
    <row r="306" spans="1:2" x14ac:dyDescent="0.25">
      <c r="A306" s="74" t="str">
        <f>CustomerData!B:B</f>
        <v>MSPDCL</v>
      </c>
      <c r="B306" s="74">
        <f>CustomerData!A:A</f>
        <v>520</v>
      </c>
    </row>
    <row r="307" spans="1:2" x14ac:dyDescent="0.25">
      <c r="A307" s="74" t="str">
        <f>CustomerData!B:B</f>
        <v>MUPL</v>
      </c>
      <c r="B307" s="74">
        <f>CustomerData!A:A</f>
        <v>521</v>
      </c>
    </row>
    <row r="308" spans="1:2" x14ac:dyDescent="0.25">
      <c r="A308" s="74" t="str">
        <f>CustomerData!B:B</f>
        <v>MUPL_Add</v>
      </c>
      <c r="B308" s="74">
        <f>CustomerData!A:A</f>
        <v>522</v>
      </c>
    </row>
    <row r="309" spans="1:2" x14ac:dyDescent="0.25">
      <c r="A309" s="74" t="str">
        <f>CustomerData!B:B</f>
        <v>MUPL_Bilateral</v>
      </c>
      <c r="B309" s="74">
        <f>CustomerData!A:A</f>
        <v>523</v>
      </c>
    </row>
    <row r="310" spans="1:2" x14ac:dyDescent="0.25">
      <c r="A310" s="74" t="str">
        <f>CustomerData!B:B</f>
        <v>MUPL_Contingency</v>
      </c>
      <c r="B310" s="74">
        <f>CustomerData!A:A</f>
        <v>524</v>
      </c>
    </row>
    <row r="311" spans="1:2" x14ac:dyDescent="0.25">
      <c r="A311" s="74" t="str">
        <f>CustomerData!B:B</f>
        <v>NCR</v>
      </c>
      <c r="B311" s="74">
        <f>CustomerData!A:A</f>
        <v>525</v>
      </c>
    </row>
    <row r="312" spans="1:2" x14ac:dyDescent="0.25">
      <c r="A312" s="74" t="str">
        <f>CustomerData!B:B</f>
        <v>NCR_DA</v>
      </c>
      <c r="B312" s="74">
        <f>CustomerData!A:A</f>
        <v>526</v>
      </c>
    </row>
    <row r="313" spans="1:2" x14ac:dyDescent="0.25">
      <c r="A313" s="74" t="str">
        <f>CustomerData!B:B</f>
        <v>NEA_PTC</v>
      </c>
      <c r="B313" s="74">
        <f>CustomerData!A:A</f>
        <v>527</v>
      </c>
    </row>
    <row r="314" spans="1:2" x14ac:dyDescent="0.25">
      <c r="A314" s="74" t="str">
        <f>CustomerData!B:B</f>
        <v>Neosym</v>
      </c>
      <c r="B314" s="74">
        <f>CustomerData!A:A</f>
        <v>528</v>
      </c>
    </row>
    <row r="315" spans="1:2" x14ac:dyDescent="0.25">
      <c r="A315" s="74" t="str">
        <f>CustomerData!B:B</f>
        <v>NHPC_UPPCL</v>
      </c>
      <c r="B315" s="74">
        <f>CustomerData!A:A</f>
        <v>529</v>
      </c>
    </row>
    <row r="316" spans="1:2" x14ac:dyDescent="0.25">
      <c r="A316" s="74" t="str">
        <f>CustomerData!B:B</f>
        <v>NHPC_UPPCL_DA</v>
      </c>
      <c r="B316" s="74">
        <f>CustomerData!A:A</f>
        <v>530</v>
      </c>
    </row>
    <row r="317" spans="1:2" x14ac:dyDescent="0.25">
      <c r="A317" s="74" t="str">
        <f>CustomerData!B:B</f>
        <v>NHPC_Andhra</v>
      </c>
      <c r="B317" s="74">
        <f>CustomerData!A:A</f>
        <v>531</v>
      </c>
    </row>
    <row r="318" spans="1:2" x14ac:dyDescent="0.25">
      <c r="A318" s="74" t="str">
        <f>CustomerData!B:B</f>
        <v>Nilkanth</v>
      </c>
      <c r="B318" s="74">
        <f>CustomerData!A:A</f>
        <v>532</v>
      </c>
    </row>
    <row r="319" spans="1:2" x14ac:dyDescent="0.25">
      <c r="A319" s="74" t="str">
        <f>CustomerData!B:B</f>
        <v>Nipro</v>
      </c>
      <c r="B319" s="74">
        <f>CustomerData!A:A</f>
        <v>533</v>
      </c>
    </row>
    <row r="320" spans="1:2" x14ac:dyDescent="0.25">
      <c r="A320" s="74" t="str">
        <f>CustomerData!B:B</f>
        <v>NPCL</v>
      </c>
      <c r="B320" s="74">
        <f>CustomerData!A:A</f>
        <v>534</v>
      </c>
    </row>
    <row r="321" spans="1:2" x14ac:dyDescent="0.25">
      <c r="A321" s="74" t="str">
        <f>CustomerData!B:B</f>
        <v>NPCL_STU</v>
      </c>
      <c r="B321" s="74">
        <f>CustomerData!A:A</f>
        <v>535</v>
      </c>
    </row>
    <row r="322" spans="1:2" x14ac:dyDescent="0.25">
      <c r="A322" s="74" t="str">
        <f>CustomerData!B:B</f>
        <v>NVVN_WBSEDCL</v>
      </c>
      <c r="B322" s="74">
        <f>CustomerData!A:A</f>
        <v>536</v>
      </c>
    </row>
    <row r="323" spans="1:2" x14ac:dyDescent="0.25">
      <c r="A323" s="74" t="str">
        <f>CustomerData!B:B</f>
        <v>NVVN_UPPCL_(NR/2020/80752/A)</v>
      </c>
      <c r="B323" s="74">
        <f>CustomerData!A:A</f>
        <v>537</v>
      </c>
    </row>
    <row r="324" spans="1:2" x14ac:dyDescent="0.25">
      <c r="A324" s="74" t="str">
        <f>CustomerData!B:B</f>
        <v>NVVN_TANGEDCO</v>
      </c>
      <c r="B324" s="74">
        <f>CustomerData!A:A</f>
        <v>538</v>
      </c>
    </row>
    <row r="325" spans="1:2" x14ac:dyDescent="0.25">
      <c r="A325" s="74" t="str">
        <f>CustomerData!B:B</f>
        <v>NVVN_NEPAL</v>
      </c>
      <c r="B325" s="74">
        <f>CustomerData!A:A</f>
        <v>539</v>
      </c>
    </row>
    <row r="326" spans="1:2" x14ac:dyDescent="0.25">
      <c r="A326" s="74" t="str">
        <f>CustomerData!B:B</f>
        <v>NVVN_NEPAL_Contigency</v>
      </c>
      <c r="B326" s="74">
        <f>CustomerData!A:A</f>
        <v>540</v>
      </c>
    </row>
    <row r="327" spans="1:2" x14ac:dyDescent="0.25">
      <c r="A327" s="74" t="str">
        <f>CustomerData!B:B</f>
        <v>NVVN_UP_DA</v>
      </c>
      <c r="B327" s="74">
        <f>CustomerData!A:A</f>
        <v>541</v>
      </c>
    </row>
    <row r="328" spans="1:2" x14ac:dyDescent="0.25">
      <c r="A328" s="74" t="str">
        <f>CustomerData!B:B</f>
        <v>NVVN_UPPCL_(DAC)</v>
      </c>
      <c r="B328" s="74">
        <f>CustomerData!A:A</f>
        <v>542</v>
      </c>
    </row>
    <row r="329" spans="1:2" x14ac:dyDescent="0.25">
      <c r="A329" s="74" t="str">
        <f>CustomerData!B:B</f>
        <v>NVVN_UPPCL_(NR/2020/80751/A)</v>
      </c>
      <c r="B329" s="74">
        <f>CustomerData!A:A</f>
        <v>543</v>
      </c>
    </row>
    <row r="330" spans="1:2" x14ac:dyDescent="0.25">
      <c r="A330" s="74" t="str">
        <f>CustomerData!B:B</f>
        <v>NVVNL_NEA</v>
      </c>
      <c r="B330" s="74">
        <f>CustomerData!A:A</f>
        <v>544</v>
      </c>
    </row>
    <row r="331" spans="1:2" x14ac:dyDescent="0.25">
      <c r="A331" s="74" t="str">
        <f>CustomerData!B:B</f>
        <v>Oasis_Tiles_LLP</v>
      </c>
      <c r="B331" s="74">
        <f>CustomerData!A:A</f>
        <v>545</v>
      </c>
    </row>
    <row r="332" spans="1:2" x14ac:dyDescent="0.25">
      <c r="A332" s="74" t="str">
        <f>CustomerData!B:B</f>
        <v>Olwin_Tiles_India_Pvt_ltd</v>
      </c>
      <c r="B332" s="74">
        <f>CustomerData!A:A</f>
        <v>546</v>
      </c>
    </row>
    <row r="333" spans="1:2" x14ac:dyDescent="0.25">
      <c r="A333" s="74" t="str">
        <f>CustomerData!B:B</f>
        <v>Otsuka_STOA</v>
      </c>
      <c r="B333" s="74">
        <f>CustomerData!A:A</f>
        <v>547</v>
      </c>
    </row>
    <row r="334" spans="1:2" x14ac:dyDescent="0.25">
      <c r="A334" s="74" t="str">
        <f>CustomerData!B:B</f>
        <v>Otsuka_Pharmaceutical</v>
      </c>
      <c r="B334" s="74">
        <f>CustomerData!A:A</f>
        <v>548</v>
      </c>
    </row>
    <row r="335" spans="1:2" x14ac:dyDescent="0.25">
      <c r="A335" s="74" t="str">
        <f>CustomerData!B:B</f>
        <v>PCKL</v>
      </c>
      <c r="B335" s="74">
        <f>CustomerData!A:A</f>
        <v>549</v>
      </c>
    </row>
    <row r="336" spans="1:2" x14ac:dyDescent="0.25">
      <c r="A336" s="74" t="str">
        <f>CustomerData!B:B</f>
        <v>Pee_Vee_Textiles</v>
      </c>
      <c r="B336" s="74">
        <f>CustomerData!A:A</f>
        <v>550</v>
      </c>
    </row>
    <row r="337" spans="1:2" x14ac:dyDescent="0.25">
      <c r="A337" s="74" t="str">
        <f>CustomerData!B:B</f>
        <v>Perfect_Circle</v>
      </c>
      <c r="B337" s="74">
        <f>CustomerData!A:A</f>
        <v>551</v>
      </c>
    </row>
    <row r="338" spans="1:2" x14ac:dyDescent="0.25">
      <c r="A338" s="74" t="str">
        <f>CustomerData!B:B</f>
        <v>PFPLA</v>
      </c>
      <c r="B338" s="74">
        <f>CustomerData!A:A</f>
        <v>552</v>
      </c>
    </row>
    <row r="339" spans="1:2" x14ac:dyDescent="0.25">
      <c r="A339" s="74" t="str">
        <f>CustomerData!B:B</f>
        <v>Piaggio</v>
      </c>
      <c r="B339" s="74">
        <f>CustomerData!A:A</f>
        <v>553</v>
      </c>
    </row>
    <row r="340" spans="1:2" x14ac:dyDescent="0.25">
      <c r="A340" s="74" t="str">
        <f>CustomerData!B:B</f>
        <v>Piramal_Jambusar</v>
      </c>
      <c r="B340" s="74">
        <f>CustomerData!A:A</f>
        <v>554</v>
      </c>
    </row>
    <row r="341" spans="1:2" x14ac:dyDescent="0.25">
      <c r="A341" s="74" t="str">
        <f>CustomerData!B:B</f>
        <v>Piramal_Kosamba</v>
      </c>
      <c r="B341" s="74">
        <f>CustomerData!A:A</f>
        <v>555</v>
      </c>
    </row>
    <row r="342" spans="1:2" x14ac:dyDescent="0.25">
      <c r="A342" s="74" t="str">
        <f>CustomerData!B:B</f>
        <v>PIRAMAL_STU</v>
      </c>
      <c r="B342" s="74">
        <f>CustomerData!A:A</f>
        <v>556</v>
      </c>
    </row>
    <row r="343" spans="1:2" x14ac:dyDescent="0.25">
      <c r="A343" s="74" t="str">
        <f>CustomerData!B:B</f>
        <v>POSCO</v>
      </c>
      <c r="B343" s="74">
        <f>CustomerData!A:A</f>
        <v>557</v>
      </c>
    </row>
    <row r="344" spans="1:2" x14ac:dyDescent="0.25">
      <c r="A344" s="74" t="str">
        <f>CustomerData!B:B</f>
        <v>PRAFUL</v>
      </c>
      <c r="B344" s="74">
        <f>CustomerData!A:A</f>
        <v>558</v>
      </c>
    </row>
    <row r="345" spans="1:2" x14ac:dyDescent="0.25">
      <c r="A345" s="74" t="str">
        <f>CustomerData!B:B</f>
        <v>Proton</v>
      </c>
      <c r="B345" s="74">
        <f>CustomerData!A:A</f>
        <v>559</v>
      </c>
    </row>
    <row r="346" spans="1:2" x14ac:dyDescent="0.25">
      <c r="A346" s="74" t="str">
        <f>CustomerData!B:B</f>
        <v>PSPCL</v>
      </c>
      <c r="B346" s="74">
        <f>CustomerData!A:A</f>
        <v>560</v>
      </c>
    </row>
    <row r="347" spans="1:2" x14ac:dyDescent="0.25">
      <c r="A347" s="74" t="str">
        <f>CustomerData!B:B</f>
        <v>PTC_GIFT</v>
      </c>
      <c r="B347" s="74">
        <f>CustomerData!A:A</f>
        <v>561</v>
      </c>
    </row>
    <row r="348" spans="1:2" x14ac:dyDescent="0.25">
      <c r="A348" s="74" t="str">
        <f>CustomerData!B:B</f>
        <v>PTC_NEPAL</v>
      </c>
      <c r="B348" s="74">
        <f>CustomerData!A:A</f>
        <v>562</v>
      </c>
    </row>
    <row r="349" spans="1:2" x14ac:dyDescent="0.25">
      <c r="A349" s="74" t="str">
        <f>CustomerData!B:B</f>
        <v>PXIL</v>
      </c>
      <c r="B349" s="74">
        <f>CustomerData!A:A</f>
        <v>563</v>
      </c>
    </row>
    <row r="350" spans="1:2" x14ac:dyDescent="0.25">
      <c r="A350" s="74" t="str">
        <f>CustomerData!B:B</f>
        <v>PXIL_Telengana</v>
      </c>
      <c r="B350" s="74">
        <f>CustomerData!A:A</f>
        <v>564</v>
      </c>
    </row>
    <row r="351" spans="1:2" x14ac:dyDescent="0.25">
      <c r="A351" s="74" t="str">
        <f>CustomerData!B:B</f>
        <v>PXIL_Andhra</v>
      </c>
      <c r="B351" s="74">
        <f>CustomerData!A:A</f>
        <v>565</v>
      </c>
    </row>
    <row r="352" spans="1:2" x14ac:dyDescent="0.25">
      <c r="A352" s="74" t="str">
        <f>CustomerData!B:B</f>
        <v>PXIL_APSPDCL</v>
      </c>
      <c r="B352" s="74">
        <f>CustomerData!A:A</f>
        <v>566</v>
      </c>
    </row>
    <row r="353" spans="1:2" x14ac:dyDescent="0.25">
      <c r="A353" s="74" t="str">
        <f>CustomerData!B:B</f>
        <v>PXIL_RTM</v>
      </c>
      <c r="B353" s="74">
        <f>CustomerData!A:A</f>
        <v>567</v>
      </c>
    </row>
    <row r="354" spans="1:2" x14ac:dyDescent="0.25">
      <c r="A354" s="74" t="str">
        <f>CustomerData!B:B</f>
        <v>PXIL_WBSETCL</v>
      </c>
      <c r="B354" s="74">
        <f>CustomerData!A:A</f>
        <v>568</v>
      </c>
    </row>
    <row r="355" spans="1:2" x14ac:dyDescent="0.25">
      <c r="A355" s="74" t="str">
        <f>CustomerData!B:B</f>
        <v>PXIL_BRPL</v>
      </c>
      <c r="B355" s="74">
        <f>CustomerData!A:A</f>
        <v>569</v>
      </c>
    </row>
    <row r="356" spans="1:2" x14ac:dyDescent="0.25">
      <c r="A356" s="74" t="str">
        <f>CustomerData!B:B</f>
        <v>PXIL_BSPHCL</v>
      </c>
      <c r="B356" s="74">
        <f>CustomerData!A:A</f>
        <v>570</v>
      </c>
    </row>
    <row r="357" spans="1:2" x14ac:dyDescent="0.25">
      <c r="A357" s="74" t="str">
        <f>CustomerData!B:B</f>
        <v>PXIL_DAMAN</v>
      </c>
      <c r="B357" s="74">
        <f>CustomerData!A:A</f>
        <v>571</v>
      </c>
    </row>
    <row r="358" spans="1:2" x14ac:dyDescent="0.25">
      <c r="A358" s="74" t="str">
        <f>CustomerData!B:B</f>
        <v>PXIL_DVC</v>
      </c>
      <c r="B358" s="74">
        <f>CustomerData!A:A</f>
        <v>572</v>
      </c>
    </row>
    <row r="359" spans="1:2" x14ac:dyDescent="0.25">
      <c r="A359" s="74" t="str">
        <f>CustomerData!B:B</f>
        <v>PXIL_MSEDCL</v>
      </c>
      <c r="B359" s="74">
        <f>CustomerData!A:A</f>
        <v>573</v>
      </c>
    </row>
    <row r="360" spans="1:2" x14ac:dyDescent="0.25">
      <c r="A360" s="74" t="str">
        <f>CustomerData!B:B</f>
        <v>PXIL_TANGEDCO</v>
      </c>
      <c r="B360" s="74">
        <f>CustomerData!A:A</f>
        <v>574</v>
      </c>
    </row>
    <row r="361" spans="1:2" x14ac:dyDescent="0.25">
      <c r="A361" s="74" t="str">
        <f>CustomerData!B:B</f>
        <v>PXIL_TSSPDCL</v>
      </c>
      <c r="B361" s="74">
        <f>CustomerData!A:A</f>
        <v>575</v>
      </c>
    </row>
    <row r="362" spans="1:2" x14ac:dyDescent="0.25">
      <c r="A362" s="74" t="str">
        <f>CustomerData!B:B</f>
        <v>PXIL_Vedanta</v>
      </c>
      <c r="B362" s="74">
        <f>CustomerData!A:A</f>
        <v>576</v>
      </c>
    </row>
    <row r="363" spans="1:2" x14ac:dyDescent="0.25">
      <c r="A363" s="74" t="str">
        <f>CustomerData!B:B</f>
        <v>Qutone_Ceramio</v>
      </c>
      <c r="B363" s="74">
        <f>CustomerData!A:A</f>
        <v>577</v>
      </c>
    </row>
    <row r="364" spans="1:2" x14ac:dyDescent="0.25">
      <c r="A364" s="74" t="str">
        <f>CustomerData!B:B</f>
        <v>R_INFRA_IEX_Intra_Day_Peak</v>
      </c>
      <c r="B364" s="74">
        <f>CustomerData!A:A</f>
        <v>578</v>
      </c>
    </row>
    <row r="365" spans="1:2" x14ac:dyDescent="0.25">
      <c r="A365" s="74" t="str">
        <f>CustomerData!B:B</f>
        <v>Rajputana_Stainless_Steel</v>
      </c>
      <c r="B365" s="74">
        <f>CustomerData!A:A</f>
        <v>579</v>
      </c>
    </row>
    <row r="366" spans="1:2" x14ac:dyDescent="0.25">
      <c r="A366" s="74" t="str">
        <f>CustomerData!B:B</f>
        <v>RAJSHREE</v>
      </c>
      <c r="B366" s="74">
        <f>CustomerData!A:A</f>
        <v>580</v>
      </c>
    </row>
    <row r="367" spans="1:2" x14ac:dyDescent="0.25">
      <c r="A367" s="74" t="str">
        <f>CustomerData!B:B</f>
        <v>Rajshree_Additional</v>
      </c>
      <c r="B367" s="74">
        <f>CustomerData!A:A</f>
        <v>581</v>
      </c>
    </row>
    <row r="368" spans="1:2" x14ac:dyDescent="0.25">
      <c r="A368" s="74" t="str">
        <f>CustomerData!B:B</f>
        <v>Raymond_Uco</v>
      </c>
      <c r="B368" s="74">
        <f>CustomerData!A:A</f>
        <v>582</v>
      </c>
    </row>
    <row r="369" spans="1:2" x14ac:dyDescent="0.25">
      <c r="A369" s="74" t="str">
        <f>CustomerData!B:B</f>
        <v>RDPPC</v>
      </c>
      <c r="B369" s="74">
        <f>CustomerData!A:A</f>
        <v>583</v>
      </c>
    </row>
    <row r="370" spans="1:2" x14ac:dyDescent="0.25">
      <c r="A370" s="74" t="str">
        <f>CustomerData!B:B</f>
        <v>RIL</v>
      </c>
      <c r="B370" s="74">
        <f>CustomerData!A:A</f>
        <v>584</v>
      </c>
    </row>
    <row r="371" spans="1:2" x14ac:dyDescent="0.25">
      <c r="A371" s="74" t="str">
        <f>CustomerData!B:B</f>
        <v>Rimjhim_Ispat_Ltd._(RIL)</v>
      </c>
      <c r="B371" s="74">
        <f>CustomerData!A:A</f>
        <v>585</v>
      </c>
    </row>
    <row r="372" spans="1:2" x14ac:dyDescent="0.25">
      <c r="A372" s="74" t="str">
        <f>CustomerData!B:B</f>
        <v>Rimjhim_Stainless_Ltd._(RSL)</v>
      </c>
      <c r="B372" s="74">
        <f>CustomerData!A:A</f>
        <v>586</v>
      </c>
    </row>
    <row r="373" spans="1:2" x14ac:dyDescent="0.25">
      <c r="A373" s="74" t="str">
        <f>CustomerData!B:B</f>
        <v>RL_Steel_and_Energy</v>
      </c>
      <c r="B373" s="74">
        <f>CustomerData!A:A</f>
        <v>587</v>
      </c>
    </row>
    <row r="374" spans="1:2" x14ac:dyDescent="0.25">
      <c r="A374" s="74" t="str">
        <f>CustomerData!B:B</f>
        <v>Rolex_Rings</v>
      </c>
      <c r="B374" s="74">
        <f>CustomerData!A:A</f>
        <v>588</v>
      </c>
    </row>
    <row r="375" spans="1:2" x14ac:dyDescent="0.25">
      <c r="A375" s="74" t="str">
        <f>CustomerData!B:B</f>
        <v>Rubby_Mill</v>
      </c>
      <c r="B375" s="74">
        <f>CustomerData!A:A</f>
        <v>589</v>
      </c>
    </row>
    <row r="376" spans="1:2" x14ac:dyDescent="0.25">
      <c r="A376" s="74" t="str">
        <f>CustomerData!B:B</f>
        <v>Sagreshwar</v>
      </c>
      <c r="B376" s="74">
        <f>CustomerData!A:A</f>
        <v>590</v>
      </c>
    </row>
    <row r="377" spans="1:2" x14ac:dyDescent="0.25">
      <c r="A377" s="74" t="str">
        <f>CustomerData!B:B</f>
        <v>Sarvotam</v>
      </c>
      <c r="B377" s="74">
        <f>CustomerData!A:A</f>
        <v>591</v>
      </c>
    </row>
    <row r="378" spans="1:2" x14ac:dyDescent="0.25">
      <c r="A378" s="74" t="str">
        <f>CustomerData!B:B</f>
        <v>SBTL</v>
      </c>
      <c r="B378" s="74">
        <f>CustomerData!A:A</f>
        <v>592</v>
      </c>
    </row>
    <row r="379" spans="1:2" x14ac:dyDescent="0.25">
      <c r="A379" s="74" t="str">
        <f>CustomerData!B:B</f>
        <v>Schreiber</v>
      </c>
      <c r="B379" s="74">
        <f>CustomerData!A:A</f>
        <v>593</v>
      </c>
    </row>
    <row r="380" spans="1:2" x14ac:dyDescent="0.25">
      <c r="A380" s="74" t="str">
        <f>CustomerData!B:B</f>
        <v>SDDL</v>
      </c>
      <c r="B380" s="74">
        <f>CustomerData!A:A</f>
        <v>594</v>
      </c>
    </row>
    <row r="381" spans="1:2" x14ac:dyDescent="0.25">
      <c r="A381" s="74" t="str">
        <f>CustomerData!B:B</f>
        <v>SEACO</v>
      </c>
      <c r="B381" s="74">
        <f>CustomerData!A:A</f>
        <v>595</v>
      </c>
    </row>
    <row r="382" spans="1:2" x14ac:dyDescent="0.25">
      <c r="A382" s="74" t="str">
        <f>CustomerData!B:B</f>
        <v>Serene_Prop</v>
      </c>
      <c r="B382" s="74">
        <f>CustomerData!A:A</f>
        <v>596</v>
      </c>
    </row>
    <row r="383" spans="1:2" x14ac:dyDescent="0.25">
      <c r="A383" s="74" t="str">
        <f>CustomerData!B:B</f>
        <v>Serum</v>
      </c>
      <c r="B383" s="74">
        <f>CustomerData!A:A</f>
        <v>597</v>
      </c>
    </row>
    <row r="384" spans="1:2" x14ac:dyDescent="0.25">
      <c r="A384" s="74" t="str">
        <f>CustomerData!B:B</f>
        <v>Sethkari_Vinakari</v>
      </c>
      <c r="B384" s="74">
        <f>CustomerData!A:A</f>
        <v>598</v>
      </c>
    </row>
    <row r="385" spans="1:2" x14ac:dyDescent="0.25">
      <c r="A385" s="74" t="str">
        <f>CustomerData!B:B</f>
        <v>Shamli_Steel</v>
      </c>
      <c r="B385" s="74">
        <f>CustomerData!A:A</f>
        <v>599</v>
      </c>
    </row>
    <row r="386" spans="1:2" x14ac:dyDescent="0.25">
      <c r="A386" s="74" t="str">
        <f>CustomerData!B:B</f>
        <v>Shetkari_Mahila</v>
      </c>
      <c r="B386" s="74">
        <f>CustomerData!A:A</f>
        <v>600</v>
      </c>
    </row>
    <row r="387" spans="1:2" x14ac:dyDescent="0.25">
      <c r="A387" s="74" t="str">
        <f>CustomerData!B:B</f>
        <v>Shetkari_Shakari</v>
      </c>
      <c r="B387" s="74">
        <f>CustomerData!A:A</f>
        <v>601</v>
      </c>
    </row>
    <row r="388" spans="1:2" x14ac:dyDescent="0.25">
      <c r="A388" s="74" t="str">
        <f>CustomerData!B:B</f>
        <v>Shree_Cement_UP_Grinding</v>
      </c>
      <c r="B388" s="74">
        <f>CustomerData!A:A</f>
        <v>602</v>
      </c>
    </row>
    <row r="389" spans="1:2" x14ac:dyDescent="0.25">
      <c r="A389" s="74" t="str">
        <f>CustomerData!B:B</f>
        <v>SHREERAMOXY</v>
      </c>
      <c r="B389" s="74">
        <f>CustomerData!A:A</f>
        <v>603</v>
      </c>
    </row>
    <row r="390" spans="1:2" x14ac:dyDescent="0.25">
      <c r="A390" s="74" t="str">
        <f>CustomerData!B:B</f>
        <v>SIL_A</v>
      </c>
      <c r="B390" s="74">
        <f>CustomerData!A:A</f>
        <v>604</v>
      </c>
    </row>
    <row r="391" spans="1:2" x14ac:dyDescent="0.25">
      <c r="A391" s="74" t="str">
        <f>CustomerData!B:B</f>
        <v>SIL_B</v>
      </c>
      <c r="B391" s="74">
        <f>CustomerData!A:A</f>
        <v>605</v>
      </c>
    </row>
    <row r="392" spans="1:2" x14ac:dyDescent="0.25">
      <c r="A392" s="74" t="str">
        <f>CustomerData!B:B</f>
        <v>SIL_N</v>
      </c>
      <c r="B392" s="74">
        <f>CustomerData!A:A</f>
        <v>606</v>
      </c>
    </row>
    <row r="393" spans="1:2" x14ac:dyDescent="0.25">
      <c r="A393" s="74" t="str">
        <f>CustomerData!B:B</f>
        <v>SIL_G</v>
      </c>
      <c r="B393" s="74">
        <f>CustomerData!A:A</f>
        <v>607</v>
      </c>
    </row>
    <row r="394" spans="1:2" x14ac:dyDescent="0.25">
      <c r="A394" s="74" t="str">
        <f>CustomerData!B:B</f>
        <v>Silk_Touch</v>
      </c>
      <c r="B394" s="74">
        <f>CustomerData!A:A</f>
        <v>608</v>
      </c>
    </row>
    <row r="395" spans="1:2" x14ac:dyDescent="0.25">
      <c r="A395" s="74" t="str">
        <f>CustomerData!B:B</f>
        <v>SKF</v>
      </c>
      <c r="B395" s="74">
        <f>CustomerData!A:A</f>
        <v>609</v>
      </c>
    </row>
    <row r="396" spans="1:2" x14ac:dyDescent="0.25">
      <c r="A396" s="74" t="str">
        <f>CustomerData!B:B</f>
        <v>Spectrum_Dyes</v>
      </c>
      <c r="B396" s="74">
        <f>CustomerData!A:A</f>
        <v>610</v>
      </c>
    </row>
    <row r="397" spans="1:2" x14ac:dyDescent="0.25">
      <c r="A397" s="74" t="str">
        <f>CustomerData!B:B</f>
        <v>SPPL</v>
      </c>
      <c r="B397" s="74">
        <f>CustomerData!A:A</f>
        <v>611</v>
      </c>
    </row>
    <row r="398" spans="1:2" x14ac:dyDescent="0.25">
      <c r="A398" s="74" t="str">
        <f>CustomerData!B:B</f>
        <v>SSSVSSG</v>
      </c>
      <c r="B398" s="74">
        <f>CustomerData!A:A</f>
        <v>612</v>
      </c>
    </row>
    <row r="399" spans="1:2" x14ac:dyDescent="0.25">
      <c r="A399" s="74" t="str">
        <f>CustomerData!B:B</f>
        <v>ST</v>
      </c>
      <c r="B399" s="74">
        <f>CustomerData!A:A</f>
        <v>613</v>
      </c>
    </row>
    <row r="400" spans="1:2" x14ac:dyDescent="0.25">
      <c r="A400" s="74" t="str">
        <f>CustomerData!B:B</f>
        <v>STL_SHENDRA</v>
      </c>
      <c r="B400" s="74">
        <f>CustomerData!A:A</f>
        <v>614</v>
      </c>
    </row>
    <row r="401" spans="1:2" x14ac:dyDescent="0.25">
      <c r="A401" s="74" t="str">
        <f>CustomerData!B:B</f>
        <v>STL_WALUJ</v>
      </c>
      <c r="B401" s="74">
        <f>CustomerData!A:A</f>
        <v>615</v>
      </c>
    </row>
    <row r="402" spans="1:2" x14ac:dyDescent="0.25">
      <c r="A402" s="74" t="str">
        <f>CustomerData!B:B</f>
        <v>Stovec</v>
      </c>
      <c r="B402" s="74">
        <f>CustomerData!A:A</f>
        <v>616</v>
      </c>
    </row>
    <row r="403" spans="1:2" x14ac:dyDescent="0.25">
      <c r="A403" s="74" t="str">
        <f>CustomerData!B:B</f>
        <v>Sumeet</v>
      </c>
      <c r="B403" s="74">
        <f>CustomerData!A:A</f>
        <v>617</v>
      </c>
    </row>
    <row r="404" spans="1:2" x14ac:dyDescent="0.25">
      <c r="A404" s="74" t="str">
        <f>CustomerData!B:B</f>
        <v>Supreme_Jalgoan_</v>
      </c>
      <c r="B404" s="74">
        <f>CustomerData!A:A</f>
        <v>618</v>
      </c>
    </row>
    <row r="405" spans="1:2" x14ac:dyDescent="0.25">
      <c r="A405" s="74" t="str">
        <f>CustomerData!B:B</f>
        <v>Supreme_Gadegaon</v>
      </c>
      <c r="B405" s="74">
        <f>CustomerData!A:A</f>
        <v>619</v>
      </c>
    </row>
    <row r="406" spans="1:2" x14ac:dyDescent="0.25">
      <c r="A406" s="74" t="str">
        <f>CustomerData!B:B</f>
        <v>Suryaamba</v>
      </c>
      <c r="B406" s="74">
        <f>CustomerData!A:A</f>
        <v>620</v>
      </c>
    </row>
    <row r="407" spans="1:2" x14ac:dyDescent="0.25">
      <c r="A407" s="74" t="str">
        <f>CustomerData!B:B</f>
        <v>Swami_Smarth</v>
      </c>
      <c r="B407" s="74">
        <f>CustomerData!A:A</f>
        <v>621</v>
      </c>
    </row>
    <row r="408" spans="1:2" x14ac:dyDescent="0.25">
      <c r="A408" s="74" t="str">
        <f>CustomerData!B:B</f>
        <v>Tagros</v>
      </c>
      <c r="B408" s="74">
        <f>CustomerData!A:A</f>
        <v>622</v>
      </c>
    </row>
    <row r="409" spans="1:2" x14ac:dyDescent="0.25">
      <c r="A409" s="74" t="str">
        <f>CustomerData!B:B</f>
        <v>TATA_Assam</v>
      </c>
      <c r="B409" s="74">
        <f>CustomerData!A:A</f>
        <v>623</v>
      </c>
    </row>
    <row r="410" spans="1:2" x14ac:dyDescent="0.25">
      <c r="A410" s="74" t="str">
        <f>CustomerData!B:B</f>
        <v>TATA_Assam_Additional</v>
      </c>
      <c r="B410" s="74">
        <f>CustomerData!A:A</f>
        <v>624</v>
      </c>
    </row>
    <row r="411" spans="1:2" x14ac:dyDescent="0.25">
      <c r="A411" s="74" t="str">
        <f>CustomerData!B:B</f>
        <v>TATA_Assam_DAC</v>
      </c>
      <c r="B411" s="74">
        <f>CustomerData!A:A</f>
        <v>625</v>
      </c>
    </row>
    <row r="412" spans="1:2" x14ac:dyDescent="0.25">
      <c r="A412" s="74" t="str">
        <f>CustomerData!B:B</f>
        <v>TATA_CSPDCL</v>
      </c>
      <c r="B412" s="74">
        <f>CustomerData!A:A</f>
        <v>626</v>
      </c>
    </row>
    <row r="413" spans="1:2" x14ac:dyDescent="0.25">
      <c r="A413" s="74" t="str">
        <f>CustomerData!B:B</f>
        <v>TATA_Steel_Ltd_Discom</v>
      </c>
      <c r="B413" s="74">
        <f>CustomerData!A:A</f>
        <v>627</v>
      </c>
    </row>
    <row r="414" spans="1:2" x14ac:dyDescent="0.25">
      <c r="A414" s="74" t="str">
        <f>CustomerData!B:B</f>
        <v>TATA_BIHAR</v>
      </c>
      <c r="B414" s="74">
        <f>CustomerData!A:A</f>
        <v>628</v>
      </c>
    </row>
    <row r="415" spans="1:2" x14ac:dyDescent="0.25">
      <c r="A415" s="74" t="str">
        <f>CustomerData!B:B</f>
        <v>TATA_TPL_DAHEJ</v>
      </c>
      <c r="B415" s="74">
        <f>CustomerData!A:A</f>
        <v>629</v>
      </c>
    </row>
    <row r="416" spans="1:2" x14ac:dyDescent="0.25">
      <c r="A416" s="74" t="str">
        <f>CustomerData!B:B</f>
        <v>TELANGANA</v>
      </c>
      <c r="B416" s="74">
        <f>CustomerData!A:A</f>
        <v>630</v>
      </c>
    </row>
    <row r="417" spans="1:2" x14ac:dyDescent="0.25">
      <c r="A417" s="74" t="str">
        <f>CustomerData!B:B</f>
        <v>Telangana_125MW</v>
      </c>
      <c r="B417" s="74">
        <f>CustomerData!A:A</f>
        <v>631</v>
      </c>
    </row>
    <row r="418" spans="1:2" x14ac:dyDescent="0.25">
      <c r="A418" s="74" t="str">
        <f>CustomerData!B:B</f>
        <v>Telangana_95MW</v>
      </c>
      <c r="B418" s="74">
        <f>CustomerData!A:A</f>
        <v>632</v>
      </c>
    </row>
    <row r="419" spans="1:2" x14ac:dyDescent="0.25">
      <c r="A419" s="74" t="str">
        <f>CustomerData!B:B</f>
        <v>TEST1234</v>
      </c>
      <c r="B419" s="74">
        <f>CustomerData!A:A</f>
        <v>633</v>
      </c>
    </row>
    <row r="420" spans="1:2" x14ac:dyDescent="0.25">
      <c r="A420" s="74" t="str">
        <f>CustomerData!B:B</f>
        <v>TG</v>
      </c>
      <c r="B420" s="74">
        <f>CustomerData!A:A</f>
        <v>634</v>
      </c>
    </row>
    <row r="421" spans="1:2" x14ac:dyDescent="0.25">
      <c r="A421" s="74" t="str">
        <f>CustomerData!B:B</f>
        <v>Tirthak_Paper_Mill</v>
      </c>
      <c r="B421" s="74">
        <f>CustomerData!A:A</f>
        <v>635</v>
      </c>
    </row>
    <row r="422" spans="1:2" x14ac:dyDescent="0.25">
      <c r="A422" s="74" t="str">
        <f>CustomerData!B:B</f>
        <v>TNEB</v>
      </c>
      <c r="B422" s="74">
        <f>CustomerData!A:A</f>
        <v>636</v>
      </c>
    </row>
    <row r="423" spans="1:2" x14ac:dyDescent="0.25">
      <c r="A423" s="74" t="str">
        <f>CustomerData!B:B</f>
        <v>TNEB(ST)</v>
      </c>
      <c r="B423" s="74">
        <f>CustomerData!A:A</f>
        <v>637</v>
      </c>
    </row>
    <row r="424" spans="1:2" x14ac:dyDescent="0.25">
      <c r="A424" s="74" t="str">
        <f>CustomerData!B:B</f>
        <v>TORRENT</v>
      </c>
      <c r="B424" s="74">
        <f>CustomerData!A:A</f>
        <v>638</v>
      </c>
    </row>
    <row r="425" spans="1:2" x14ac:dyDescent="0.25">
      <c r="A425" s="74" t="str">
        <f>CustomerData!B:B</f>
        <v>Torrent_STOA</v>
      </c>
      <c r="B425" s="74">
        <f>CustomerData!A:A</f>
        <v>639</v>
      </c>
    </row>
    <row r="426" spans="1:2" x14ac:dyDescent="0.25">
      <c r="A426" s="74" t="str">
        <f>CustomerData!B:B</f>
        <v>TPCL_M</v>
      </c>
      <c r="B426" s="74">
        <f>CustomerData!A:A</f>
        <v>640</v>
      </c>
    </row>
    <row r="427" spans="1:2" x14ac:dyDescent="0.25">
      <c r="A427" s="74" t="str">
        <f>CustomerData!B:B</f>
        <v>TPL_AHMEDABAD_IEX_Any_Day_Off_Peak</v>
      </c>
      <c r="B427" s="74">
        <f>CustomerData!A:A</f>
        <v>641</v>
      </c>
    </row>
    <row r="428" spans="1:2" x14ac:dyDescent="0.25">
      <c r="A428" s="74" t="str">
        <f>CustomerData!B:B</f>
        <v>TPL_SURAT_IEX_Any_Day_Day</v>
      </c>
      <c r="B428" s="74">
        <f>CustomerData!A:A</f>
        <v>642</v>
      </c>
    </row>
    <row r="429" spans="1:2" x14ac:dyDescent="0.25">
      <c r="A429" s="74" t="str">
        <f>CustomerData!B:B</f>
        <v>TPL_SURAT_IEX_Any_Day_Off_Peak</v>
      </c>
      <c r="B429" s="74">
        <f>CustomerData!A:A</f>
        <v>643</v>
      </c>
    </row>
    <row r="430" spans="1:2" x14ac:dyDescent="0.25">
      <c r="A430" s="74" t="str">
        <f>CustomerData!B:B</f>
        <v>TPTCL_UPPCL</v>
      </c>
      <c r="B430" s="74">
        <f>CustomerData!A:A</f>
        <v>644</v>
      </c>
    </row>
    <row r="431" spans="1:2" x14ac:dyDescent="0.25">
      <c r="A431" s="74" t="str">
        <f>CustomerData!B:B</f>
        <v>TRIPURA</v>
      </c>
      <c r="B431" s="74">
        <f>CustomerData!A:A</f>
        <v>645</v>
      </c>
    </row>
    <row r="432" spans="1:2" x14ac:dyDescent="0.25">
      <c r="A432" s="74" t="str">
        <f>CustomerData!B:B</f>
        <v>Tuna_Port</v>
      </c>
      <c r="B432" s="74">
        <f>CustomerData!A:A</f>
        <v>646</v>
      </c>
    </row>
    <row r="433" spans="1:2" x14ac:dyDescent="0.25">
      <c r="A433" s="74" t="str">
        <f>CustomerData!B:B</f>
        <v>UPCL</v>
      </c>
      <c r="B433" s="74">
        <f>CustomerData!A:A</f>
        <v>647</v>
      </c>
    </row>
    <row r="434" spans="1:2" x14ac:dyDescent="0.25">
      <c r="A434" s="74" t="str">
        <f>CustomerData!B:B</f>
        <v>UPPCL</v>
      </c>
      <c r="B434" s="74">
        <f>CustomerData!A:A</f>
        <v>648</v>
      </c>
    </row>
    <row r="435" spans="1:2" x14ac:dyDescent="0.25">
      <c r="A435" s="74" t="str">
        <f>CustomerData!B:B</f>
        <v>VARCO_TAKVE</v>
      </c>
      <c r="B435" s="74">
        <f>CustomerData!A:A</f>
        <v>649</v>
      </c>
    </row>
    <row r="436" spans="1:2" x14ac:dyDescent="0.25">
      <c r="A436" s="74" t="str">
        <f>CustomerData!B:B</f>
        <v>Vardhaman_Fabrics</v>
      </c>
      <c r="B436" s="74">
        <f>CustomerData!A:A</f>
        <v>650</v>
      </c>
    </row>
    <row r="437" spans="1:2" x14ac:dyDescent="0.25">
      <c r="A437" s="74" t="str">
        <f>CustomerData!B:B</f>
        <v>Varroc</v>
      </c>
      <c r="B437" s="74">
        <f>CustomerData!A:A</f>
        <v>651</v>
      </c>
    </row>
    <row r="438" spans="1:2" x14ac:dyDescent="0.25">
      <c r="A438" s="74" t="str">
        <f>CustomerData!B:B</f>
        <v>Vinayak_TMT</v>
      </c>
      <c r="B438" s="74">
        <f>CustomerData!A:A</f>
        <v>652</v>
      </c>
    </row>
    <row r="439" spans="1:2" x14ac:dyDescent="0.25">
      <c r="A439" s="74" t="str">
        <f>CustomerData!B:B</f>
        <v>VIRAJ_SPINNERS_LTD</v>
      </c>
      <c r="B439" s="74">
        <f>CustomerData!A:A</f>
        <v>653</v>
      </c>
    </row>
    <row r="440" spans="1:2" x14ac:dyDescent="0.25">
      <c r="A440" s="74" t="str">
        <f>CustomerData!B:B</f>
        <v>Vishay</v>
      </c>
      <c r="B440" s="74">
        <f>CustomerData!A:A</f>
        <v>654</v>
      </c>
    </row>
    <row r="441" spans="1:2" x14ac:dyDescent="0.25">
      <c r="A441" s="74" t="str">
        <f>CustomerData!B:B</f>
        <v>VITTHAL_CORP</v>
      </c>
      <c r="B441" s="74">
        <f>CustomerData!A:A</f>
        <v>655</v>
      </c>
    </row>
    <row r="442" spans="1:2" x14ac:dyDescent="0.25">
      <c r="A442" s="74" t="str">
        <f>CustomerData!B:B</f>
        <v>WBSEDCL</v>
      </c>
      <c r="B442" s="74">
        <f>CustomerData!A:A</f>
        <v>656</v>
      </c>
    </row>
    <row r="443" spans="1:2" x14ac:dyDescent="0.25">
      <c r="A443" s="74" t="str">
        <f>CustomerData!B:B</f>
        <v>WBSEDCL_IEX_Intra_Day_Peak</v>
      </c>
      <c r="B443" s="74">
        <f>CustomerData!A:A</f>
        <v>657</v>
      </c>
    </row>
    <row r="444" spans="1:2" x14ac:dyDescent="0.25">
      <c r="A444" s="74" t="str">
        <f>CustomerData!B:B</f>
        <v>WBSEDCL_PXIL</v>
      </c>
      <c r="B444" s="74">
        <f>CustomerData!A:A</f>
        <v>658</v>
      </c>
    </row>
    <row r="445" spans="1:2" x14ac:dyDescent="0.25">
      <c r="A445" s="74" t="str">
        <f>CustomerData!B:B</f>
        <v>WBSEDCL_PXIL</v>
      </c>
      <c r="B445" s="74">
        <f>CustomerData!A:A</f>
        <v>659</v>
      </c>
    </row>
    <row r="446" spans="1:2" x14ac:dyDescent="0.25">
      <c r="A446" s="74" t="str">
        <f>CustomerData!B:B</f>
        <v>WELSPUN</v>
      </c>
      <c r="B446" s="74">
        <f>CustomerData!A:A</f>
        <v>660</v>
      </c>
    </row>
    <row r="447" spans="1:2" x14ac:dyDescent="0.25">
      <c r="A447" s="74" t="str">
        <f>CustomerData!B:B</f>
        <v>Welspun_India_Limited</v>
      </c>
      <c r="B447" s="74">
        <f>CustomerData!A:A</f>
        <v>661</v>
      </c>
    </row>
    <row r="448" spans="1:2" x14ac:dyDescent="0.25">
      <c r="A448" s="74" t="str">
        <f>CustomerData!B:B</f>
        <v>WILMAR</v>
      </c>
      <c r="B448" s="74">
        <f>CustomerData!A:A</f>
        <v>662</v>
      </c>
    </row>
    <row r="449" spans="1:2" x14ac:dyDescent="0.25">
      <c r="A449" s="74" t="str">
        <f>CustomerData!B:B</f>
        <v>Wockhardt_Ltd</v>
      </c>
      <c r="B449" s="74">
        <f>CustomerData!A:A</f>
        <v>663</v>
      </c>
    </row>
    <row r="450" spans="1:2" x14ac:dyDescent="0.25">
      <c r="A450" s="74" t="str">
        <f>CustomerData!B:B</f>
        <v>APL-1 (1000 MW PPA)</v>
      </c>
      <c r="B450" s="74">
        <f>CustomerData!A:A</f>
        <v>664</v>
      </c>
    </row>
    <row r="451" spans="1:2" x14ac:dyDescent="0.25">
      <c r="A451" s="74">
        <f>CustomerData!B:B</f>
        <v>0</v>
      </c>
      <c r="B451" s="74">
        <f>CustomerData!A:A</f>
        <v>0</v>
      </c>
    </row>
    <row r="452" spans="1:2" x14ac:dyDescent="0.25">
      <c r="A452" s="74">
        <f>CustomerData!B:B</f>
        <v>0</v>
      </c>
      <c r="B452" s="74">
        <f>CustomerData!A:A</f>
        <v>0</v>
      </c>
    </row>
    <row r="453" spans="1:2" x14ac:dyDescent="0.25">
      <c r="A453" s="74">
        <f>CustomerData!B:B</f>
        <v>0</v>
      </c>
      <c r="B453" s="74">
        <f>CustomerData!A:A</f>
        <v>0</v>
      </c>
    </row>
    <row r="454" spans="1:2" x14ac:dyDescent="0.25">
      <c r="A454" s="74">
        <f>CustomerData!B:B</f>
        <v>0</v>
      </c>
      <c r="B454" s="74">
        <f>CustomerData!A:A</f>
        <v>0</v>
      </c>
    </row>
    <row r="455" spans="1:2" x14ac:dyDescent="0.25">
      <c r="A455" s="74">
        <f>CustomerData!B:B</f>
        <v>0</v>
      </c>
      <c r="B455" s="74">
        <f>CustomerData!A:A</f>
        <v>0</v>
      </c>
    </row>
    <row r="456" spans="1:2" x14ac:dyDescent="0.25">
      <c r="A456" s="74">
        <f>CustomerData!B:B</f>
        <v>0</v>
      </c>
      <c r="B456" s="74">
        <f>CustomerData!A:A</f>
        <v>0</v>
      </c>
    </row>
    <row r="457" spans="1:2" x14ac:dyDescent="0.25">
      <c r="A457" s="74">
        <f>CustomerData!B:B</f>
        <v>0</v>
      </c>
      <c r="B457" s="74">
        <f>CustomerData!A:A</f>
        <v>0</v>
      </c>
    </row>
    <row r="458" spans="1:2" x14ac:dyDescent="0.25">
      <c r="A458" s="74">
        <f>CustomerData!B:B</f>
        <v>0</v>
      </c>
      <c r="B458" s="74">
        <f>CustomerData!A:A</f>
        <v>0</v>
      </c>
    </row>
    <row r="459" spans="1:2" x14ac:dyDescent="0.25">
      <c r="A459" s="74">
        <f>CustomerData!B:B</f>
        <v>0</v>
      </c>
      <c r="B459" s="74">
        <f>CustomerData!A:A</f>
        <v>0</v>
      </c>
    </row>
    <row r="460" spans="1:2" x14ac:dyDescent="0.25">
      <c r="A460" s="74">
        <f>CustomerData!B:B</f>
        <v>0</v>
      </c>
      <c r="B460" s="74">
        <f>CustomerData!A:A</f>
        <v>0</v>
      </c>
    </row>
    <row r="461" spans="1:2" x14ac:dyDescent="0.25">
      <c r="A461" s="74">
        <f>CustomerData!B:B</f>
        <v>0</v>
      </c>
      <c r="B461" s="74">
        <f>CustomerData!A:A</f>
        <v>0</v>
      </c>
    </row>
    <row r="462" spans="1:2" x14ac:dyDescent="0.25">
      <c r="A462" s="74">
        <f>CustomerData!B:B</f>
        <v>0</v>
      </c>
      <c r="B462" s="74">
        <f>CustomerData!A:A</f>
        <v>0</v>
      </c>
    </row>
    <row r="463" spans="1:2" x14ac:dyDescent="0.25">
      <c r="A463" s="74">
        <f>CustomerData!B:B</f>
        <v>0</v>
      </c>
      <c r="B463" s="74">
        <f>CustomerData!A:A</f>
        <v>0</v>
      </c>
    </row>
    <row r="464" spans="1:2" x14ac:dyDescent="0.25">
      <c r="A464" s="74">
        <f>CustomerData!B:B</f>
        <v>0</v>
      </c>
      <c r="B464" s="74">
        <f>CustomerData!A:A</f>
        <v>0</v>
      </c>
    </row>
    <row r="465" spans="1:2" x14ac:dyDescent="0.25">
      <c r="A465" s="74">
        <f>CustomerData!B:B</f>
        <v>0</v>
      </c>
      <c r="B465" s="74">
        <f>CustomerData!A:A</f>
        <v>0</v>
      </c>
    </row>
    <row r="466" spans="1:2" x14ac:dyDescent="0.25">
      <c r="A466" s="74">
        <f>CustomerData!B:B</f>
        <v>0</v>
      </c>
      <c r="B466" s="74">
        <f>CustomerData!A:A</f>
        <v>0</v>
      </c>
    </row>
    <row r="467" spans="1:2" x14ac:dyDescent="0.25">
      <c r="A467" s="74">
        <f>CustomerData!B:B</f>
        <v>0</v>
      </c>
      <c r="B467" s="74">
        <f>CustomerData!A:A</f>
        <v>0</v>
      </c>
    </row>
    <row r="468" spans="1:2" x14ac:dyDescent="0.25">
      <c r="A468" s="74">
        <f>CustomerData!B:B</f>
        <v>0</v>
      </c>
      <c r="B468" s="74">
        <f>CustomerData!A:A</f>
        <v>0</v>
      </c>
    </row>
    <row r="469" spans="1:2" x14ac:dyDescent="0.25">
      <c r="A469" s="74">
        <f>CustomerData!B:B</f>
        <v>0</v>
      </c>
      <c r="B469" s="74">
        <f>CustomerData!A:A</f>
        <v>0</v>
      </c>
    </row>
    <row r="470" spans="1:2" x14ac:dyDescent="0.25">
      <c r="A470" s="74">
        <f>CustomerData!B:B</f>
        <v>0</v>
      </c>
      <c r="B470" s="74">
        <f>CustomerData!A:A</f>
        <v>0</v>
      </c>
    </row>
    <row r="471" spans="1:2" x14ac:dyDescent="0.25">
      <c r="A471" s="74">
        <f>CustomerData!B:B</f>
        <v>0</v>
      </c>
      <c r="B471" s="74">
        <f>CustomerData!A:A</f>
        <v>0</v>
      </c>
    </row>
    <row r="472" spans="1:2" x14ac:dyDescent="0.25">
      <c r="A472" s="74">
        <f>CustomerData!B:B</f>
        <v>0</v>
      </c>
      <c r="B472" s="74">
        <f>CustomerData!A:A</f>
        <v>0</v>
      </c>
    </row>
    <row r="473" spans="1:2" x14ac:dyDescent="0.25">
      <c r="A473" s="74">
        <f>CustomerData!B:B</f>
        <v>0</v>
      </c>
      <c r="B473" s="74">
        <f>CustomerData!A:A</f>
        <v>0</v>
      </c>
    </row>
    <row r="474" spans="1:2" x14ac:dyDescent="0.25">
      <c r="A474" s="74">
        <f>CustomerData!B:B</f>
        <v>0</v>
      </c>
      <c r="B474" s="74">
        <f>CustomerData!A:A</f>
        <v>0</v>
      </c>
    </row>
    <row r="475" spans="1:2" x14ac:dyDescent="0.25">
      <c r="A475" s="74">
        <f>CustomerData!B:B</f>
        <v>0</v>
      </c>
      <c r="B475" s="74">
        <f>CustomerData!A:A</f>
        <v>0</v>
      </c>
    </row>
    <row r="476" spans="1:2" x14ac:dyDescent="0.25">
      <c r="A476" s="74">
        <f>CustomerData!B:B</f>
        <v>0</v>
      </c>
      <c r="B476" s="74">
        <f>CustomerData!A:A</f>
        <v>0</v>
      </c>
    </row>
    <row r="477" spans="1:2" x14ac:dyDescent="0.25">
      <c r="A477" s="74">
        <f>CustomerData!B:B</f>
        <v>0</v>
      </c>
      <c r="B477" s="74">
        <f>CustomerData!A:A</f>
        <v>0</v>
      </c>
    </row>
    <row r="478" spans="1:2" x14ac:dyDescent="0.25">
      <c r="A478" s="74">
        <f>CustomerData!B:B</f>
        <v>0</v>
      </c>
      <c r="B478" s="74">
        <f>CustomerData!A:A</f>
        <v>0</v>
      </c>
    </row>
    <row r="479" spans="1:2" x14ac:dyDescent="0.25">
      <c r="A479" s="74">
        <f>CustomerData!B:B</f>
        <v>0</v>
      </c>
      <c r="B479" s="74">
        <f>CustomerData!A:A</f>
        <v>0</v>
      </c>
    </row>
    <row r="480" spans="1:2" x14ac:dyDescent="0.25">
      <c r="A480" s="74">
        <f>CustomerData!B:B</f>
        <v>0</v>
      </c>
      <c r="B480" s="74">
        <f>CustomerData!A:A</f>
        <v>0</v>
      </c>
    </row>
    <row r="481" spans="1:2" x14ac:dyDescent="0.25">
      <c r="A481" s="74">
        <f>CustomerData!B:B</f>
        <v>0</v>
      </c>
      <c r="B481" s="74">
        <f>CustomerData!A:A</f>
        <v>0</v>
      </c>
    </row>
    <row r="482" spans="1:2" x14ac:dyDescent="0.25">
      <c r="A482" s="74">
        <f>CustomerData!B:B</f>
        <v>0</v>
      </c>
      <c r="B482" s="74">
        <f>CustomerData!A:A</f>
        <v>0</v>
      </c>
    </row>
    <row r="483" spans="1:2" x14ac:dyDescent="0.25">
      <c r="A483" s="74">
        <f>CustomerData!B:B</f>
        <v>0</v>
      </c>
      <c r="B483" s="74">
        <f>CustomerData!A:A</f>
        <v>0</v>
      </c>
    </row>
    <row r="484" spans="1:2" x14ac:dyDescent="0.25">
      <c r="A484" s="74">
        <f>CustomerData!B:B</f>
        <v>0</v>
      </c>
      <c r="B484" s="74">
        <f>CustomerData!A:A</f>
        <v>0</v>
      </c>
    </row>
    <row r="485" spans="1:2" x14ac:dyDescent="0.25">
      <c r="A485" s="74">
        <f>CustomerData!B:B</f>
        <v>0</v>
      </c>
      <c r="B485" s="74">
        <f>CustomerData!A:A</f>
        <v>0</v>
      </c>
    </row>
    <row r="486" spans="1:2" x14ac:dyDescent="0.25">
      <c r="A486" s="74">
        <f>CustomerData!B:B</f>
        <v>0</v>
      </c>
      <c r="B486" s="74">
        <f>CustomerData!A:A</f>
        <v>0</v>
      </c>
    </row>
    <row r="487" spans="1:2" x14ac:dyDescent="0.25">
      <c r="A487" s="74">
        <f>CustomerData!B:B</f>
        <v>0</v>
      </c>
      <c r="B487" s="74">
        <f>CustomerData!A:A</f>
        <v>0</v>
      </c>
    </row>
    <row r="488" spans="1:2" x14ac:dyDescent="0.25">
      <c r="A488" s="74">
        <f>CustomerData!B:B</f>
        <v>0</v>
      </c>
      <c r="B488" s="74">
        <f>CustomerData!A:A</f>
        <v>0</v>
      </c>
    </row>
    <row r="489" spans="1:2" x14ac:dyDescent="0.25">
      <c r="A489" s="74">
        <f>CustomerData!B:B</f>
        <v>0</v>
      </c>
      <c r="B489" s="74">
        <f>CustomerData!A:A</f>
        <v>0</v>
      </c>
    </row>
    <row r="490" spans="1:2" x14ac:dyDescent="0.25">
      <c r="A490" s="74">
        <f>CustomerData!B:B</f>
        <v>0</v>
      </c>
      <c r="B490" s="74">
        <f>CustomerData!A:A</f>
        <v>0</v>
      </c>
    </row>
    <row r="491" spans="1:2" x14ac:dyDescent="0.25">
      <c r="A491" s="74">
        <f>CustomerData!B:B</f>
        <v>0</v>
      </c>
      <c r="B491" s="74">
        <f>CustomerData!A:A</f>
        <v>0</v>
      </c>
    </row>
    <row r="492" spans="1:2" x14ac:dyDescent="0.25">
      <c r="A492" s="74">
        <f>CustomerData!B:B</f>
        <v>0</v>
      </c>
      <c r="B492" s="74">
        <f>CustomerData!A:A</f>
        <v>0</v>
      </c>
    </row>
    <row r="493" spans="1:2" x14ac:dyDescent="0.25">
      <c r="A493" s="74">
        <f>CustomerData!B:B</f>
        <v>0</v>
      </c>
      <c r="B493" s="74">
        <f>CustomerData!A:A</f>
        <v>0</v>
      </c>
    </row>
    <row r="494" spans="1:2" x14ac:dyDescent="0.25">
      <c r="A494" s="74">
        <f>CustomerData!B:B</f>
        <v>0</v>
      </c>
      <c r="B494" s="74">
        <f>CustomerData!A:A</f>
        <v>0</v>
      </c>
    </row>
    <row r="495" spans="1:2" x14ac:dyDescent="0.25">
      <c r="A495" s="74">
        <f>CustomerData!B:B</f>
        <v>0</v>
      </c>
      <c r="B495" s="74">
        <f>CustomerData!A:A</f>
        <v>0</v>
      </c>
    </row>
    <row r="496" spans="1:2" x14ac:dyDescent="0.25">
      <c r="A496" s="74">
        <f>CustomerData!B:B</f>
        <v>0</v>
      </c>
      <c r="B496" s="74">
        <f>CustomerData!A:A</f>
        <v>0</v>
      </c>
    </row>
    <row r="497" spans="1:2" x14ac:dyDescent="0.25">
      <c r="A497" s="74">
        <f>CustomerData!B:B</f>
        <v>0</v>
      </c>
      <c r="B497" s="74">
        <f>CustomerData!A:A</f>
        <v>0</v>
      </c>
    </row>
    <row r="498" spans="1:2" x14ac:dyDescent="0.25">
      <c r="A498" s="74">
        <f>CustomerData!B:B</f>
        <v>0</v>
      </c>
      <c r="B498" s="74">
        <f>CustomerData!A:A</f>
        <v>0</v>
      </c>
    </row>
    <row r="499" spans="1:2" x14ac:dyDescent="0.25">
      <c r="A499" s="74">
        <f>CustomerData!B:B</f>
        <v>0</v>
      </c>
      <c r="B499" s="74">
        <f>CustomerData!A:A</f>
        <v>0</v>
      </c>
    </row>
    <row r="500" spans="1:2" x14ac:dyDescent="0.25">
      <c r="A500" s="74">
        <f>CustomerData!B:B</f>
        <v>0</v>
      </c>
      <c r="B500" s="74">
        <f>CustomerData!A:A</f>
        <v>0</v>
      </c>
    </row>
    <row r="501" spans="1:2" x14ac:dyDescent="0.25">
      <c r="A501" s="74">
        <f>CustomerData!B:B</f>
        <v>0</v>
      </c>
      <c r="B501" s="74">
        <f>CustomerData!A:A</f>
        <v>0</v>
      </c>
    </row>
  </sheetData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EAF90B-B3A1-45B2-B0BF-5BD5D4C749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DCEntry_STG_1</vt:lpstr>
      <vt:lpstr>SGEntry_STG_1</vt:lpstr>
      <vt:lpstr>DCEntry_STG_2</vt:lpstr>
      <vt:lpstr>SGEntry_STG_2</vt:lpstr>
      <vt:lpstr>DCEntry_STG_3(7_8)</vt:lpstr>
      <vt:lpstr>SGEntry_STG_3(7_8)</vt:lpstr>
      <vt:lpstr>DCEntry_STG_3(9)</vt:lpstr>
      <vt:lpstr>SGEntry_STG_3(9)</vt:lpstr>
      <vt:lpstr>CustomerData</vt:lpstr>
      <vt:lpstr>Reference_Rate</vt:lpstr>
      <vt:lpstr>ACP</vt:lpstr>
      <vt:lpstr>Rate calc</vt:lpstr>
      <vt:lpstr>ACP(AS_Rate)</vt:lpstr>
      <vt:lpstr>SaveData</vt:lpstr>
      <vt:lpstr>CustomerEntries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pims</cp:lastModifiedBy>
  <dcterms:created xsi:type="dcterms:W3CDTF">2022-09-14T04:27:03Z</dcterms:created>
  <dcterms:modified xsi:type="dcterms:W3CDTF">2024-04-16T07:48:28Z</dcterms:modified>
</cp:coreProperties>
</file>